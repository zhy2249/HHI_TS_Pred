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 tabRatio="884" activeTab="7"/>
  </bookViews>
  <sheets>
    <sheet name="Summary" sheetId="1" r:id="rId1"/>
    <sheet name="Plot" sheetId="2" r:id="rId2"/>
    <sheet name="AI-10" sheetId="3" r:id="rId3"/>
    <sheet name="RA-10" sheetId="4" r:id="rId4"/>
    <sheet name="LB-10" sheetId="5" r:id="rId5"/>
    <sheet name="LP-10" sheetId="6" r:id="rId6"/>
    <sheet name="Reference" sheetId="7" r:id="rId7"/>
    <sheet name="Test" sheetId="8" r:id="rId8"/>
  </sheets>
  <definedNames>
    <definedName name="_xlnm._FilterDatabase" localSheetId="1" hidden="1">Plot!$A$1:$B$2</definedName>
  </definedNames>
  <calcPr calcId="144525"/>
</workbook>
</file>

<file path=xl/sharedStrings.xml><?xml version="1.0" encoding="utf-8"?>
<sst xmlns="http://schemas.openxmlformats.org/spreadsheetml/2006/main" count="2403" uniqueCount="1038">
  <si>
    <t xml:space="preserve">All Intra Main 10 </t>
  </si>
  <si>
    <t>Reference:</t>
  </si>
  <si>
    <t>ECM-17,0</t>
  </si>
  <si>
    <t>AI</t>
  </si>
  <si>
    <t>RA</t>
  </si>
  <si>
    <t>LDB</t>
  </si>
  <si>
    <t>LDP</t>
  </si>
  <si>
    <t>All [hours]</t>
  </si>
  <si>
    <t>All [days]</t>
  </si>
  <si>
    <t>Y</t>
  </si>
  <si>
    <t>U</t>
  </si>
  <si>
    <t>V</t>
  </si>
  <si>
    <t>EncT</t>
  </si>
  <si>
    <t>DecT</t>
  </si>
  <si>
    <t>EncVmPeak</t>
  </si>
  <si>
    <t>DecVmPeak</t>
  </si>
  <si>
    <t>Tested:</t>
  </si>
  <si>
    <t>Test EE2-1,6A</t>
  </si>
  <si>
    <t>Sum</t>
  </si>
  <si>
    <t>Class A1</t>
  </si>
  <si>
    <t>Max</t>
  </si>
  <si>
    <t>Class A2</t>
  </si>
  <si>
    <t>Class B</t>
  </si>
  <si>
    <t>Class C</t>
  </si>
  <si>
    <t>Class E</t>
  </si>
  <si>
    <t xml:space="preserve">Overall </t>
  </si>
  <si>
    <t>Note: BD-rate is computed using piece-wise cubic interpolation</t>
  </si>
  <si>
    <t>Class D</t>
  </si>
  <si>
    <t>Class F</t>
  </si>
  <si>
    <t>Class TGM</t>
  </si>
  <si>
    <t>Cluster information</t>
  </si>
  <si>
    <t>Random Access Main 10</t>
  </si>
  <si>
    <t>CPU type:</t>
  </si>
  <si>
    <t>(e.g. Xeon …)</t>
  </si>
  <si>
    <t>All</t>
  </si>
  <si>
    <t>Average</t>
  </si>
  <si>
    <t>Hyperthreading:</t>
  </si>
  <si>
    <t>(on/off)</t>
  </si>
  <si>
    <t>Turbo mode:</t>
  </si>
  <si>
    <t>Compiler:</t>
  </si>
  <si>
    <t>(e.g. gcc 7.3.1)</t>
  </si>
  <si>
    <t>Overall</t>
  </si>
  <si>
    <t>OS:</t>
  </si>
  <si>
    <t>(e.g. Scientific Linux)</t>
  </si>
  <si>
    <t>Decoding options</t>
  </si>
  <si>
    <t>Bitstream concatenation:</t>
  </si>
  <si>
    <t>(yes/no)</t>
  </si>
  <si>
    <t xml:space="preserve">Low delay B Main 10 </t>
  </si>
  <si>
    <t>MD5 SEI:</t>
  </si>
  <si>
    <t>YUV output:</t>
  </si>
  <si>
    <t>SIMD options:</t>
  </si>
  <si>
    <t>(e.g. SSE2)</t>
  </si>
  <si>
    <t xml:space="preserve">Low delay P Main 10 </t>
  </si>
  <si>
    <t>Select the coding condition and sequence from the dropbox below</t>
  </si>
  <si>
    <t>Line 1 - Reference</t>
  </si>
  <si>
    <t>Line 2 - Test</t>
  </si>
  <si>
    <t>Line 3 - Reference2</t>
  </si>
  <si>
    <t>LB-10</t>
  </si>
  <si>
    <t>BlowingBubbles</t>
  </si>
  <si>
    <t>kbps</t>
  </si>
  <si>
    <t>Y psnr</t>
  </si>
  <si>
    <t>U psnr</t>
  </si>
  <si>
    <t>V psnr</t>
  </si>
  <si>
    <t>AI-10</t>
  </si>
  <si>
    <t>Tango2</t>
  </si>
  <si>
    <t>RA-10</t>
  </si>
  <si>
    <t>FoodMarket4</t>
  </si>
  <si>
    <t>Campfire</t>
  </si>
  <si>
    <t>LP-10</t>
  </si>
  <si>
    <t>CatRobot1</t>
  </si>
  <si>
    <t>DaylightRoad2</t>
  </si>
  <si>
    <t>ParkRunning3</t>
  </si>
  <si>
    <t>MarketPlace</t>
  </si>
  <si>
    <t>RitualDance</t>
  </si>
  <si>
    <t>Cactus</t>
  </si>
  <si>
    <t>rate</t>
  </si>
  <si>
    <t>y</t>
  </si>
  <si>
    <t>u</t>
  </si>
  <si>
    <t>v</t>
  </si>
  <si>
    <t>BasketballDrive</t>
  </si>
  <si>
    <t>BQTerrace</t>
  </si>
  <si>
    <t>BasketballDrill</t>
  </si>
  <si>
    <t>BQMall</t>
  </si>
  <si>
    <t>PartySceneC</t>
  </si>
  <si>
    <t>RaceHorsesC</t>
  </si>
  <si>
    <t>BasketballPass</t>
  </si>
  <si>
    <t>BQSquare</t>
  </si>
  <si>
    <t>RaceHorses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</si>
  <si>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</si>
  <si>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</si>
  <si>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</si>
  <si>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</si>
  <si>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</si>
  <si>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</si>
  <si>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</si>
  <si>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</si>
  <si>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</si>
  <si>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</si>
  <si>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</si>
  <si>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</si>
  <si>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</si>
  <si>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</si>
  <si>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</si>
  <si>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EncVmPeak [kB]</t>
  </si>
  <si>
    <t>DecVmPeak [kB]</t>
  </si>
  <si>
    <t>EncR</t>
  </si>
  <si>
    <t>DecR</t>
  </si>
  <si>
    <t>EncVmPeakR</t>
  </si>
  <si>
    <t>DecVmPeakR</t>
  </si>
  <si>
    <t>4K</t>
  </si>
  <si>
    <t>CatRobot</t>
  </si>
  <si>
    <t>1080p</t>
  </si>
  <si>
    <t>WVGA</t>
  </si>
  <si>
    <t>PartyScene</t>
  </si>
  <si>
    <t>WQVGA</t>
  </si>
  <si>
    <t>720p</t>
  </si>
  <si>
    <t>ArenaOfValor</t>
  </si>
  <si>
    <t>FlyingGraphic</t>
  </si>
  <si>
    <t>Desktop</t>
  </si>
  <si>
    <t>Console</t>
  </si>
  <si>
    <t>ChineseEditing</t>
  </si>
  <si>
    <t>TGM</t>
  </si>
  <si>
    <t>Time geomean</t>
  </si>
  <si>
    <t>Time ratio</t>
  </si>
  <si>
    <t>Time sum (hours)</t>
  </si>
  <si>
    <t>Time sums</t>
  </si>
  <si>
    <t>Time max</t>
  </si>
  <si>
    <t>Tango2.Q22.ecm.ai</t>
  </si>
  <si>
    <t>pass</t>
  </si>
  <si>
    <t>Wed Dec 17 23:23:43 2025</t>
  </si>
  <si>
    <t>Tango2.Q27.ecm.ai</t>
  </si>
  <si>
    <t>Wed Dec 17 19:55:17 2025</t>
  </si>
  <si>
    <t>Tango2.Q32.ecm.ai</t>
  </si>
  <si>
    <t>Wed Dec 17 19:02:22 2025</t>
  </si>
  <si>
    <t>Tango2.Q37.ecm.ai</t>
  </si>
  <si>
    <t>Wed Dec 17 18:42:12 2025</t>
  </si>
  <si>
    <t>FoodMarket4.Q22.ecm.ai</t>
  </si>
  <si>
    <t>Wed Dec 17 21:54:02 2025</t>
  </si>
  <si>
    <t>FoodMarket4.Q27.ecm.ai</t>
  </si>
  <si>
    <t>Wed Dec 17 20:49:18 2025</t>
  </si>
  <si>
    <t>FoodMarket4.Q32.ecm.ai</t>
  </si>
  <si>
    <t>Wed Dec 17 19:38:32 2025</t>
  </si>
  <si>
    <t>FoodMarket4.Q37.ecm.ai</t>
  </si>
  <si>
    <t>Wed Dec 17 19:16:02 2025</t>
  </si>
  <si>
    <t>Campfire.Q22.ecm.ai</t>
  </si>
  <si>
    <t>Wed Dec 17 22:20:09 2025</t>
  </si>
  <si>
    <t>Campfire.Q27.ecm.ai</t>
  </si>
  <si>
    <t>Wed Dec 17 21:10:18 2025</t>
  </si>
  <si>
    <t>Campfire.Q32.ecm.ai</t>
  </si>
  <si>
    <t>Wed Dec 17 19:38:01 2025</t>
  </si>
  <si>
    <t>Campfire.Q37.ecm.ai</t>
  </si>
  <si>
    <t>Wed Dec 17 18:46:51 2025</t>
  </si>
  <si>
    <t>CatRobot.Q22.ecm.ai</t>
  </si>
  <si>
    <t>Wed Dec 17 22:39:40 2025</t>
  </si>
  <si>
    <t>CatRobot.Q27.ecm.ai</t>
  </si>
  <si>
    <t>Wed Dec 17 19:35:25 2025</t>
  </si>
  <si>
    <t>CatRobot.Q32.ecm.ai</t>
  </si>
  <si>
    <t>Wed Dec 17 19:11:25 2025</t>
  </si>
  <si>
    <t>CatRobot.Q37.ecm.ai</t>
  </si>
  <si>
    <t>Wed Dec 17 18:36:46 2025</t>
  </si>
  <si>
    <t>DaylightRoad2.Q22.ecm.ai</t>
  </si>
  <si>
    <t>Thu Dec 18 00:32:01 2025</t>
  </si>
  <si>
    <t>DaylightRoad2.Q27.ecm.ai</t>
  </si>
  <si>
    <t>Wed Dec 17 20:31:23 2025</t>
  </si>
  <si>
    <t>DaylightRoad2.Q32.ecm.ai</t>
  </si>
  <si>
    <t>Wed Dec 17 19:01:51 2025</t>
  </si>
  <si>
    <t>DaylightRoad2.Q37.ecm.ai</t>
  </si>
  <si>
    <t>Wed Dec 17 18:28:23 2025</t>
  </si>
  <si>
    <t>ParkRunning3.Q22.ecm.ai</t>
  </si>
  <si>
    <t>Wed Dec 17 21:26:34 2025</t>
  </si>
  <si>
    <t>ParkRunning3.Q27.ecm.ai</t>
  </si>
  <si>
    <t>Wed Dec 17 21:20:12 2025</t>
  </si>
  <si>
    <t>ParkRunning3.Q32.ecm.ai</t>
  </si>
  <si>
    <t>Wed Dec 17 20:15:06 2025</t>
  </si>
  <si>
    <t>ParkRunning3.Q37.ecm.ai</t>
  </si>
  <si>
    <t>Wed Dec 17 19:19:22 2025</t>
  </si>
  <si>
    <t>MarketPlace.Q22.ecm.ai</t>
  </si>
  <si>
    <t>Wed Dec 17 18:49:58 2025</t>
  </si>
  <si>
    <t>MarketPlace.Q27.ecm.ai</t>
  </si>
  <si>
    <t>Wed Dec 17 18:28:43 2025</t>
  </si>
  <si>
    <t>MarketPlace.Q32.ecm.ai</t>
  </si>
  <si>
    <t>Wed Dec 17 18:09:41 2025</t>
  </si>
  <si>
    <t>MarketPlace.Q37.ecm.ai</t>
  </si>
  <si>
    <t>Wed Dec 17 17:49:51 2025</t>
  </si>
  <si>
    <t>RitualDance.Q22.ecm.ai</t>
  </si>
  <si>
    <t>Fri Dec 19 15:40:42 2025</t>
  </si>
  <si>
    <t>RitualDance.Q27.ecm.ai</t>
  </si>
  <si>
    <t>Fri Dec 19 15:22:54 2025</t>
  </si>
  <si>
    <t>RitualDance.Q32.ecm.ai</t>
  </si>
  <si>
    <t>Wed Dec 17 17:34:23 2025</t>
  </si>
  <si>
    <t>RitualDance.Q37.ecm.ai</t>
  </si>
  <si>
    <t>Wed Dec 17 17:16:20 2025</t>
  </si>
  <si>
    <t>Cactus.Q22.ecm.ai</t>
  </si>
  <si>
    <t>Wed Dec 17 18:32:06 2025</t>
  </si>
  <si>
    <t>Cactus.Q27.ecm.ai</t>
  </si>
  <si>
    <t>Wed Dec 17 18:01:26 2025</t>
  </si>
  <si>
    <t>Cactus.Q32.ecm.ai</t>
  </si>
  <si>
    <t>Wed Dec 17 17:32:14 2025</t>
  </si>
  <si>
    <t>Cactus.Q37.ecm.ai</t>
  </si>
  <si>
    <t>Wed Dec 17 17:04:50 2025</t>
  </si>
  <si>
    <t>BasketballDrive.Q22.ecm.ai</t>
  </si>
  <si>
    <t>Wed Dec 17 18:04:03 2025</t>
  </si>
  <si>
    <t>BasketballDrive.Q27.ecm.ai</t>
  </si>
  <si>
    <t>Wed Dec 17 17:30:27 2025</t>
  </si>
  <si>
    <t>BasketballDrive.Q32.ecm.ai</t>
  </si>
  <si>
    <t>Wed Dec 17 17:11:49 2025</t>
  </si>
  <si>
    <t>BasketballDrive.Q37.ecm.ai</t>
  </si>
  <si>
    <t>Wed Dec 17 16:55:13 2025</t>
  </si>
  <si>
    <t>BQTerrace.Q22.ecm.ai</t>
  </si>
  <si>
    <t>Wed Dec 17 17:48:13 2025</t>
  </si>
  <si>
    <t>BQTerrace.Q27.ecm.ai</t>
  </si>
  <si>
    <t>Wed Dec 17 17:46:22 2025</t>
  </si>
  <si>
    <t>BQTerrace.Q32.ecm.ai</t>
  </si>
  <si>
    <t>Wed Dec 17 17:25:08 2025</t>
  </si>
  <si>
    <t>BQTerrace.Q37.ecm.ai</t>
  </si>
  <si>
    <t>Wed Dec 17 17:01:16 2025</t>
  </si>
  <si>
    <t>BasketballDrill.Q22.ecm.ai</t>
  </si>
  <si>
    <t>Wed Dec 17 16:45:32 2025</t>
  </si>
  <si>
    <t>BasketballDrill.Q27.ecm.ai</t>
  </si>
  <si>
    <t>Wed Dec 17 16:42:54 2025</t>
  </si>
  <si>
    <t>BasketballDrill.Q32.ecm.ai</t>
  </si>
  <si>
    <t>Wed Dec 17 16:36:45 2025</t>
  </si>
  <si>
    <t>BasketballDrill.Q37.ecm.ai</t>
  </si>
  <si>
    <t>Wed Dec 17 16:33:04 2025</t>
  </si>
  <si>
    <t>BQMall.Q22.ecm.ai</t>
  </si>
  <si>
    <t>Wed Dec 17 16:38:48 2025</t>
  </si>
  <si>
    <t>BQMall.Q27.ecm.ai</t>
  </si>
  <si>
    <t>Wed Dec 17 16:35:44 2025</t>
  </si>
  <si>
    <t>BQMall.Q32.ecm.ai</t>
  </si>
  <si>
    <t>Wed Dec 17 16:32:13 2025</t>
  </si>
  <si>
    <t>BQMall.Q37.ecm.ai</t>
  </si>
  <si>
    <t>Wed Dec 17 16:27:01 2025</t>
  </si>
  <si>
    <t>PartyScene.Q22.ecm.ai</t>
  </si>
  <si>
    <t>Wed Dec 17 16:36:23 2025</t>
  </si>
  <si>
    <t>PartyScene.Q27.ecm.ai</t>
  </si>
  <si>
    <t>Wed Dec 17 16:34:45 2025</t>
  </si>
  <si>
    <t>PartyScene.Q32.ecm.ai</t>
  </si>
  <si>
    <t>Wed Dec 17 16:32:11 2025</t>
  </si>
  <si>
    <t>PartyScene.Q37.ecm.ai</t>
  </si>
  <si>
    <t>Wed Dec 17 16:27:17 2025</t>
  </si>
  <si>
    <t>RaceHorsesC.Q22.ecm.ai</t>
  </si>
  <si>
    <t>Wed Dec 17 16:32:07 2025</t>
  </si>
  <si>
    <t>RaceHorsesC.Q27.ecm.ai</t>
  </si>
  <si>
    <t>Wed Dec 17 16:27:50 2025</t>
  </si>
  <si>
    <t>RaceHorsesC.Q32.ecm.ai</t>
  </si>
  <si>
    <t>Wed Dec 17 16:24:39 2025</t>
  </si>
  <si>
    <t>RaceHorsesC.Q37.ecm.ai</t>
  </si>
  <si>
    <t>Wed Dec 17 16:19:45 2025</t>
  </si>
  <si>
    <t>BasketballPass.Q22.ecm.ai</t>
  </si>
  <si>
    <t>Wed Dec 17 13:49:30 2025</t>
  </si>
  <si>
    <t>BasketballPass.Q27.ecm.ai</t>
  </si>
  <si>
    <t>Wed Dec 17 13:48:11 2025</t>
  </si>
  <si>
    <t>BasketballPass.Q32.ecm.ai</t>
  </si>
  <si>
    <t>Wed Dec 17 13:46:56 2025</t>
  </si>
  <si>
    <t>BasketballPass.Q37.ecm.ai</t>
  </si>
  <si>
    <t>Wed Dec 17 13:45:15 2025</t>
  </si>
  <si>
    <t>BQSquare.Q22.ecm.ai</t>
  </si>
  <si>
    <t>Wed Dec 17 13:46:59 2025</t>
  </si>
  <si>
    <t>BQSquare.Q27.ecm.ai</t>
  </si>
  <si>
    <t>Wed Dec 17 13:44:48 2025</t>
  </si>
  <si>
    <t>BQSquare.Q32.ecm.ai</t>
  </si>
  <si>
    <t>Wed Dec 17 13:43:40 2025</t>
  </si>
  <si>
    <t>BQSquare.Q37.ecm.ai</t>
  </si>
  <si>
    <t>Wed Dec 17 13:41:29 2025</t>
  </si>
  <si>
    <t>BlowingBubbles.Q22.ecm.ai</t>
  </si>
  <si>
    <t>Wed Dec 17 13:42:04 2025</t>
  </si>
  <si>
    <t>BlowingBubbles.Q27.ecm.ai</t>
  </si>
  <si>
    <t>Wed Dec 17 13:40:11 2025</t>
  </si>
  <si>
    <t>BlowingBubbles.Q32.ecm.ai</t>
  </si>
  <si>
    <t>Wed Dec 17 13:38:06 2025</t>
  </si>
  <si>
    <t>BlowingBubbles.Q37.ecm.ai</t>
  </si>
  <si>
    <t>Wed Dec 17 13:36:30 2025</t>
  </si>
  <si>
    <t>RaceHorses.Q22.ecm.ai</t>
  </si>
  <si>
    <t>Wed Dec 17 13:34:35 2025</t>
  </si>
  <si>
    <t>RaceHorses.Q27.ecm.ai</t>
  </si>
  <si>
    <t>Wed Dec 17 13:31:46 2025</t>
  </si>
  <si>
    <t>RaceHorses.Q32.ecm.ai</t>
  </si>
  <si>
    <t>Wed Dec 17 13:29:13 2025</t>
  </si>
  <si>
    <t>RaceHorses.Q37.ecm.ai</t>
  </si>
  <si>
    <t>Wed Dec 17 13:25:42 2025</t>
  </si>
  <si>
    <t>FourPeople.Q22.ecm.ai</t>
  </si>
  <si>
    <t>Wed Dec 17 16:36:10 2025</t>
  </si>
  <si>
    <t>FourPeople.Q27.ecm.ai</t>
  </si>
  <si>
    <t>Wed Dec 17 16:26:43 2025</t>
  </si>
  <si>
    <t>FourPeople.Q32.ecm.ai</t>
  </si>
  <si>
    <t>Wed Dec 17 16:19:27 2025</t>
  </si>
  <si>
    <t>FourPeople.Q37.ecm.ai</t>
  </si>
  <si>
    <t>Wed Dec 17 16:12:29 2025</t>
  </si>
  <si>
    <t>Johnny.Q22.ecm.ai</t>
  </si>
  <si>
    <t>Wed Dec 17 16:22:29 2025</t>
  </si>
  <si>
    <t>Johnny.Q27.ecm.ai</t>
  </si>
  <si>
    <t>Wed Dec 17 16:13:48 2025</t>
  </si>
  <si>
    <t>Johnny.Q32.ecm.ai</t>
  </si>
  <si>
    <t>Wed Dec 17 16:07:51 2025</t>
  </si>
  <si>
    <t>Johnny.Q37.ecm.ai</t>
  </si>
  <si>
    <t>Wed Dec 17 16:02:06 2025</t>
  </si>
  <si>
    <t>KristenAndSara.Q22.ecm.ai</t>
  </si>
  <si>
    <t>Wed Dec 17 16:16:32 2025</t>
  </si>
  <si>
    <t>KristenAndSara.Q27.ecm.ai</t>
  </si>
  <si>
    <t>Wed Dec 17 16:06:55 2025</t>
  </si>
  <si>
    <t>KristenAndSara.Q32.ecm.ai</t>
  </si>
  <si>
    <t>Wed Dec 17 15:59:07 2025</t>
  </si>
  <si>
    <t>KristenAndSara.Q37.ecm.ai</t>
  </si>
  <si>
    <t>Wed Dec 17 15:54:26 2025</t>
  </si>
  <si>
    <t>BasketballDrillText.Q22.ecm.ai</t>
  </si>
  <si>
    <t>Wed Dec 17 16:09:32 2025</t>
  </si>
  <si>
    <t>BasketballDrillText.Q27.ecm.ai</t>
  </si>
  <si>
    <t>Wed Dec 17 16:04:15 2025</t>
  </si>
  <si>
    <t>BasketballDrillText.Q32.ecm.ai</t>
  </si>
  <si>
    <t>Wed Dec 17 15:52:41 2025</t>
  </si>
  <si>
    <t>BasketballDrillText.Q37.ecm.ai</t>
  </si>
  <si>
    <t>Wed Dec 17 15:47:23 2025</t>
  </si>
  <si>
    <t>ArenaOfValor.Q22.ecm.ai</t>
  </si>
  <si>
    <t>Wed Dec 17 17:38:05 2025</t>
  </si>
  <si>
    <t>ArenaOfValor.Q27.ecm.ai</t>
  </si>
  <si>
    <t>Wed Dec 17 17:08:25 2025</t>
  </si>
  <si>
    <t>ArenaOfValor.Q32.ecm.ai</t>
  </si>
  <si>
    <t>Wed Dec 17 16:39:10 2025</t>
  </si>
  <si>
    <t>ArenaOfValor.Q37.ecm.ai</t>
  </si>
  <si>
    <t>Wed Dec 17 16:05:57 2025</t>
  </si>
  <si>
    <t>SlideEditing.Q22.ecm.ai</t>
  </si>
  <si>
    <t>Wed Dec 17 15:46:23 2025</t>
  </si>
  <si>
    <t>SlideEditing.Q27.ecm.ai</t>
  </si>
  <si>
    <t>Wed Dec 17 15:48:11 2025</t>
  </si>
  <si>
    <t>SlideEditing.Q32.ecm.ai</t>
  </si>
  <si>
    <t>Wed Dec 17 15:46:24 2025</t>
  </si>
  <si>
    <t>SlideEditing.Q37.ecm.ai</t>
  </si>
  <si>
    <t>Wed Dec 17 15:40:36 2025</t>
  </si>
  <si>
    <t>SlideShow.Q22.ecm.ai</t>
  </si>
  <si>
    <t>Wed Dec 17 15:32:00 2025</t>
  </si>
  <si>
    <t>SlideShow.Q27.ecm.ai</t>
  </si>
  <si>
    <t>Wed Dec 17 15:28:10 2025</t>
  </si>
  <si>
    <t>SlideShow.Q32.ecm.ai</t>
  </si>
  <si>
    <t>Wed Dec 17 15:26:59 2025</t>
  </si>
  <si>
    <t>SlideShow.Q37.ecm.ai</t>
  </si>
  <si>
    <t>Wed Dec 17 15:18:57 2025</t>
  </si>
  <si>
    <t>FlyingGraphics_420.Q22.ecm.ai</t>
  </si>
  <si>
    <t>Wed Dec 17 16:03:28 2025</t>
  </si>
  <si>
    <t>FlyingGraphics_420.Q27.ecm.ai</t>
  </si>
  <si>
    <t>Wed Dec 17 16:01:35 2025</t>
  </si>
  <si>
    <t>FlyingGraphics_420.Q32.ecm.ai</t>
  </si>
  <si>
    <t>Wed Dec 17 15:55:43 2025</t>
  </si>
  <si>
    <t>FlyingGraphics_420.Q37.ecm.ai</t>
  </si>
  <si>
    <t>Wed Dec 17 15:47:11 2025</t>
  </si>
  <si>
    <t>Desktop_420.Q22.ecm.ai</t>
  </si>
  <si>
    <t>Wed Dec 17 15:41:41 2025</t>
  </si>
  <si>
    <t>Desktop_420.Q27.ecm.ai</t>
  </si>
  <si>
    <t>Wed Dec 17 15:33:42 2025</t>
  </si>
  <si>
    <t>Desktop_420.Q32.ecm.ai</t>
  </si>
  <si>
    <t>Wed Dec 17 15:20:01 2025</t>
  </si>
  <si>
    <t>Desktop_420.Q37.ecm.ai</t>
  </si>
  <si>
    <t>Wed Dec 17 15:22:14 2025</t>
  </si>
  <si>
    <t>Console_420.Q22.ecm.ai</t>
  </si>
  <si>
    <t>Wed Dec 17 15:09:20 2025</t>
  </si>
  <si>
    <t>Console_420.Q27.ecm.ai</t>
  </si>
  <si>
    <t>Wed Dec 17 15:02:58 2025</t>
  </si>
  <si>
    <t>Console_420.Q32.ecm.ai</t>
  </si>
  <si>
    <t>Wed Dec 17 14:55:42 2025</t>
  </si>
  <si>
    <t>Console_420.Q37.ecm.ai</t>
  </si>
  <si>
    <t>Wed Dec 17 14:40:29 2025</t>
  </si>
  <si>
    <t>ChineseEditing_420.Q22.ecm.ai</t>
  </si>
  <si>
    <t>Wed Dec 17 15:12:14 2025</t>
  </si>
  <si>
    <t>ChineseEditing_420.Q27.ecm.ai</t>
  </si>
  <si>
    <t>Wed Dec 17 15:02:57 2025</t>
  </si>
  <si>
    <t>ChineseEditing_420.Q32.ecm.ai</t>
  </si>
  <si>
    <t>Wed Dec 17 15:02:59 2025</t>
  </si>
  <si>
    <t>ChineseEditing_420.Q37.ecm.ai</t>
  </si>
  <si>
    <t>Wed Dec 17 14:56:40 2025</t>
  </si>
  <si>
    <t>Tango2.Q22.ecm.ra</t>
  </si>
  <si>
    <t>Wed Dec 24 05:57:12 2025</t>
  </si>
  <si>
    <t>Tango2.Q27.ecm.ra</t>
  </si>
  <si>
    <t>Sun Dec 21 01:27:24 2025</t>
  </si>
  <si>
    <t>Tango2.Q32.ecm.ra</t>
  </si>
  <si>
    <t>Thu Dec 18 18:02:54 2025</t>
  </si>
  <si>
    <t>Tango2.Q37.ecm.ra</t>
  </si>
  <si>
    <t>Thu Dec 18 07:15:35 2025</t>
  </si>
  <si>
    <t>FoodMarket4.Q22.ecm.ra</t>
  </si>
  <si>
    <t>Wed Dec 24 15:44:32 2025</t>
  </si>
  <si>
    <t>FoodMarket4.Q27.ecm.ra</t>
  </si>
  <si>
    <t>Sun Dec 21 17:24:18 2025</t>
  </si>
  <si>
    <t>FoodMarket4.Q32.ecm.ra</t>
  </si>
  <si>
    <t>Fri Dec 19 00:47:07 2025</t>
  </si>
  <si>
    <t>FoodMarket4.Q37.ecm.ra</t>
  </si>
  <si>
    <t>Thu Dec 18 03:01:11 2025</t>
  </si>
  <si>
    <t>Campfire.Q22.ecm.ra</t>
  </si>
  <si>
    <t>Fri Dec 26 14:15:49 2025</t>
  </si>
  <si>
    <t>Campfire.Q27.ecm.ra</t>
  </si>
  <si>
    <t>Tue Dec 23 03:20:34 2025</t>
  </si>
  <si>
    <t>Campfire.Q32.ecm.ra</t>
  </si>
  <si>
    <t>Sun Dec 21 17:44:46 2025</t>
  </si>
  <si>
    <t>Campfire.Q37.ecm.ra</t>
  </si>
  <si>
    <t>Fri Dec 19 08:44:16 2025</t>
  </si>
  <si>
    <t>CatRobot.Q22.ecm.ra</t>
  </si>
  <si>
    <t>Sat Dec 20 19:44:14 2025</t>
  </si>
  <si>
    <t>CatRobot.Q27.ecm.ra</t>
  </si>
  <si>
    <t>Fri Dec 19 21:35:31 2025</t>
  </si>
  <si>
    <t>CatRobot.Q32.ecm.ra</t>
  </si>
  <si>
    <t>Thu Dec 18 14:27:33 2025</t>
  </si>
  <si>
    <t>CatRobot.Q37.ecm.ra</t>
  </si>
  <si>
    <t>Thu Dec 18 07:40:53 2025</t>
  </si>
  <si>
    <t>DaylightRoad2.Q22.ecm.ra</t>
  </si>
  <si>
    <t>Mon Dec 22 05:47:47 2025</t>
  </si>
  <si>
    <t>DaylightRoad2.Q27.ecm.ra</t>
  </si>
  <si>
    <t>Sat Dec 20 15:10:34 2025</t>
  </si>
  <si>
    <t>DaylightRoad2.Q32.ecm.ra</t>
  </si>
  <si>
    <t>Fri Dec 19 06:14:47 2025</t>
  </si>
  <si>
    <t>DaylightRoad2.Q37.ecm.ra</t>
  </si>
  <si>
    <t>Thu Dec 18 06:47:13 2025</t>
  </si>
  <si>
    <t>ParkRunning3.Q22.ecm.ra</t>
  </si>
  <si>
    <t>Wed Dec 24 06:41:42 2025</t>
  </si>
  <si>
    <t>ParkRunning3.Q27.ecm.ra</t>
  </si>
  <si>
    <t>Mon Dec 22 12:18:23 2025</t>
  </si>
  <si>
    <t>ParkRunning3.Q32.ecm.ra</t>
  </si>
  <si>
    <t>Sat Dec 20 23:23:55 2025</t>
  </si>
  <si>
    <t>ParkRunning3.Q37.ecm.ra</t>
  </si>
  <si>
    <t>Fri Dec 19 19:30:15 2025</t>
  </si>
  <si>
    <t>MarketPlace.Q22.ecm.ra</t>
  </si>
  <si>
    <t>Fri Dec 19 12:12:40 2025</t>
  </si>
  <si>
    <t>MarketPlace.Q27.ecm.ra</t>
  </si>
  <si>
    <t>Thu Dec 18 09:24:12 2025</t>
  </si>
  <si>
    <t>MarketPlace.Q32.ecm.ra</t>
  </si>
  <si>
    <t>Thu Dec 18 05:14:01 2025</t>
  </si>
  <si>
    <t>MarketPlace.Q37.ecm.ra</t>
  </si>
  <si>
    <t>Thu Dec 18 02:14:44 2025</t>
  </si>
  <si>
    <t>RitualDance.Q22.ecm.ra</t>
  </si>
  <si>
    <t>Thu Dec 18 18:05:47 2025</t>
  </si>
  <si>
    <t>RitualDance.Q27.ecm.ra</t>
  </si>
  <si>
    <t>Thu Dec 18 11:15:00 2025</t>
  </si>
  <si>
    <t>RitualDance.Q32.ecm.ra</t>
  </si>
  <si>
    <t>Thu Dec 18 07:41:02 2025</t>
  </si>
  <si>
    <t>RitualDance.Q37.ecm.ra</t>
  </si>
  <si>
    <t>Thu Dec 18 01:42:13 2025</t>
  </si>
  <si>
    <t>Cactus.Q22.ecm.ra</t>
  </si>
  <si>
    <t>Thu Dec 18 13:46:20 2025</t>
  </si>
  <si>
    <t>Cactus.Q27.ecm.ra</t>
  </si>
  <si>
    <t>Thu Dec 18 06:03:28 2025</t>
  </si>
  <si>
    <t>Cactus.Q32.ecm.ra</t>
  </si>
  <si>
    <t>Thu Dec 18 00:42:45 2025</t>
  </si>
  <si>
    <t>Cactus.Q37.ecm.ra</t>
  </si>
  <si>
    <t>Wed Dec 17 20:25:36 2025</t>
  </si>
  <si>
    <t>BasketballDrive.Q22.ecm.ra</t>
  </si>
  <si>
    <t>Thu Dec 18 22:44:53 2025</t>
  </si>
  <si>
    <t>BasketballDrive.Q27.ecm.ra</t>
  </si>
  <si>
    <t>Thu Dec 18 05:13:04 2025</t>
  </si>
  <si>
    <t>BasketballDrive.Q32.ecm.ra</t>
  </si>
  <si>
    <t>Thu Dec 18 00:11:52 2025</t>
  </si>
  <si>
    <t>BasketballDrive.Q37.ecm.ra</t>
  </si>
  <si>
    <t>fail(md5 mismatch).</t>
  </si>
  <si>
    <t>Fri Dec 19 18:42:53 2025</t>
  </si>
  <si>
    <t>BQTerrace.Q22.ecm.ra</t>
  </si>
  <si>
    <t>Thu Dec 18 11:16:22 2025</t>
  </si>
  <si>
    <t>BQTerrace.Q27.ecm.ra</t>
  </si>
  <si>
    <t>Wed Dec 17 22:34:42 2025</t>
  </si>
  <si>
    <t>BQTerrace.Q32.ecm.ra</t>
  </si>
  <si>
    <t>Wed Dec 17 17:14:33 2025</t>
  </si>
  <si>
    <t>BQTerrace.Q37.ecm.ra</t>
  </si>
  <si>
    <t>Wed Dec 17 14:38:13 2025</t>
  </si>
  <si>
    <t>BasketballDrill.Q22.ecm.ra</t>
  </si>
  <si>
    <t>Wed Dec 17 13:31:13 2025</t>
  </si>
  <si>
    <t>BasketballDrill.Q27.ecm.ra</t>
  </si>
  <si>
    <t>Wed Dec 17 12:54:56 2025</t>
  </si>
  <si>
    <t>BasketballDrill.Q32.ecm.ra</t>
  </si>
  <si>
    <t>Wed Dec 17 12:23:59 2025</t>
  </si>
  <si>
    <t>BasketballDrill.Q37.ecm.ra</t>
  </si>
  <si>
    <t>Wed Dec 17 12:00:27 2025</t>
  </si>
  <si>
    <t>BQMall.Q22.ecm.ra</t>
  </si>
  <si>
    <t>Wed Dec 17 13:44:17 2025</t>
  </si>
  <si>
    <t>BQMall.Q27.ecm.ra</t>
  </si>
  <si>
    <t>Wed Dec 17 13:01:29 2025</t>
  </si>
  <si>
    <t>BQMall.Q32.ecm.ra</t>
  </si>
  <si>
    <t>Wed Dec 17 12:28:51 2025</t>
  </si>
  <si>
    <t>BQMall.Q37.ecm.ra</t>
  </si>
  <si>
    <t>Wed Dec 17 11:58:39 2025</t>
  </si>
  <si>
    <t>PartyScene.Q22.ecm.ra</t>
  </si>
  <si>
    <t>Wed Dec 17 14:28:17 2025</t>
  </si>
  <si>
    <t>PartyScene.Q27.ecm.ra</t>
  </si>
  <si>
    <t>Wed Dec 17 13:38:45 2025</t>
  </si>
  <si>
    <t>PartyScene.Q32.ecm.ra</t>
  </si>
  <si>
    <t>Wed Dec 17 13:00:56 2025</t>
  </si>
  <si>
    <t>PartyScene.Q37.ecm.ra</t>
  </si>
  <si>
    <t>Wed Dec 17 12:27:01 2025</t>
  </si>
  <si>
    <t>RaceHorsesC.Q22.ecm.ra</t>
  </si>
  <si>
    <t>Wed Dec 17 16:34:09 2025</t>
  </si>
  <si>
    <t>RaceHorsesC.Q27.ecm.ra</t>
  </si>
  <si>
    <t>Wed Dec 17 14:33:14 2025</t>
  </si>
  <si>
    <t>RaceHorsesC.Q32.ecm.ra</t>
  </si>
  <si>
    <t>Wed Dec 17 13:29:05 2025</t>
  </si>
  <si>
    <t>RaceHorsesC.Q37.ecm.ra</t>
  </si>
  <si>
    <t>Wed Dec 17 12:35:08 2025</t>
  </si>
  <si>
    <t>BasketballPass.Q22.ecm.ra</t>
  </si>
  <si>
    <t>Wed Dec 17 12:23:50 2025</t>
  </si>
  <si>
    <t>BasketballPass.Q27.ecm.ra</t>
  </si>
  <si>
    <t>Wed Dec 17 12:04:50 2025</t>
  </si>
  <si>
    <t>BasketballPass.Q32.ecm.ra</t>
  </si>
  <si>
    <t>Wed Dec 17 11:48:03 2025</t>
  </si>
  <si>
    <t>BasketballPass.Q37.ecm.ra</t>
  </si>
  <si>
    <t>Wed Dec 17 11:32:53 2025</t>
  </si>
  <si>
    <t>BQSquare.Q22.ecm.ra</t>
  </si>
  <si>
    <t>Wed Dec 17 11:59:20 2025</t>
  </si>
  <si>
    <t>BQSquare.Q27.ecm.ra</t>
  </si>
  <si>
    <t>Wed Dec 17 11:29:13 2025</t>
  </si>
  <si>
    <t>BQSquare.Q32.ecm.ra</t>
  </si>
  <si>
    <t>Wed Dec 17 11:18:03 2025</t>
  </si>
  <si>
    <t>BQSquare.Q37.ecm.ra</t>
  </si>
  <si>
    <t>Wed Dec 17 11:13:20 2025</t>
  </si>
  <si>
    <t>BlowingBubbles.Q22.ecm.ra</t>
  </si>
  <si>
    <t>Wed Dec 17 12:07:55 2025</t>
  </si>
  <si>
    <t>BlowingBubbles.Q27.ecm.ra</t>
  </si>
  <si>
    <t>Wed Dec 17 11:51:43 2025</t>
  </si>
  <si>
    <t>BlowingBubbles.Q32.ecm.ra</t>
  </si>
  <si>
    <t>Wed Dec 17 11:38:19 2025</t>
  </si>
  <si>
    <t>BlowingBubbles.Q37.ecm.ra</t>
  </si>
  <si>
    <t>Wed Dec 17 11:26:23 2025</t>
  </si>
  <si>
    <t>RaceHorses.Q22.ecm.ra</t>
  </si>
  <si>
    <t>Wed Dec 17 12:27:23 2025</t>
  </si>
  <si>
    <t>RaceHorses.Q27.ecm.ra</t>
  </si>
  <si>
    <t>Wed Dec 17 12:07:08 2025</t>
  </si>
  <si>
    <t>RaceHorses.Q32.ecm.ra</t>
  </si>
  <si>
    <t>Wed Dec 17 11:49:06 2025</t>
  </si>
  <si>
    <t>RaceHorses.Q37.ecm.ra</t>
  </si>
  <si>
    <t>Wed Dec 17 11:33:14 2025</t>
  </si>
  <si>
    <t>FourPeople.Q22.ecm.ra</t>
  </si>
  <si>
    <t>FourPeople.Q27.ecm.ra</t>
  </si>
  <si>
    <t>FourPeople.Q32.ecm.ra</t>
  </si>
  <si>
    <t>FourPeople.Q37.ecm.ra</t>
  </si>
  <si>
    <t>Johnny.Q22.ecm.ra</t>
  </si>
  <si>
    <t>Johnny.Q27.ecm.ra</t>
  </si>
  <si>
    <t>Johnny.Q32.ecm.ra</t>
  </si>
  <si>
    <t>Johnny.Q37.ecm.ra</t>
  </si>
  <si>
    <t>KristenAndSara.Q22.ecm.ra</t>
  </si>
  <si>
    <t>KristenAndSara.Q27.ecm.ra</t>
  </si>
  <si>
    <t>KristenAndSara.Q32.ecm.ra</t>
  </si>
  <si>
    <t>KristenAndSara.Q37.ecm.ra</t>
  </si>
  <si>
    <t>BasketballDrillText.Q22.ecm.ra</t>
  </si>
  <si>
    <t>Wed Dec 17 12:49:55 2025</t>
  </si>
  <si>
    <t>BasketballDrillText.Q27.ecm.ra</t>
  </si>
  <si>
    <t>Wed Dec 17 12:20:14 2025</t>
  </si>
  <si>
    <t>BasketballDrillText.Q32.ecm.ra</t>
  </si>
  <si>
    <t>Wed Dec 17 12:00:26 2025</t>
  </si>
  <si>
    <t>BasketballDrillText.Q37.ecm.ra</t>
  </si>
  <si>
    <t>Wed Dec 17 11:44:22 2025</t>
  </si>
  <si>
    <t>ArenaOfValor.Q22.ecm.ra</t>
  </si>
  <si>
    <t>Wed Dec 17 18:31:56 2025</t>
  </si>
  <si>
    <t>ArenaOfValor.Q27.ecm.ra</t>
  </si>
  <si>
    <t>Wed Dec 17 16:18:49 2025</t>
  </si>
  <si>
    <t>ArenaOfValor.Q32.ecm.ra</t>
  </si>
  <si>
    <t>Wed Dec 17 14:43:30 2025</t>
  </si>
  <si>
    <t>ArenaOfValor.Q37.ecm.ra</t>
  </si>
  <si>
    <t>Wed Dec 17 13:40:53 2025</t>
  </si>
  <si>
    <t>SlideEditing.Q22.ecm.ra</t>
  </si>
  <si>
    <t>Wed Dec 17 11:44:35 2025</t>
  </si>
  <si>
    <t>SlideEditing.Q27.ecm.ra</t>
  </si>
  <si>
    <t>Wed Dec 17 11:40:33 2025</t>
  </si>
  <si>
    <t>SlideEditing.Q32.ecm.ra</t>
  </si>
  <si>
    <t>Wed Dec 17 11:37:45 2025</t>
  </si>
  <si>
    <t>SlideEditing.Q37.ecm.ra</t>
  </si>
  <si>
    <t>Wed Dec 17 11:35:01 2025</t>
  </si>
  <si>
    <t>SlideShow.Q22.ecm.ra</t>
  </si>
  <si>
    <t>Wed Dec 17 12:28:50 2025</t>
  </si>
  <si>
    <t>SlideShow.Q27.ecm.ra</t>
  </si>
  <si>
    <t>Wed Dec 17 12:16:49 2025</t>
  </si>
  <si>
    <t>SlideShow.Q32.ecm.ra</t>
  </si>
  <si>
    <t>Wed Dec 17 12:02:04 2025</t>
  </si>
  <si>
    <t>SlideShow.Q37.ecm.ra</t>
  </si>
  <si>
    <t>Wed Dec 17 11:45:19 2025</t>
  </si>
  <si>
    <t>FlyingGraphics_420.Q22.ecm.ra</t>
  </si>
  <si>
    <t>Wed Dec 17 20:03:30 2025</t>
  </si>
  <si>
    <t>FlyingGraphics_420.Q27.ecm.ra</t>
  </si>
  <si>
    <t>Wed Dec 17 18:54:43 2025</t>
  </si>
  <si>
    <t>FlyingGraphics_420.Q32.ecm.ra</t>
  </si>
  <si>
    <t>Wed Dec 17 17:41:47 2025</t>
  </si>
  <si>
    <t>FlyingGraphics_420.Q37.ecm.ra</t>
  </si>
  <si>
    <t>Wed Dec 17 16:12:48 2025</t>
  </si>
  <si>
    <t>Desktop_420.Q22.ecm.ra</t>
  </si>
  <si>
    <t>Wed Dec 17 13:26:20 2025</t>
  </si>
  <si>
    <t>Desktop_420.Q27.ecm.ra</t>
  </si>
  <si>
    <t>Wed Dec 17 13:16:47 2025</t>
  </si>
  <si>
    <t>Desktop_420.Q32.ecm.ra</t>
  </si>
  <si>
    <t>Wed Dec 17 13:10:08 2025</t>
  </si>
  <si>
    <t>Desktop_420.Q37.ecm.ra</t>
  </si>
  <si>
    <t>Wed Dec 17 13:00:59 2025</t>
  </si>
  <si>
    <t>Console_420.Q22.ecm.ra</t>
  </si>
  <si>
    <t>Wed Dec 17 14:36:26 2025</t>
  </si>
  <si>
    <t>Console_420.Q27.ecm.ra</t>
  </si>
  <si>
    <t>Wed Dec 17 14:17:18 2025</t>
  </si>
  <si>
    <t>Console_420.Q32.ecm.ra</t>
  </si>
  <si>
    <t>Wed Dec 17 13:54:54 2025</t>
  </si>
  <si>
    <t>Console_420.Q37.ecm.ra</t>
  </si>
  <si>
    <t>Wed Dec 17 13:35:05 2025</t>
  </si>
  <si>
    <t>ChineseEditing_420.Q22.ecm.ra</t>
  </si>
  <si>
    <t>Wed Dec 17 13:40:34 2025</t>
  </si>
  <si>
    <t>ChineseEditing_420.Q27.ecm.ra</t>
  </si>
  <si>
    <t>Wed Dec 17 13:39:24 2025</t>
  </si>
  <si>
    <t>ChineseEditing_420.Q32.ecm.ra</t>
  </si>
  <si>
    <t>Wed Dec 17 13:33:01 2025</t>
  </si>
  <si>
    <t>ChineseEditing_420.Q37.ecm.ra</t>
  </si>
  <si>
    <t>Wed Dec 17 13:23:17 2025</t>
  </si>
  <si>
    <t>Tango2.Q22.ecm.lb</t>
  </si>
  <si>
    <t>Tango2.Q27.ecm.lb</t>
  </si>
  <si>
    <t>Tango2.Q32.ecm.lb</t>
  </si>
  <si>
    <t>Tango2.Q37.ecm.lb</t>
  </si>
  <si>
    <t>FoodMarket4.Q22.ecm.lb</t>
  </si>
  <si>
    <t>FoodMarket4.Q27.ecm.lb</t>
  </si>
  <si>
    <t>FoodMarket4.Q32.ecm.lb</t>
  </si>
  <si>
    <t>FoodMarket4.Q37.ecm.lb</t>
  </si>
  <si>
    <t>Campfire.Q22.ecm.lb</t>
  </si>
  <si>
    <t>Campfire.Q27.ecm.lb</t>
  </si>
  <si>
    <t>Campfire.Q32.ecm.lb</t>
  </si>
  <si>
    <t>Campfire.Q37.ecm.lb</t>
  </si>
  <si>
    <t>CatRobot.Q22.ecm.lb</t>
  </si>
  <si>
    <t>CatRobot.Q27.ecm.lb</t>
  </si>
  <si>
    <t>CatRobot.Q32.ecm.lb</t>
  </si>
  <si>
    <t>CatRobot.Q37.ecm.lb</t>
  </si>
  <si>
    <t>DaylightRoad2.Q22.ecm.lb</t>
  </si>
  <si>
    <t>DaylightRoad2.Q27.ecm.lb</t>
  </si>
  <si>
    <t>DaylightRoad2.Q32.ecm.lb</t>
  </si>
  <si>
    <t>DaylightRoad2.Q37.ecm.lb</t>
  </si>
  <si>
    <t>ParkRunning3.Q22.ecm.lb</t>
  </si>
  <si>
    <t>ParkRunning3.Q27.ecm.lb</t>
  </si>
  <si>
    <t>ParkRunning3.Q32.ecm.lb</t>
  </si>
  <si>
    <t>ParkRunning3.Q37.ecm.lb</t>
  </si>
  <si>
    <t>MarketPlace.Q22.ecm.lb</t>
  </si>
  <si>
    <t>Thu Dec 18 19:01:29 2025</t>
  </si>
  <si>
    <t>MarketPlace.Q27.ecm.lb</t>
  </si>
  <si>
    <t>Thu Dec 18 05:35:37 2025</t>
  </si>
  <si>
    <t>MarketPlace.Q32.ecm.lb</t>
  </si>
  <si>
    <t>Thu Dec 18 00:20:06 2025</t>
  </si>
  <si>
    <t>MarketPlace.Q37.ecm.lb</t>
  </si>
  <si>
    <t>Wed Dec 17 21:44:33 2025</t>
  </si>
  <si>
    <t>RitualDance.Q22.ecm.lb</t>
  </si>
  <si>
    <t>Thu Dec 18 20:00:31 2025</t>
  </si>
  <si>
    <t>RitualDance.Q27.ecm.lb</t>
  </si>
  <si>
    <t>Thu Dec 18 04:20:30 2025</t>
  </si>
  <si>
    <t>RitualDance.Q32.ecm.lb</t>
  </si>
  <si>
    <t>Thu Dec 18 04:24:31 2025</t>
  </si>
  <si>
    <t>RitualDance.Q37.ecm.lb</t>
  </si>
  <si>
    <t>Wed Dec 17 22:56:48 2025</t>
  </si>
  <si>
    <t>Cactus.Q22.ecm.lb</t>
  </si>
  <si>
    <t>Thu Dec 18 23:27:16 2025</t>
  </si>
  <si>
    <t>Cactus.Q27.ecm.lb</t>
  </si>
  <si>
    <t>Thu Dec 18 03:06:51 2025</t>
  </si>
  <si>
    <t>Cactus.Q32.ecm.lb</t>
  </si>
  <si>
    <t>Wed Dec 17 22:39:57 2025</t>
  </si>
  <si>
    <t>Cactus.Q37.ecm.lb</t>
  </si>
  <si>
    <t>Wed Dec 17 20:10:10 2025</t>
  </si>
  <si>
    <t>BasketballDrive.Q22.ecm.lb</t>
  </si>
  <si>
    <t>Fri Dec 19 11:57:35 2025</t>
  </si>
  <si>
    <t>BasketballDrive.Q27.ecm.lb</t>
  </si>
  <si>
    <t>Thu Dec 18 07:06:12 2025</t>
  </si>
  <si>
    <t>BasketballDrive.Q32.ecm.lb</t>
  </si>
  <si>
    <t>Thu Dec 18 01:33:11 2025</t>
  </si>
  <si>
    <t>BasketballDrive.Q37.ecm.lb</t>
  </si>
  <si>
    <t>Thu Dec 18 01:30:46 2025</t>
  </si>
  <si>
    <t>BQTerrace.Q22.ecm.lb</t>
  </si>
  <si>
    <t>Fri Dec 19 00:15:39 2025</t>
  </si>
  <si>
    <t>BQTerrace.Q27.ecm.lb</t>
  </si>
  <si>
    <t>Thu Dec 18 12:52:44 2025</t>
  </si>
  <si>
    <t>BQTerrace.Q32.ecm.lb</t>
  </si>
  <si>
    <t>Wed Dec 17 22:57:29 2025</t>
  </si>
  <si>
    <t>BQTerrace.Q37.ecm.lb</t>
  </si>
  <si>
    <t>Wed Dec 17 19:53:25 2025</t>
  </si>
  <si>
    <t>BasketballDrill.Q22.ecm.lb</t>
  </si>
  <si>
    <t>Wed Dec 17 17:32:55 2025</t>
  </si>
  <si>
    <t>BasketballDrill.Q27.ecm.lb</t>
  </si>
  <si>
    <t>Wed Dec 17 16:05:22 2025</t>
  </si>
  <si>
    <t>BasketballDrill.Q32.ecm.lb</t>
  </si>
  <si>
    <t>BasketballDrill.Q37.ecm.lb</t>
  </si>
  <si>
    <t>Wed Dec 17 14:22:32 2025</t>
  </si>
  <si>
    <t>BQMall.Q22.ecm.lb</t>
  </si>
  <si>
    <t>Wed Dec 17 18:24:43 2025</t>
  </si>
  <si>
    <t>BQMall.Q27.ecm.lb</t>
  </si>
  <si>
    <t>Wed Dec 17 16:25:07 2025</t>
  </si>
  <si>
    <t>BQMall.Q32.ecm.lb</t>
  </si>
  <si>
    <t>Wed Dec 17 16:21:52 2025</t>
  </si>
  <si>
    <t>BQMall.Q37.ecm.lb</t>
  </si>
  <si>
    <t>Wed Dec 17 14:25:45 2025</t>
  </si>
  <si>
    <t>PartyScene.Q22.ecm.lb</t>
  </si>
  <si>
    <t>Wed Dec 17 22:14:58 2025</t>
  </si>
  <si>
    <t>PartyScene.Q27.ecm.lb</t>
  </si>
  <si>
    <t>Wed Dec 17 17:38:48 2025</t>
  </si>
  <si>
    <t>PartyScene.Q32.ecm.lb</t>
  </si>
  <si>
    <t>Wed Dec 17 17:38:50 2025</t>
  </si>
  <si>
    <t>PartyScene.Q37.ecm.lb</t>
  </si>
  <si>
    <t>Wed Dec 17 15:01:49 2025</t>
  </si>
  <si>
    <t>RaceHorsesC.Q22.ecm.lb</t>
  </si>
  <si>
    <t>Wed Dec 17 19:49:17 2025</t>
  </si>
  <si>
    <t>RaceHorsesC.Q27.ecm.lb</t>
  </si>
  <si>
    <t>Wed Dec 17 17:07:46 2025</t>
  </si>
  <si>
    <t>RaceHorsesC.Q32.ecm.lb</t>
  </si>
  <si>
    <t>Wed Dec 17 15:45:36 2025</t>
  </si>
  <si>
    <t>RaceHorsesC.Q37.ecm.lb</t>
  </si>
  <si>
    <t>Wed Dec 17 14:00:14 2025</t>
  </si>
  <si>
    <t>BasketballPass.Q22.ecm.lb</t>
  </si>
  <si>
    <t>Wed Dec 17 13:43:59 2025</t>
  </si>
  <si>
    <t>BasketballPass.Q27.ecm.lb</t>
  </si>
  <si>
    <t>Wed Dec 17 13:05:16 2025</t>
  </si>
  <si>
    <t>BasketballPass.Q32.ecm.lb</t>
  </si>
  <si>
    <t>Wed Dec 17 13:05:12 2025</t>
  </si>
  <si>
    <t>BasketballPass.Q37.ecm.lb</t>
  </si>
  <si>
    <t>Wed Dec 17 12:37:21 2025</t>
  </si>
  <si>
    <t>BQSquare.Q22.ecm.lb</t>
  </si>
  <si>
    <t>Wed Dec 17 14:26:28 2025</t>
  </si>
  <si>
    <t>BQSquare.Q27.ecm.lb</t>
  </si>
  <si>
    <t>Wed Dec 17 13:14:27 2025</t>
  </si>
  <si>
    <t>BQSquare.Q32.ecm.lb</t>
  </si>
  <si>
    <t>Wed Dec 17 13:04:57 2025</t>
  </si>
  <si>
    <t>BQSquare.Q37.ecm.lb</t>
  </si>
  <si>
    <t>Wed Dec 17 12:31:54 2025</t>
  </si>
  <si>
    <t>BlowingBubbles.Q22.ecm.lb</t>
  </si>
  <si>
    <t>Wed Dec 17 13:35:37 2025</t>
  </si>
  <si>
    <t>BlowingBubbles.Q27.ecm.lb</t>
  </si>
  <si>
    <t>Wed Dec 17 13:36:10 2025</t>
  </si>
  <si>
    <t>BlowingBubbles.Q32.ecm.lb</t>
  </si>
  <si>
    <t>Wed Dec 17 12:49:36 2025</t>
  </si>
  <si>
    <t>BlowingBubbles.Q37.ecm.lb</t>
  </si>
  <si>
    <t>Wed Dec 17 12:35:39 2025</t>
  </si>
  <si>
    <t>RaceHorses.Q22.ecm.lb</t>
  </si>
  <si>
    <t>Wed Dec 17 13:11:11 2025</t>
  </si>
  <si>
    <t>RaceHorses.Q27.ecm.lb</t>
  </si>
  <si>
    <t>Wed Dec 17 12:51:52 2025</t>
  </si>
  <si>
    <t>RaceHorses.Q32.ecm.lb</t>
  </si>
  <si>
    <t>Wed Dec 17 12:52:05 2025</t>
  </si>
  <si>
    <t>RaceHorses.Q37.ecm.lb</t>
  </si>
  <si>
    <t>Wed Dec 17 12:25:50 2025</t>
  </si>
  <si>
    <t>FourPeople.Q22.ecm.lb</t>
  </si>
  <si>
    <t>Wed Dec 17 18:28:47 2025</t>
  </si>
  <si>
    <t>FourPeople.Q27.ecm.lb</t>
  </si>
  <si>
    <t>Wed Dec 17 16:21:55 2025</t>
  </si>
  <si>
    <t>FourPeople.Q32.ecm.lb</t>
  </si>
  <si>
    <t>Wed Dec 17 15:33:07 2025</t>
  </si>
  <si>
    <t>FourPeople.Q37.ecm.lb</t>
  </si>
  <si>
    <t>Wed Dec 17 14:52:03 2025</t>
  </si>
  <si>
    <t>Johnny.Q22.ecm.lb</t>
  </si>
  <si>
    <t>Wed Dec 17 18:33:14 2025</t>
  </si>
  <si>
    <t>Johnny.Q27.ecm.lb</t>
  </si>
  <si>
    <t>Wed Dec 17 15:59:11 2025</t>
  </si>
  <si>
    <t>Johnny.Q32.ecm.lb</t>
  </si>
  <si>
    <t>Wed Dec 17 14:54:13 2025</t>
  </si>
  <si>
    <t>Johnny.Q37.ecm.lb</t>
  </si>
  <si>
    <t>Wed Dec 17 14:18:28 2025</t>
  </si>
  <si>
    <t>KristenAndSara.Q22.ecm.lb</t>
  </si>
  <si>
    <t>Wed Dec 17 19:18:58 2025</t>
  </si>
  <si>
    <t>KristenAndSara.Q27.ecm.lb</t>
  </si>
  <si>
    <t>Wed Dec 17 16:36:22 2025</t>
  </si>
  <si>
    <t>KristenAndSara.Q32.ecm.lb</t>
  </si>
  <si>
    <t>Wed Dec 17 15:18:03 2025</t>
  </si>
  <si>
    <t>KristenAndSara.Q37.ecm.lb</t>
  </si>
  <si>
    <t>Wed Dec 17 14:30:00 2025</t>
  </si>
  <si>
    <t>BasketballDrillText.Q22.ecm.lb</t>
  </si>
  <si>
    <t>Wed Dec 17 20:37:16 2025</t>
  </si>
  <si>
    <t>BasketballDrillText.Q27.ecm.lb</t>
  </si>
  <si>
    <t>Wed Dec 17 16:38:51 2025</t>
  </si>
  <si>
    <t>BasketballDrillText.Q32.ecm.lb</t>
  </si>
  <si>
    <t>Wed Dec 17 16:15:51 2025</t>
  </si>
  <si>
    <t>BasketballDrillText.Q37.ecm.lb</t>
  </si>
  <si>
    <t>Wed Dec 17 14:16:19 2025</t>
  </si>
  <si>
    <t>ArenaOfValor.Q22.ecm.lb</t>
  </si>
  <si>
    <t>Thu Dec 18 16:25:25 2025</t>
  </si>
  <si>
    <t>ArenaOfValor.Q27.ecm.lb</t>
  </si>
  <si>
    <t>Thu Dec 18 06:28:46 2025</t>
  </si>
  <si>
    <t>ArenaOfValor.Q32.ecm.lb</t>
  </si>
  <si>
    <t>Thu Dec 18 01:41:41 2025</t>
  </si>
  <si>
    <t>ArenaOfValor.Q37.ecm.lb</t>
  </si>
  <si>
    <t>Wed Dec 17 21:28:34 2025</t>
  </si>
  <si>
    <t>SlideEditing.Q22.ecm.lb</t>
  </si>
  <si>
    <t>Wed Dec 17 13:33:03 2025</t>
  </si>
  <si>
    <t>SlideEditing.Q27.ecm.lb</t>
  </si>
  <si>
    <t>Wed Dec 17 13:25:56 2025</t>
  </si>
  <si>
    <t>SlideEditing.Q32.ecm.lb</t>
  </si>
  <si>
    <t>Wed Dec 17 13:21:18 2025</t>
  </si>
  <si>
    <t>SlideEditing.Q37.ecm.lb</t>
  </si>
  <si>
    <t>Wed Dec 17 13:13:34 2025</t>
  </si>
  <si>
    <t>SlideShow.Q22.ecm.lb</t>
  </si>
  <si>
    <t>Wed Dec 17 13:42:18 2025</t>
  </si>
  <si>
    <t>SlideShow.Q27.ecm.lb</t>
  </si>
  <si>
    <t>Wed Dec 17 13:22:53 2025</t>
  </si>
  <si>
    <t>SlideShow.Q32.ecm.lb</t>
  </si>
  <si>
    <t>Wed Dec 17 13:04:48 2025</t>
  </si>
  <si>
    <t>SlideShow.Q37.ecm.lb</t>
  </si>
  <si>
    <t>Wed Dec 17 12:51:32 2025</t>
  </si>
  <si>
    <t>FlyingGraphics_420.Q22.ecm.lb</t>
  </si>
  <si>
    <t>Thu Dec 18 18:18:34 2025</t>
  </si>
  <si>
    <t>FlyingGraphics_420.Q27.ecm.lb</t>
  </si>
  <si>
    <t>Fri Dec 19 03:19:59 2025</t>
  </si>
  <si>
    <t>FlyingGraphics_420.Q32.ecm.lb</t>
  </si>
  <si>
    <t>Thu Dec 18 09:24:31 2025</t>
  </si>
  <si>
    <t>FlyingGraphics_420.Q37.ecm.lb</t>
  </si>
  <si>
    <t>Thu Dec 18 04:53:03 2025</t>
  </si>
  <si>
    <t>Desktop_420.Q22.ecm.lb</t>
  </si>
  <si>
    <t>Wed Dec 17 18:18:45 2025</t>
  </si>
  <si>
    <t>Desktop_420.Q27.ecm.lb</t>
  </si>
  <si>
    <t>Wed Dec 17 20:09:01 2025</t>
  </si>
  <si>
    <t>Desktop_420.Q32.ecm.lb</t>
  </si>
  <si>
    <t>Wed Dec 17 19:48:21 2025</t>
  </si>
  <si>
    <t>Desktop_420.Q37.ecm.lb</t>
  </si>
  <si>
    <t>Wed Dec 17 17:24:05 2025</t>
  </si>
  <si>
    <t>Console_420.Q22.ecm.lb</t>
  </si>
  <si>
    <t>Wed Dec 17 22:05:47 2025</t>
  </si>
  <si>
    <t>Console_420.Q27.ecm.lb</t>
  </si>
  <si>
    <t>Wed Dec 17 21:06:31 2025</t>
  </si>
  <si>
    <t>Console_420.Q32.ecm.lb</t>
  </si>
  <si>
    <t>Wed Dec 17 20:52:42 2025</t>
  </si>
  <si>
    <t>Console_420.Q37.ecm.lb</t>
  </si>
  <si>
    <t>Wed Dec 17 19:57:11 2025</t>
  </si>
  <si>
    <t>ChineseEditing_420.Q22.ecm.lb</t>
  </si>
  <si>
    <t>Wed Dec 17 19:39:13 2025</t>
  </si>
  <si>
    <t>ChineseEditing_420.Q27.ecm.lb</t>
  </si>
  <si>
    <t>Wed Dec 17 21:56:28 2025</t>
  </si>
  <si>
    <t>ChineseEditing_420.Q32.ecm.lb</t>
  </si>
  <si>
    <t>Wed Dec 17 21:15:04 2025</t>
  </si>
  <si>
    <t>ChineseEditing_420.Q37.ecm.lb</t>
  </si>
  <si>
    <t>Wed Dec 17 18:03:29 2025</t>
  </si>
  <si>
    <t>Tango2.Q22.ecm.lp</t>
  </si>
  <si>
    <t>Tango2.Q27.ecm.lp</t>
  </si>
  <si>
    <t>Tango2.Q32.ecm.lp</t>
  </si>
  <si>
    <t>Tango2.Q37.ecm.lp</t>
  </si>
  <si>
    <t>FoodMarket4.Q22.ecm.lp</t>
  </si>
  <si>
    <t>FoodMarket4.Q27.ecm.lp</t>
  </si>
  <si>
    <t>FoodMarket4.Q32.ecm.lp</t>
  </si>
  <si>
    <t>FoodMarket4.Q37.ecm.lp</t>
  </si>
  <si>
    <t>Campfire.Q22.ecm.lp</t>
  </si>
  <si>
    <t>Campfire.Q27.ecm.lp</t>
  </si>
  <si>
    <t>Campfire.Q32.ecm.lp</t>
  </si>
  <si>
    <t>Campfire.Q37.ecm.lp</t>
  </si>
  <si>
    <t>CatRobot.Q22.ecm.lp</t>
  </si>
  <si>
    <t>CatRobot.Q27.ecm.lp</t>
  </si>
  <si>
    <t>CatRobot.Q32.ecm.lp</t>
  </si>
  <si>
    <t>CatRobot.Q37.ecm.lp</t>
  </si>
  <si>
    <t>DaylightRoad2.Q22.ecm.lp</t>
  </si>
  <si>
    <t>DaylightRoad2.Q27.ecm.lp</t>
  </si>
  <si>
    <t>DaylightRoad2.Q32.ecm.lp</t>
  </si>
  <si>
    <t>DaylightRoad2.Q37.ecm.lp</t>
  </si>
  <si>
    <t>ParkRunning3.Q22.ecm.lp</t>
  </si>
  <si>
    <t>ParkRunning3.Q27.ecm.lp</t>
  </si>
  <si>
    <t>ParkRunning3.Q32.ecm.lp</t>
  </si>
  <si>
    <t>ParkRunning3.Q37.ecm.lp</t>
  </si>
  <si>
    <t>MarketPlace.Q22.ecm.lp</t>
  </si>
  <si>
    <t>Sat Dec 20 18:01:00 2025</t>
  </si>
  <si>
    <t>MarketPlace.Q27.ecm.lp</t>
  </si>
  <si>
    <t>Sat Dec 20 05:10:05 2025</t>
  </si>
  <si>
    <t>MarketPlace.Q32.ecm.lp</t>
  </si>
  <si>
    <t>Sat Dec 20 01:29:03 2025</t>
  </si>
  <si>
    <t>MarketPlace.Q37.ecm.lp</t>
  </si>
  <si>
    <t>Fri Dec 19 22:04:03 2025</t>
  </si>
  <si>
    <t>RitualDance.Q22.ecm.lp</t>
  </si>
  <si>
    <t>Sat Dec 20 07:59:14 2025</t>
  </si>
  <si>
    <t>RitualDance.Q27.ecm.lp</t>
  </si>
  <si>
    <t>Sat Dec 20 04:12:06 2025</t>
  </si>
  <si>
    <t>RitualDance.Q32.ecm.lp</t>
  </si>
  <si>
    <t>Sat Dec 20 01:05:54 2025</t>
  </si>
  <si>
    <t>RitualDance.Q37.ecm.lp</t>
  </si>
  <si>
    <t>Fri Dec 19 22:35:14 2025</t>
  </si>
  <si>
    <t>Cactus.Q22.ecm.lp</t>
  </si>
  <si>
    <t>Sat Dec 20 10:41:40 2025</t>
  </si>
  <si>
    <t>Cactus.Q27.ecm.lp</t>
  </si>
  <si>
    <t>Sat Dec 20 03:12:07 2025</t>
  </si>
  <si>
    <t>Cactus.Q32.ecm.lp</t>
  </si>
  <si>
    <t>Sat Dec 20 00:27:46 2025</t>
  </si>
  <si>
    <t>Cactus.Q37.ecm.lp</t>
  </si>
  <si>
    <t>Fri Dec 19 22:43:36 2025</t>
  </si>
  <si>
    <t>BasketballDrive.Q22.ecm.lp</t>
  </si>
  <si>
    <t>Sun Dec 21 06:40:59 2025</t>
  </si>
  <si>
    <t>BasketballDrive.Q27.ecm.lp</t>
  </si>
  <si>
    <t>Sat Dec 20 13:59:46 2025</t>
  </si>
  <si>
    <t>BasketballDrive.Q32.ecm.lp</t>
  </si>
  <si>
    <t>Sat Dec 20 07:39:59 2025</t>
  </si>
  <si>
    <t>BasketballDrive.Q37.ecm.lp</t>
  </si>
  <si>
    <t>Sat Dec 20 03:49:11 2025</t>
  </si>
  <si>
    <t>BQTerrace.Q22.ecm.lp</t>
  </si>
  <si>
    <t>Sun Dec 21 14:00:58 2025</t>
  </si>
  <si>
    <t>BQTerrace.Q27.ecm.lp</t>
  </si>
  <si>
    <t>Sat Dec 20 11:33:14 2025</t>
  </si>
  <si>
    <t>BQTerrace.Q32.ecm.lp</t>
  </si>
  <si>
    <t>Sat Dec 20 04:28:53 2025</t>
  </si>
  <si>
    <t>BQTerrace.Q37.ecm.lp</t>
  </si>
  <si>
    <t>Sat Dec 20 01:22:48 2025</t>
  </si>
  <si>
    <t>BasketballDrill.Q22.ecm.lp</t>
  </si>
  <si>
    <t>Fri Dec 19 22:34:54 2025</t>
  </si>
  <si>
    <t>BasketballDrill.Q27.ecm.lp</t>
  </si>
  <si>
    <t>Fri Dec 19 21:18:26 2025</t>
  </si>
  <si>
    <t>BasketballDrill.Q32.ecm.lp</t>
  </si>
  <si>
    <t>Fri Dec 19 20:31:16 2025</t>
  </si>
  <si>
    <t>BasketballDrill.Q37.ecm.lp</t>
  </si>
  <si>
    <t>Fri Dec 19 19:55:40 2025</t>
  </si>
  <si>
    <t>BQMall.Q22.ecm.lp</t>
  </si>
  <si>
    <t>Fri Dec 19 23:39:52 2025</t>
  </si>
  <si>
    <t>BQMall.Q27.ecm.lp</t>
  </si>
  <si>
    <t>Fri Dec 19 21:48:34 2025</t>
  </si>
  <si>
    <t>BQMall.Q32.ecm.lp</t>
  </si>
  <si>
    <t>Fri Dec 19 20:48:03 2025</t>
  </si>
  <si>
    <t>BQMall.Q37.ecm.lp</t>
  </si>
  <si>
    <t>Fri Dec 19 20:08:41 2025</t>
  </si>
  <si>
    <t>PartyScene.Q22.ecm.lp</t>
  </si>
  <si>
    <t>Sat Dec 20 00:46:25 2025</t>
  </si>
  <si>
    <t>PartyScene.Q27.ecm.lp</t>
  </si>
  <si>
    <t>Fri Dec 19 22:39:11 2025</t>
  </si>
  <si>
    <t>PartyScene.Q32.ecm.lp</t>
  </si>
  <si>
    <t>Fri Dec 19 21:32:27 2025</t>
  </si>
  <si>
    <t>PartyScene.Q37.ecm.lp</t>
  </si>
  <si>
    <t>Fri Dec 19 20:38:09 2025</t>
  </si>
  <si>
    <t>RaceHorsesC.Q22.ecm.lp</t>
  </si>
  <si>
    <t>Fri Dec 19 23:17:40 2025</t>
  </si>
  <si>
    <t>RaceHorsesC.Q27.ecm.lp</t>
  </si>
  <si>
    <t>Fri Dec 19 21:26:38 2025</t>
  </si>
  <si>
    <t>RaceHorsesC.Q32.ecm.lp</t>
  </si>
  <si>
    <t>Fri Dec 19 20:28:55 2025</t>
  </si>
  <si>
    <t>RaceHorsesC.Q37.ecm.lp</t>
  </si>
  <si>
    <t>Fri Dec 19 19:45:07 2025</t>
  </si>
  <si>
    <t>BasketballPass.Q22.ecm.lp</t>
  </si>
  <si>
    <t>Fri Dec 19 18:59:58 2025</t>
  </si>
  <si>
    <t>BasketballPass.Q27.ecm.lp</t>
  </si>
  <si>
    <t>Fri Dec 19 18:47:29 2025</t>
  </si>
  <si>
    <t>BasketballPass.Q32.ecm.lp</t>
  </si>
  <si>
    <t>Fri Dec 19 18:35:39 2025</t>
  </si>
  <si>
    <t>BasketballPass.Q37.ecm.lp</t>
  </si>
  <si>
    <t>Fri Dec 19 18:25:07 2025</t>
  </si>
  <si>
    <t>BQSquare.Q22.ecm.lp</t>
  </si>
  <si>
    <t>Fri Dec 19 19:16:32 2025</t>
  </si>
  <si>
    <t>BQSquare.Q27.ecm.lp</t>
  </si>
  <si>
    <t>Fri Dec 19 18:47:26 2025</t>
  </si>
  <si>
    <t>BQSquare.Q32.ecm.lp</t>
  </si>
  <si>
    <t>Fri Dec 19 18:30:19 2025</t>
  </si>
  <si>
    <t>BQSquare.Q37.ecm.lp</t>
  </si>
  <si>
    <t>Fri Dec 19 18:19:23 2025</t>
  </si>
  <si>
    <t>BlowingBubbles.Q22.ecm.lp</t>
  </si>
  <si>
    <t>Fri Dec 19 19:20:12 2025</t>
  </si>
  <si>
    <t>BlowingBubbles.Q27.ecm.lp</t>
  </si>
  <si>
    <t>Fri Dec 19 18:51:42 2025</t>
  </si>
  <si>
    <t>BlowingBubbles.Q32.ecm.lp</t>
  </si>
  <si>
    <t>Fri Dec 19 18:34:07 2025</t>
  </si>
  <si>
    <t>BlowingBubbles.Q37.ecm.lp</t>
  </si>
  <si>
    <t>Fri Dec 19 18:23:35 2025</t>
  </si>
  <si>
    <t>RaceHorses.Q22.ecm.lp</t>
  </si>
  <si>
    <t>Fri Dec 19 18:56:00 2025</t>
  </si>
  <si>
    <t>RaceHorses.Q27.ecm.lp</t>
  </si>
  <si>
    <t>Fri Dec 19 18:40:08 2025</t>
  </si>
  <si>
    <t>RaceHorses.Q32.ecm.lp</t>
  </si>
  <si>
    <t>Fri Dec 19 18:26:47 2025</t>
  </si>
  <si>
    <t>RaceHorses.Q37.ecm.lp</t>
  </si>
  <si>
    <t>Fri Dec 19 18:15:37 2025</t>
  </si>
  <si>
    <t>FourPeople.Q22.ecm.lp</t>
  </si>
  <si>
    <t>Sat Dec 20 00:07:15 2025</t>
  </si>
  <si>
    <t>FourPeople.Q27.ecm.lp</t>
  </si>
  <si>
    <t>Fri Dec 19 22:05:26 2025</t>
  </si>
  <si>
    <t>FourPeople.Q32.ecm.lp</t>
  </si>
  <si>
    <t>Fri Dec 19 21:06:11 2025</t>
  </si>
  <si>
    <t>FourPeople.Q37.ecm.lp</t>
  </si>
  <si>
    <t>Fri Dec 19 20:35:53 2025</t>
  </si>
  <si>
    <t>Johnny.Q22.ecm.lp</t>
  </si>
  <si>
    <t>Fri Dec 19 23:52:55 2025</t>
  </si>
  <si>
    <t>Johnny.Q27.ecm.lp</t>
  </si>
  <si>
    <t>Fri Dec 19 21:28:13 2025</t>
  </si>
  <si>
    <t>Johnny.Q32.ecm.lp</t>
  </si>
  <si>
    <t>Fri Dec 19 20:36:17 2025</t>
  </si>
  <si>
    <t>Johnny.Q37.ecm.lp</t>
  </si>
  <si>
    <t>Fri Dec 19 20:08:02 2025</t>
  </si>
  <si>
    <t>KristenAndSara.Q22.ecm.lp</t>
  </si>
  <si>
    <t>Sat Dec 20 00:30:11 2025</t>
  </si>
  <si>
    <t>KristenAndSara.Q27.ecm.lp</t>
  </si>
  <si>
    <t>Fri Dec 19 22:02:13 2025</t>
  </si>
  <si>
    <t>KristenAndSara.Q32.ecm.lp</t>
  </si>
  <si>
    <t>Fri Dec 19 20:59:12 2025</t>
  </si>
  <si>
    <t>KristenAndSara.Q37.ecm.lp</t>
  </si>
  <si>
    <t>Fri Dec 19 20:21:46 2025</t>
  </si>
  <si>
    <t>BasketballDrillText.Q22.ecm.lp</t>
  </si>
  <si>
    <t>Sat Dec 20 00:30:59 2025</t>
  </si>
  <si>
    <t>BasketballDrillText.Q27.ecm.lp</t>
  </si>
  <si>
    <t>Fri Dec 19 22:27:35 2025</t>
  </si>
  <si>
    <t>BasketballDrillText.Q32.ecm.lp</t>
  </si>
  <si>
    <t>Fri Dec 19 21:07:45 2025</t>
  </si>
  <si>
    <t>BasketballDrillText.Q37.ecm.lp</t>
  </si>
  <si>
    <t>Fri Dec 19 20:13:31 2025</t>
  </si>
  <si>
    <t>ArenaOfValor.Q22.ecm.lp</t>
  </si>
  <si>
    <t>Sun Dec 21 03:42:12 2025</t>
  </si>
  <si>
    <t>ArenaOfValor.Q27.ecm.lp</t>
  </si>
  <si>
    <t>Sat Dec 20 15:26:30 2025</t>
  </si>
  <si>
    <t>ArenaOfValor.Q32.ecm.lp</t>
  </si>
  <si>
    <t>Sat Dec 20 08:44:17 2025</t>
  </si>
  <si>
    <t>ArenaOfValor.Q37.ecm.lp</t>
  </si>
  <si>
    <t>Sat Dec 20 04:17:45 2025</t>
  </si>
  <si>
    <t>SlideEditing.Q22.ecm.lp</t>
  </si>
  <si>
    <t>Fri Dec 19 19:16:39 2025</t>
  </si>
  <si>
    <t>SlideEditing.Q27.ecm.lp</t>
  </si>
  <si>
    <t>Fri Dec 19 19:11:26 2025</t>
  </si>
  <si>
    <t>SlideEditing.Q32.ecm.lp</t>
  </si>
  <si>
    <t>Fri Dec 19 19:08:58 2025</t>
  </si>
  <si>
    <t>SlideEditing.Q37.ecm.lp</t>
  </si>
  <si>
    <t>Fri Dec 19 19:05:53 2025</t>
  </si>
  <si>
    <t>SlideShow.Q22.ecm.lp</t>
  </si>
  <si>
    <t>Fri Dec 19 19:33:11 2025</t>
  </si>
  <si>
    <t>SlideShow.Q27.ecm.lp</t>
  </si>
  <si>
    <t>Fri Dec 19 19:15:04 2025</t>
  </si>
  <si>
    <t>SlideShow.Q32.ecm.lp</t>
  </si>
  <si>
    <t>Fri Dec 19 18:58:51 2025</t>
  </si>
  <si>
    <t>SlideShow.Q37.ecm.lp</t>
  </si>
  <si>
    <t>Fri Dec 19 18:47:49 2025</t>
  </si>
  <si>
    <t>FlyingGraphics_420.Q22.ecm.lp</t>
  </si>
  <si>
    <t>Sun Dec 21 10:18:06 2025</t>
  </si>
  <si>
    <t>FlyingGraphics_420.Q27.ecm.lp</t>
  </si>
  <si>
    <t>Sun Dec 21 04:15:52 2025</t>
  </si>
  <si>
    <t>FlyingGraphics_420.Q32.ecm.lp</t>
  </si>
  <si>
    <t>Sat Dec 20 22:04:59 2025</t>
  </si>
  <si>
    <t>FlyingGraphics_420.Q37.ecm.lp</t>
  </si>
  <si>
    <t>Sat Dec 20 15:08:34 2025</t>
  </si>
  <si>
    <t>Desktop_420.Q22.ecm.lp</t>
  </si>
  <si>
    <t>Sat Dec 20 00:37:00 2025</t>
  </si>
  <si>
    <t>Desktop_420.Q27.ecm.lp</t>
  </si>
  <si>
    <t>Sat Dec 20 00:04:35 2025</t>
  </si>
  <si>
    <t>Desktop_420.Q32.ecm.lp</t>
  </si>
  <si>
    <t>Fri Dec 19 23:44:16 2025</t>
  </si>
  <si>
    <t>Desktop_420.Q37.ecm.lp</t>
  </si>
  <si>
    <t>Fri Dec 19 23:35:03 2025</t>
  </si>
  <si>
    <t>Console_420.Q22.ecm.lp</t>
  </si>
  <si>
    <t>Sat Dec 20 06:07:47 2025</t>
  </si>
  <si>
    <t>Console_420.Q27.ecm.lp</t>
  </si>
  <si>
    <t>Sat Dec 20 05:09:05 2025</t>
  </si>
  <si>
    <t>Console_420.Q32.ecm.lp</t>
  </si>
  <si>
    <t>Sat Dec 20 04:18:14 2025</t>
  </si>
  <si>
    <t>Console_420.Q37.ecm.lp</t>
  </si>
  <si>
    <t>Sat Dec 20 03:23:44 2025</t>
  </si>
  <si>
    <t>ChineseEditing_420.Q22.ecm.lp</t>
  </si>
  <si>
    <t>Sat Dec 20 03:03:38 2025</t>
  </si>
  <si>
    <t>ChineseEditing_420.Q27.ecm.lp</t>
  </si>
  <si>
    <t>Sat Dec 20 02:24:39 2025</t>
  </si>
  <si>
    <t>ChineseEditing_420.Q32.ecm.lp</t>
  </si>
  <si>
    <t>Sat Dec 20 01:44:20 2025</t>
  </si>
  <si>
    <t>ChineseEditing_420.Q37.ecm.lp</t>
  </si>
  <si>
    <t>Sat Dec 20 01:19:57 2025</t>
  </si>
  <si>
    <t>Sequence</t>
  </si>
  <si>
    <t>Ypsnr</t>
  </si>
  <si>
    <t>Upsnr</t>
  </si>
  <si>
    <t>Vpsnr</t>
  </si>
  <si>
    <t>EncT[s]</t>
  </si>
  <si>
    <t>DecT[s]</t>
  </si>
  <si>
    <t>EncVmPeak[KB]</t>
  </si>
  <si>
    <t>DecVmPeak[KB]</t>
  </si>
  <si>
    <t>ErrorInfo</t>
  </si>
  <si>
    <t>Time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</si>
</sst>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"/>
    <numFmt numFmtId="177" formatCode="0.00_ "/>
    <numFmt numFmtId="178" formatCode="0_ "/>
    <numFmt numFmtId="179" formatCode="0.00000%"/>
    <numFmt numFmtId="180" formatCode="0.0%"/>
  </numFmts>
  <fonts count="26">
    <font>
      <sz val="12"/>
      <color theme="1"/>
      <name val="宋体"/>
      <charset val="129"/>
      <scheme val="minor"/>
    </font>
    <font>
      <sz val="11"/>
      <color theme="1"/>
      <name val="宋体"/>
      <charset val="134"/>
      <scheme val="minor"/>
    </font>
    <font>
      <sz val="9"/>
      <color indexed="8"/>
      <name val="Arial"/>
      <charset val="134"/>
    </font>
    <font>
      <b/>
      <sz val="9"/>
      <color indexed="8"/>
      <name val="Arial"/>
      <charset val="134"/>
    </font>
    <font>
      <sz val="10"/>
      <color indexed="8"/>
      <name val="Calibri"/>
      <charset val="134"/>
    </font>
    <font>
      <b/>
      <u/>
      <sz val="9"/>
      <color indexed="8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2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2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1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5" borderId="24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/>
    <xf numFmtId="0" fontId="12" fillId="0" borderId="0" applyNumberFormat="0" applyFill="0" applyBorder="0" applyAlignment="0" applyProtection="0">
      <alignment vertical="center"/>
    </xf>
    <xf numFmtId="0" fontId="1" fillId="9" borderId="25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26" applyNumberFormat="0" applyFill="0" applyAlignment="0" applyProtection="0">
      <alignment vertical="center"/>
    </xf>
    <xf numFmtId="0" fontId="18" fillId="0" borderId="26" applyNumberFormat="0" applyFill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3" fillId="0" borderId="27" applyNumberFormat="0" applyFill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9" fillId="13" borderId="28" applyNumberFormat="0" applyAlignment="0" applyProtection="0">
      <alignment vertical="center"/>
    </xf>
    <xf numFmtId="0" fontId="20" fillId="13" borderId="24" applyNumberFormat="0" applyAlignment="0" applyProtection="0">
      <alignment vertical="center"/>
    </xf>
    <xf numFmtId="0" fontId="21" fillId="14" borderId="29" applyNumberFormat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22" fillId="0" borderId="30" applyNumberFormat="0" applyFill="0" applyAlignment="0" applyProtection="0">
      <alignment vertical="center"/>
    </xf>
    <xf numFmtId="0" fontId="23" fillId="0" borderId="31" applyNumberFormat="0" applyFill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</cellStyleXfs>
  <cellXfs count="145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/>
    <xf numFmtId="0" fontId="2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/>
    <xf numFmtId="177" fontId="2" fillId="2" borderId="4" xfId="0" applyNumberFormat="1" applyFont="1" applyFill="1" applyBorder="1"/>
    <xf numFmtId="177" fontId="2" fillId="2" borderId="5" xfId="0" applyNumberFormat="1" applyFont="1" applyFill="1" applyBorder="1"/>
    <xf numFmtId="0" fontId="2" fillId="0" borderId="8" xfId="0" applyFont="1" applyBorder="1"/>
    <xf numFmtId="177" fontId="2" fillId="2" borderId="9" xfId="0" applyNumberFormat="1" applyFont="1" applyFill="1" applyBorder="1"/>
    <xf numFmtId="177" fontId="2" fillId="2" borderId="0" xfId="0" applyNumberFormat="1" applyFont="1" applyFill="1"/>
    <xf numFmtId="0" fontId="2" fillId="0" borderId="10" xfId="0" applyFont="1" applyBorder="1"/>
    <xf numFmtId="177" fontId="2" fillId="2" borderId="11" xfId="0" applyNumberFormat="1" applyFont="1" applyFill="1" applyBorder="1"/>
    <xf numFmtId="177" fontId="2" fillId="2" borderId="12" xfId="0" applyNumberFormat="1" applyFont="1" applyFill="1" applyBorder="1"/>
    <xf numFmtId="0" fontId="3" fillId="0" borderId="1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77" fontId="2" fillId="2" borderId="6" xfId="0" applyNumberFormat="1" applyFont="1" applyFill="1" applyBorder="1"/>
    <xf numFmtId="177" fontId="2" fillId="2" borderId="1" xfId="0" applyNumberFormat="1" applyFont="1" applyFill="1" applyBorder="1"/>
    <xf numFmtId="177" fontId="2" fillId="2" borderId="15" xfId="0" applyNumberFormat="1" applyFont="1" applyFill="1" applyBorder="1"/>
    <xf numFmtId="178" fontId="2" fillId="2" borderId="5" xfId="0" applyNumberFormat="1" applyFont="1" applyFill="1" applyBorder="1"/>
    <xf numFmtId="178" fontId="2" fillId="2" borderId="6" xfId="0" applyNumberFormat="1" applyFont="1" applyFill="1" applyBorder="1"/>
    <xf numFmtId="178" fontId="2" fillId="2" borderId="0" xfId="0" applyNumberFormat="1" applyFont="1" applyFill="1"/>
    <xf numFmtId="178" fontId="2" fillId="2" borderId="1" xfId="0" applyNumberFormat="1" applyFont="1" applyFill="1" applyBorder="1"/>
    <xf numFmtId="178" fontId="2" fillId="2" borderId="12" xfId="0" applyNumberFormat="1" applyFont="1" applyFill="1" applyBorder="1"/>
    <xf numFmtId="178" fontId="2" fillId="2" borderId="15" xfId="0" applyNumberFormat="1" applyFont="1" applyFill="1" applyBorder="1"/>
    <xf numFmtId="0" fontId="3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2" fontId="2" fillId="0" borderId="5" xfId="0" applyNumberFormat="1" applyFont="1" applyBorder="1"/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2" fontId="2" fillId="0" borderId="0" xfId="0" applyNumberFormat="1" applyFont="1"/>
    <xf numFmtId="10" fontId="2" fillId="0" borderId="9" xfId="0" applyNumberFormat="1" applyFont="1" applyBorder="1"/>
    <xf numFmtId="10" fontId="2" fillId="0" borderId="0" xfId="0" applyNumberFormat="1" applyFont="1"/>
    <xf numFmtId="10" fontId="2" fillId="0" borderId="1" xfId="0" applyNumberFormat="1" applyFont="1" applyBorder="1"/>
    <xf numFmtId="10" fontId="2" fillId="0" borderId="11" xfId="0" applyNumberFormat="1" applyFont="1" applyBorder="1"/>
    <xf numFmtId="10" fontId="2" fillId="0" borderId="12" xfId="0" applyNumberFormat="1" applyFont="1" applyBorder="1"/>
    <xf numFmtId="10" fontId="2" fillId="0" borderId="15" xfId="0" applyNumberFormat="1" applyFont="1" applyBorder="1"/>
    <xf numFmtId="10" fontId="2" fillId="0" borderId="9" xfId="0" applyNumberFormat="1" applyFont="1" applyBorder="1" applyAlignment="1">
      <alignment horizontal="center"/>
    </xf>
    <xf numFmtId="10" fontId="2" fillId="0" borderId="0" xfId="0" applyNumberFormat="1" applyFont="1" applyAlignment="1">
      <alignment horizontal="center"/>
    </xf>
    <xf numFmtId="2" fontId="2" fillId="0" borderId="12" xfId="0" applyNumberFormat="1" applyFont="1" applyBorder="1"/>
    <xf numFmtId="1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0" fontId="2" fillId="0" borderId="2" xfId="0" applyFont="1" applyBorder="1"/>
    <xf numFmtId="0" fontId="2" fillId="0" borderId="3" xfId="0" applyFont="1" applyBorder="1"/>
    <xf numFmtId="2" fontId="2" fillId="0" borderId="3" xfId="0" applyNumberFormat="1" applyFont="1" applyBorder="1"/>
    <xf numFmtId="2" fontId="2" fillId="0" borderId="13" xfId="0" applyNumberFormat="1" applyFont="1" applyBorder="1"/>
    <xf numFmtId="177" fontId="2" fillId="0" borderId="0" xfId="0" applyNumberFormat="1" applyFont="1"/>
    <xf numFmtId="177" fontId="2" fillId="0" borderId="1" xfId="0" applyNumberFormat="1" applyFont="1" applyBorder="1"/>
    <xf numFmtId="9" fontId="2" fillId="0" borderId="0" xfId="0" applyNumberFormat="1" applyFont="1"/>
    <xf numFmtId="9" fontId="2" fillId="0" borderId="1" xfId="0" applyNumberFormat="1" applyFont="1" applyBorder="1"/>
    <xf numFmtId="10" fontId="2" fillId="0" borderId="2" xfId="0" applyNumberFormat="1" applyFont="1" applyBorder="1" applyAlignment="1">
      <alignment horizontal="center"/>
    </xf>
    <xf numFmtId="10" fontId="2" fillId="0" borderId="3" xfId="0" applyNumberFormat="1" applyFont="1" applyBorder="1" applyAlignment="1">
      <alignment horizontal="center"/>
    </xf>
    <xf numFmtId="10" fontId="2" fillId="0" borderId="13" xfId="0" applyNumberFormat="1" applyFont="1" applyBorder="1" applyAlignment="1">
      <alignment horizontal="center"/>
    </xf>
    <xf numFmtId="0" fontId="2" fillId="0" borderId="9" xfId="0" applyFont="1" applyBorder="1"/>
    <xf numFmtId="177" fontId="2" fillId="0" borderId="5" xfId="0" applyNumberFormat="1" applyFont="1" applyBorder="1"/>
    <xf numFmtId="10" fontId="2" fillId="0" borderId="4" xfId="11" applyNumberFormat="1" applyFont="1" applyBorder="1" applyAlignment="1">
      <alignment horizontal="center"/>
    </xf>
    <xf numFmtId="10" fontId="2" fillId="0" borderId="5" xfId="11" applyNumberFormat="1" applyFont="1" applyBorder="1" applyAlignment="1">
      <alignment horizontal="center"/>
    </xf>
    <xf numFmtId="10" fontId="2" fillId="0" borderId="6" xfId="11" applyNumberFormat="1" applyFont="1" applyBorder="1" applyAlignment="1">
      <alignment horizontal="center"/>
    </xf>
    <xf numFmtId="10" fontId="2" fillId="0" borderId="9" xfId="11" applyNumberFormat="1" applyFont="1" applyBorder="1"/>
    <xf numFmtId="10" fontId="2" fillId="0" borderId="0" xfId="11" applyNumberFormat="1" applyFont="1"/>
    <xf numFmtId="10" fontId="2" fillId="0" borderId="1" xfId="11" applyNumberFormat="1" applyFont="1" applyBorder="1"/>
    <xf numFmtId="10" fontId="2" fillId="0" borderId="11" xfId="11" applyNumberFormat="1" applyFont="1" applyBorder="1"/>
    <xf numFmtId="10" fontId="2" fillId="0" borderId="12" xfId="11" applyNumberFormat="1" applyFont="1" applyBorder="1"/>
    <xf numFmtId="10" fontId="2" fillId="0" borderId="15" xfId="11" applyNumberFormat="1" applyFont="1" applyBorder="1"/>
    <xf numFmtId="177" fontId="2" fillId="0" borderId="12" xfId="0" applyNumberFormat="1" applyFont="1" applyBorder="1"/>
    <xf numFmtId="0" fontId="2" fillId="0" borderId="11" xfId="0" applyFont="1" applyBorder="1"/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6" xfId="0" applyNumberFormat="1" applyFont="1" applyBorder="1" applyAlignment="1">
      <alignment horizontal="center"/>
    </xf>
    <xf numFmtId="179" fontId="2" fillId="0" borderId="9" xfId="0" applyNumberFormat="1" applyFont="1" applyBorder="1"/>
    <xf numFmtId="179" fontId="2" fillId="0" borderId="0" xfId="0" applyNumberFormat="1" applyFont="1"/>
    <xf numFmtId="179" fontId="2" fillId="0" borderId="1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5" xfId="0" applyNumberFormat="1" applyFont="1" applyBorder="1"/>
    <xf numFmtId="0" fontId="3" fillId="0" borderId="15" xfId="0" applyFont="1" applyBorder="1" applyAlignment="1">
      <alignment horizontal="center"/>
    </xf>
    <xf numFmtId="0" fontId="0" fillId="3" borderId="0" xfId="0" applyFill="1"/>
    <xf numFmtId="2" fontId="4" fillId="0" borderId="0" xfId="0" applyNumberFormat="1" applyFont="1"/>
    <xf numFmtId="0" fontId="4" fillId="0" borderId="0" xfId="0" applyFont="1"/>
    <xf numFmtId="176" fontId="4" fillId="0" borderId="0" xfId="0" applyNumberFormat="1" applyFont="1"/>
    <xf numFmtId="0" fontId="2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5" xfId="0" applyNumberFormat="1" applyFont="1" applyBorder="1" applyAlignment="1">
      <alignment horizontal="center" vertical="center"/>
    </xf>
    <xf numFmtId="10" fontId="2" fillId="0" borderId="18" xfId="0" applyNumberFormat="1" applyFont="1" applyBorder="1" applyAlignment="1">
      <alignment horizontal="center" vertical="center"/>
    </xf>
    <xf numFmtId="180" fontId="2" fillId="0" borderId="19" xfId="0" applyNumberFormat="1" applyFont="1" applyBorder="1" applyAlignment="1">
      <alignment horizontal="center" vertical="center"/>
    </xf>
    <xf numFmtId="180" fontId="2" fillId="0" borderId="5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0" fontId="2" fillId="0" borderId="9" xfId="0" applyNumberFormat="1" applyFont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0" fontId="2" fillId="0" borderId="20" xfId="0" applyNumberFormat="1" applyFont="1" applyBorder="1" applyAlignment="1">
      <alignment horizontal="center" vertical="center"/>
    </xf>
    <xf numFmtId="180" fontId="2" fillId="0" borderId="21" xfId="0" applyNumberFormat="1" applyFont="1" applyBorder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80" fontId="2" fillId="0" borderId="22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10" fontId="2" fillId="0" borderId="16" xfId="0" applyNumberFormat="1" applyFont="1" applyBorder="1" applyAlignment="1">
      <alignment horizontal="center" vertical="center"/>
    </xf>
    <xf numFmtId="180" fontId="2" fillId="0" borderId="12" xfId="0" applyNumberFormat="1" applyFont="1" applyBorder="1" applyAlignment="1">
      <alignment horizontal="center" vertical="center"/>
    </xf>
    <xf numFmtId="180" fontId="2" fillId="0" borderId="17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/>
    </xf>
    <xf numFmtId="180" fontId="2" fillId="0" borderId="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80" fontId="2" fillId="0" borderId="13" xfId="0" applyNumberFormat="1" applyFont="1" applyBorder="1" applyAlignment="1">
      <alignment horizontal="center" vertical="center"/>
    </xf>
    <xf numFmtId="180" fontId="2" fillId="0" borderId="15" xfId="0" applyNumberFormat="1" applyFont="1" applyBorder="1" applyAlignment="1">
      <alignment horizontal="center" vertical="center"/>
    </xf>
    <xf numFmtId="0" fontId="5" fillId="0" borderId="0" xfId="0" applyFont="1"/>
    <xf numFmtId="9" fontId="2" fillId="0" borderId="9" xfId="0" applyNumberFormat="1" applyFont="1" applyBorder="1" applyAlignment="1">
      <alignment horizontal="center"/>
    </xf>
    <xf numFmtId="9" fontId="2" fillId="0" borderId="11" xfId="0" applyNumberFormat="1" applyFont="1" applyBorder="1" applyAlignment="1">
      <alignment horizontal="center"/>
    </xf>
    <xf numFmtId="180" fontId="2" fillId="0" borderId="0" xfId="0" applyNumberFormat="1" applyFont="1"/>
    <xf numFmtId="180" fontId="3" fillId="0" borderId="0" xfId="0" applyNumberFormat="1" applyFont="1"/>
    <xf numFmtId="9" fontId="3" fillId="0" borderId="0" xfId="0" applyNumberFormat="1" applyFont="1"/>
    <xf numFmtId="1" fontId="2" fillId="0" borderId="5" xfId="0" applyNumberFormat="1" applyFont="1" applyBorder="1" applyAlignment="1">
      <alignment horizontal="center"/>
    </xf>
    <xf numFmtId="176" fontId="2" fillId="0" borderId="6" xfId="0" applyNumberFormat="1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176" fontId="2" fillId="0" borderId="15" xfId="0" applyNumberFormat="1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5" xfId="0" applyNumberFormat="1" applyFont="1" applyBorder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Y PSNR vs Bitrate</a:t>
            </a:r>
            <a:endParaRPr lang="en-US"/>
          </a:p>
        </c:rich>
      </c:tx>
      <c:layout>
        <c:manualLayout>
          <c:xMode val="edge"/>
          <c:yMode val="edge"/>
          <c:x val="0.421487314085739"/>
          <c:y val="0.0314136433880344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0793387949508521"/>
          <c:y val="0.115183282880784"/>
          <c:w val="0.874379636020849"/>
          <c:h val="0.7643981500270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</c:v>
                </c:pt>
                <c:pt idx="3">
                  <c:v>105.4672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38.4137</c:v>
                </c:pt>
                <c:pt idx="1">
                  <c:v>34.7205</c:v>
                </c:pt>
                <c:pt idx="2">
                  <c:v>31.5746</c:v>
                </c:pt>
                <c:pt idx="3">
                  <c:v>28.8163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Summary!$L$5</c:f>
              <c:strCache>
                <c:ptCount val="1"/>
                <c:pt idx="0">
                  <c:v/>
                </c:pt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41312"/>
        <c:axId val="121742848"/>
      </c:scatterChart>
      <c:valAx>
        <c:axId val="12174131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59503839797803"/>
              <c:y val="0.92931949861407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1742848"/>
        <c:crosses val="autoZero"/>
        <c:crossBetween val="midCat"/>
      </c:valAx>
      <c:valAx>
        <c:axId val="121742848"/>
        <c:scaling>
          <c:orientation val="minMax"/>
          <c:max val="41"/>
          <c:min val="37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Y PSNR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023140533359256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174131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0494604841061"/>
          <c:y val="0.80000078494861"/>
          <c:w val="0.293053757169243"/>
          <c:h val="0.09696901905953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U PSNR vs Bitrate</a:t>
            </a:r>
            <a:endParaRPr lang="en-US"/>
          </a:p>
        </c:rich>
      </c:tx>
      <c:layout>
        <c:manualLayout>
          <c:xMode val="edge"/>
          <c:yMode val="edge"/>
          <c:x val="0.418874538086942"/>
          <c:y val="0.0313316422039424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0794702629202638"/>
          <c:y val="0.117493584928031"/>
          <c:w val="0.874172892122902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</c:v>
                </c:pt>
                <c:pt idx="3">
                  <c:v>105.4672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40.9759</c:v>
                </c:pt>
                <c:pt idx="1">
                  <c:v>38.086</c:v>
                </c:pt>
                <c:pt idx="2">
                  <c:v>35.9995</c:v>
                </c:pt>
                <c:pt idx="3">
                  <c:v>34.6994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Summary!$L$5</c:f>
              <c:strCache>
                <c:ptCount val="1"/>
                <c:pt idx="0">
                  <c:v/>
                </c:pt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07616"/>
        <c:axId val="121809536"/>
      </c:scatterChart>
      <c:valAx>
        <c:axId val="12180761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58609670082958"/>
              <c:y val="0.9295047336959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1809536"/>
        <c:crosses val="autoZero"/>
        <c:crossBetween val="midCat"/>
      </c:valAx>
      <c:valAx>
        <c:axId val="121809536"/>
        <c:scaling>
          <c:orientation val="minMax"/>
          <c:max val="1177"/>
          <c:min val="-0.5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U PSNR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0231788702555567"/>
              <c:y val="0.42036589001793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180761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1310259579728"/>
          <c:y val="0.791435260536567"/>
          <c:w val="0.290119748628455"/>
          <c:h val="0.09660786815055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V PSNR vs Bitrate</a:t>
            </a:r>
            <a:endParaRPr lang="en-US"/>
          </a:p>
        </c:rich>
      </c:tx>
      <c:layout>
        <c:manualLayout>
          <c:xMode val="edge"/>
          <c:yMode val="edge"/>
          <c:x val="0.420530190215716"/>
          <c:y val="0.0313315313197791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0877484153077912"/>
          <c:y val="0.117493584928031"/>
          <c:w val="0.865894739735374"/>
          <c:h val="0.765013786309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</c:v>
                </c:pt>
                <c:pt idx="3">
                  <c:v>105.4672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41.9438</c:v>
                </c:pt>
                <c:pt idx="1">
                  <c:v>38.8611</c:v>
                </c:pt>
                <c:pt idx="2">
                  <c:v>36.6654</c:v>
                </c:pt>
                <c:pt idx="3">
                  <c:v>35.2838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Summary!$L$5</c:f>
              <c:strCache>
                <c:ptCount val="1"/>
                <c:pt idx="0">
                  <c:v/>
                </c:pt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61632"/>
        <c:axId val="121863552"/>
      </c:scatterChart>
      <c:valAx>
        <c:axId val="12186163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3576496695639"/>
              <c:y val="0.92950464214361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1863552"/>
        <c:crosses val="autoZero"/>
        <c:crossBetween val="midCat"/>
      </c:valAx>
      <c:valAx>
        <c:axId val="121863552"/>
        <c:scaling>
          <c:orientation val="minMax"/>
          <c:max val="47.5"/>
          <c:min val="43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V PSNR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019867565998008"/>
              <c:y val="0.42297684804324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186163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3782447466007"/>
          <c:y val="0.802238805970149"/>
          <c:w val="0.288471623370935"/>
          <c:h val="0.09678810671054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Y PSNR vs Bitrate (in log scale)</a:t>
            </a:r>
            <a:endParaRPr lang="en-US"/>
          </a:p>
        </c:rich>
      </c:tx>
      <c:layout>
        <c:manualLayout>
          <c:xMode val="edge"/>
          <c:yMode val="edge"/>
          <c:x val="0.363036204938008"/>
          <c:y val="0.0313315313197791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080858069520842"/>
          <c:y val="0.114882616374075"/>
          <c:w val="0.854785306363187"/>
          <c:h val="0.765013786309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</c:v>
                </c:pt>
                <c:pt idx="3">
                  <c:v>105.4672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38.4137</c:v>
                </c:pt>
                <c:pt idx="1">
                  <c:v>34.7205</c:v>
                </c:pt>
                <c:pt idx="2">
                  <c:v>31.5746</c:v>
                </c:pt>
                <c:pt idx="3">
                  <c:v>28.8163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dLbls>
            <c:delete val="1"/>
          </c:dLbls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Summary!$L$5</c:f>
              <c:strCache>
                <c:ptCount val="1"/>
                <c:pt idx="0">
                  <c:v/>
                </c:pt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4912"/>
        <c:axId val="122077568"/>
      </c:scatterChart>
      <c:valAx>
        <c:axId val="122054912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57095643562434"/>
              <c:y val="0.92950464214361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2077568"/>
        <c:crosses val="autoZero"/>
        <c:crossBetween val="midCat"/>
      </c:valAx>
      <c:valAx>
        <c:axId val="122077568"/>
        <c:scaling>
          <c:orientation val="minMax"/>
          <c:max val="41"/>
          <c:min val="37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Y PSNR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0231022910052396"/>
              <c:y val="0.42297684804324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2205491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53514568385487"/>
          <c:y val="0.794776119402985"/>
          <c:w val="0.279539921874747"/>
          <c:h val="0.0967881067105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>
      <xdr:nvGraphicFramePr>
        <xdr:cNvPr id="2" name="Chart 1"/>
        <xdr:cNvGraphicFramePr/>
      </xdr:nvGraphicFramePr>
      <xdr:xfrm>
        <a:off x="0" y="609600"/>
        <a:ext cx="7620000" cy="46196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>
      <xdr:nvGraphicFramePr>
        <xdr:cNvPr id="3" name="Chart 2"/>
        <xdr:cNvGraphicFramePr/>
      </xdr:nvGraphicFramePr>
      <xdr:xfrm>
        <a:off x="7724775" y="609600"/>
        <a:ext cx="7600950" cy="46386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>
      <xdr:nvGraphicFramePr>
        <xdr:cNvPr id="4" name="Chart 3"/>
        <xdr:cNvGraphicFramePr/>
      </xdr:nvGraphicFramePr>
      <xdr:xfrm>
        <a:off x="7724775" y="5305425"/>
        <a:ext cx="7600950" cy="46291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>
      <xdr:nvGraphicFramePr>
        <xdr:cNvPr id="5" name="Chart 4"/>
        <xdr:cNvGraphicFramePr/>
      </xdr:nvGraphicFramePr>
      <xdr:xfrm>
        <a:off x="0" y="5305425"/>
        <a:ext cx="7629525" cy="46291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3175</xdr:colOff>
      <xdr:row>110</xdr:row>
      <xdr:rowOff>165100</xdr:rowOff>
    </xdr:from>
    <xdr:to>
      <xdr:col>9</xdr:col>
      <xdr:colOff>3175</xdr:colOff>
      <xdr:row>110</xdr:row>
      <xdr:rowOff>165100</xdr:rowOff>
    </xdr:to>
    <xdr:sp>
      <xdr:nvSpPr>
        <xdr:cNvPr id="2" name="Object 1"/>
        <xdr:cNvSpPr>
          <a:spLocks noChangeAspect="1"/>
        </xdr:cNvSpPr>
      </xdr:nvSpPr>
      <xdr:spPr>
        <a:xfrm>
          <a:off x="6175375" y="190246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14</xdr:col>
      <xdr:colOff>0</xdr:colOff>
      <xdr:row>18</xdr:row>
      <xdr:rowOff>165100</xdr:rowOff>
    </xdr:from>
    <xdr:to>
      <xdr:col>14</xdr:col>
      <xdr:colOff>0</xdr:colOff>
      <xdr:row>18</xdr:row>
      <xdr:rowOff>165100</xdr:rowOff>
    </xdr:to>
    <xdr:sp>
      <xdr:nvSpPr>
        <xdr:cNvPr id="3" name="Object 1"/>
        <xdr:cNvSpPr>
          <a:spLocks noChangeAspect="1"/>
        </xdr:cNvSpPr>
      </xdr:nvSpPr>
      <xdr:spPr>
        <a:xfrm>
          <a:off x="9601200" y="32512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9</xdr:col>
      <xdr:colOff>3175</xdr:colOff>
      <xdr:row>110</xdr:row>
      <xdr:rowOff>165100</xdr:rowOff>
    </xdr:from>
    <xdr:to>
      <xdr:col>9</xdr:col>
      <xdr:colOff>3175</xdr:colOff>
      <xdr:row>110</xdr:row>
      <xdr:rowOff>165100</xdr:rowOff>
    </xdr:to>
    <xdr:sp>
      <xdr:nvSpPr>
        <xdr:cNvPr id="4" name="Object 1"/>
        <xdr:cNvSpPr>
          <a:spLocks noChangeAspect="1"/>
        </xdr:cNvSpPr>
      </xdr:nvSpPr>
      <xdr:spPr>
        <a:xfrm>
          <a:off x="6175375" y="190246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14</xdr:col>
      <xdr:colOff>0</xdr:colOff>
      <xdr:row>18</xdr:row>
      <xdr:rowOff>165100</xdr:rowOff>
    </xdr:from>
    <xdr:to>
      <xdr:col>14</xdr:col>
      <xdr:colOff>0</xdr:colOff>
      <xdr:row>18</xdr:row>
      <xdr:rowOff>165100</xdr:rowOff>
    </xdr:to>
    <xdr:sp>
      <xdr:nvSpPr>
        <xdr:cNvPr id="5" name="Object 1"/>
        <xdr:cNvSpPr>
          <a:spLocks noChangeAspect="1"/>
        </xdr:cNvSpPr>
      </xdr:nvSpPr>
      <xdr:spPr>
        <a:xfrm>
          <a:off x="9601200" y="32512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9</xdr:col>
      <xdr:colOff>3175</xdr:colOff>
      <xdr:row>110</xdr:row>
      <xdr:rowOff>165100</xdr:rowOff>
    </xdr:from>
    <xdr:to>
      <xdr:col>9</xdr:col>
      <xdr:colOff>3175</xdr:colOff>
      <xdr:row>110</xdr:row>
      <xdr:rowOff>165100</xdr:rowOff>
    </xdr:to>
    <xdr:sp>
      <xdr:nvSpPr>
        <xdr:cNvPr id="6" name="Object 1"/>
        <xdr:cNvSpPr>
          <a:spLocks noChangeAspect="1"/>
        </xdr:cNvSpPr>
      </xdr:nvSpPr>
      <xdr:spPr>
        <a:xfrm>
          <a:off x="6175375" y="190246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B1:U52"/>
  <sheetViews>
    <sheetView zoomScale="115" zoomScaleNormal="115" workbookViewId="0">
      <selection activeCell="J38" sqref="J38"/>
    </sheetView>
  </sheetViews>
  <sheetFormatPr defaultColWidth="10.75" defaultRowHeight="12"/>
  <cols>
    <col min="1" max="1" width="4.08333333333333" style="2" customWidth="1"/>
    <col min="2" max="8" width="8.75" style="92" customWidth="1"/>
    <col min="9" max="9" width="8.83333333333333" style="92" customWidth="1"/>
    <col min="10" max="10" width="10.75" style="2" customWidth="1"/>
    <col min="11" max="11" width="20.5833333333333" style="2" customWidth="1"/>
    <col min="12" max="12" width="12" style="2"/>
    <col min="13" max="13" width="11.125" style="2"/>
    <col min="14" max="14" width="12" style="2"/>
    <col min="15" max="16384" width="10.75" style="2"/>
  </cols>
  <sheetData>
    <row r="1" ht="12.75" customHeight="1"/>
    <row r="2" ht="12.75" customHeight="1" spans="3:15">
      <c r="C2" s="93" t="s">
        <v>0</v>
      </c>
      <c r="D2" s="94"/>
      <c r="E2" s="94"/>
      <c r="F2" s="94"/>
      <c r="G2" s="94"/>
      <c r="H2" s="94"/>
      <c r="I2" s="121"/>
      <c r="K2" s="122"/>
      <c r="L2" s="122"/>
      <c r="O2" s="122" t="str">
        <f>CONCATENATE("Encoder run times for ",L3)</f>
        <v>Encoder run times for ECM-17,0</v>
      </c>
    </row>
    <row r="3" ht="12.75" customHeight="1" spans="3:21">
      <c r="C3" s="95" t="str">
        <f>CONCATENATE("Over ",$L$3)</f>
        <v>Over ECM-17,0</v>
      </c>
      <c r="D3" s="96"/>
      <c r="E3" s="96"/>
      <c r="F3" s="96"/>
      <c r="G3" s="96"/>
      <c r="H3" s="96"/>
      <c r="I3" s="123"/>
      <c r="K3" s="122" t="s">
        <v>1</v>
      </c>
      <c r="L3" s="122" t="s">
        <v>2</v>
      </c>
      <c r="P3" s="34" t="s">
        <v>3</v>
      </c>
      <c r="Q3" s="21" t="s">
        <v>4</v>
      </c>
      <c r="R3" s="21" t="s">
        <v>5</v>
      </c>
      <c r="S3" s="21" t="s">
        <v>6</v>
      </c>
      <c r="T3" s="21" t="s">
        <v>7</v>
      </c>
      <c r="U3" s="37" t="s">
        <v>8</v>
      </c>
    </row>
    <row r="4" ht="12.75" customHeight="1" spans="3:21">
      <c r="C4" s="97" t="s">
        <v>9</v>
      </c>
      <c r="D4" s="98" t="s">
        <v>10</v>
      </c>
      <c r="E4" s="99" t="s">
        <v>11</v>
      </c>
      <c r="F4" s="100" t="s">
        <v>12</v>
      </c>
      <c r="G4" s="98" t="s">
        <v>13</v>
      </c>
      <c r="H4" s="100" t="s">
        <v>14</v>
      </c>
      <c r="I4" s="124" t="s">
        <v>15</v>
      </c>
      <c r="K4" s="122" t="s">
        <v>16</v>
      </c>
      <c r="L4" s="122" t="s">
        <v>17</v>
      </c>
      <c r="O4" s="11" t="s">
        <v>18</v>
      </c>
      <c r="P4" s="125">
        <f>'AI-10'!J145</f>
        <v>866.222777777778</v>
      </c>
      <c r="Q4" s="136">
        <f>'RA-10'!J145</f>
        <v>10475.3394444444</v>
      </c>
      <c r="R4" s="136">
        <f>'LB-10'!J145</f>
        <v>799.093055555556</v>
      </c>
      <c r="S4" s="136">
        <f>'LP-10'!J145</f>
        <v>732.630277777778</v>
      </c>
      <c r="T4" s="136">
        <f>SUM(P4:S4)</f>
        <v>12873.2855555555</v>
      </c>
      <c r="U4" s="137">
        <f>T4/24</f>
        <v>536.386898148146</v>
      </c>
    </row>
    <row r="5" ht="12.75" customHeight="1" spans="2:21">
      <c r="B5" s="101" t="s">
        <v>19</v>
      </c>
      <c r="C5" s="102" t="e">
        <f>'AI-10'!AB123</f>
        <v>#VALUE!</v>
      </c>
      <c r="D5" s="103" t="e">
        <f>'AI-10'!AC123</f>
        <v>#VALUE!</v>
      </c>
      <c r="E5" s="104" t="e">
        <f>'AI-10'!AD123</f>
        <v>#VALUE!</v>
      </c>
      <c r="F5" s="105" t="e">
        <f>'AI-10'!W123</f>
        <v>#NUM!</v>
      </c>
      <c r="G5" s="106" t="e">
        <f>'AI-10'!X123</f>
        <v>#NUM!</v>
      </c>
      <c r="H5" s="105" t="e">
        <f>'AI-10'!Y123</f>
        <v>#NUM!</v>
      </c>
      <c r="I5" s="126" t="e">
        <f>'AI-10'!Z123</f>
        <v>#NUM!</v>
      </c>
      <c r="J5" s="44"/>
      <c r="L5" s="122"/>
      <c r="O5" s="17" t="s">
        <v>20</v>
      </c>
      <c r="P5" s="127">
        <f>'AI-10'!J156</f>
        <v>35.9972222222222</v>
      </c>
      <c r="Q5" s="138">
        <f>'RA-10'!J156</f>
        <v>968.489444444444</v>
      </c>
      <c r="R5" s="138">
        <f>'LB-10'!J156</f>
        <v>46.8580555555556</v>
      </c>
      <c r="S5" s="138">
        <f>'LP-10'!J156</f>
        <v>43.8355555555556</v>
      </c>
      <c r="T5" s="138">
        <f>MAX(P5,Q5/4,R5,S5)</f>
        <v>242.122361111111</v>
      </c>
      <c r="U5" s="139">
        <f>T5/24</f>
        <v>10.088431712963</v>
      </c>
    </row>
    <row r="6" ht="12.75" customHeight="1" spans="2:12">
      <c r="B6" s="107" t="s">
        <v>21</v>
      </c>
      <c r="C6" s="108" t="e">
        <f>'AI-10'!AB124</f>
        <v>#VALUE!</v>
      </c>
      <c r="D6" s="109" t="e">
        <f>'AI-10'!AC124</f>
        <v>#VALUE!</v>
      </c>
      <c r="E6" s="110" t="e">
        <f>'AI-10'!AD124</f>
        <v>#VALUE!</v>
      </c>
      <c r="F6" s="111" t="e">
        <f>'AI-10'!W124</f>
        <v>#NUM!</v>
      </c>
      <c r="G6" s="112" t="e">
        <f>'AI-10'!X124</f>
        <v>#NUM!</v>
      </c>
      <c r="H6" s="111" t="e">
        <f>'AI-10'!Y124</f>
        <v>#NUM!</v>
      </c>
      <c r="I6" s="126" t="e">
        <f>'AI-10'!Z124</f>
        <v>#NUM!</v>
      </c>
      <c r="J6" s="44"/>
      <c r="L6" s="122"/>
    </row>
    <row r="7" ht="12.75" customHeight="1" spans="2:10">
      <c r="B7" s="107" t="s">
        <v>22</v>
      </c>
      <c r="C7" s="108" t="e">
        <f>'AI-10'!AB125</f>
        <v>#VALUE!</v>
      </c>
      <c r="D7" s="109" t="e">
        <f>'AI-10'!AC125</f>
        <v>#VALUE!</v>
      </c>
      <c r="E7" s="110" t="e">
        <f>'AI-10'!AD125</f>
        <v>#VALUE!</v>
      </c>
      <c r="F7" s="111" t="e">
        <f>'AI-10'!W125</f>
        <v>#NUM!</v>
      </c>
      <c r="G7" s="112" t="e">
        <f>'AI-10'!X125</f>
        <v>#NUM!</v>
      </c>
      <c r="H7" s="111" t="e">
        <f>'AI-10'!Y125</f>
        <v>#NUM!</v>
      </c>
      <c r="I7" s="126" t="e">
        <f>'AI-10'!Z125</f>
        <v>#NUM!</v>
      </c>
      <c r="J7" s="44"/>
    </row>
    <row r="8" ht="12.75" customHeight="1" spans="2:15">
      <c r="B8" s="107" t="s">
        <v>23</v>
      </c>
      <c r="C8" s="108" t="e">
        <f>'AI-10'!AB126</f>
        <v>#VALUE!</v>
      </c>
      <c r="D8" s="109" t="e">
        <f>'AI-10'!AC126</f>
        <v>#VALUE!</v>
      </c>
      <c r="E8" s="110" t="e">
        <f>'AI-10'!AD126</f>
        <v>#VALUE!</v>
      </c>
      <c r="F8" s="111" t="e">
        <f>'AI-10'!W126</f>
        <v>#NUM!</v>
      </c>
      <c r="G8" s="112" t="e">
        <f>'AI-10'!X126</f>
        <v>#NUM!</v>
      </c>
      <c r="H8" s="111" t="e">
        <f>'AI-10'!Y126</f>
        <v>#NUM!</v>
      </c>
      <c r="I8" s="126" t="e">
        <f>'AI-10'!Z126</f>
        <v>#NUM!</v>
      </c>
      <c r="J8" s="44"/>
      <c r="O8" s="122" t="str">
        <f>CONCATENATE("Encoder run times for ",L4)</f>
        <v>Encoder run times for Test EE2-1,6A</v>
      </c>
    </row>
    <row r="9" ht="12.75" customHeight="1" spans="2:21">
      <c r="B9" s="107" t="s">
        <v>24</v>
      </c>
      <c r="C9" s="108" t="e">
        <f>'AI-10'!AB128</f>
        <v>#VALUE!</v>
      </c>
      <c r="D9" s="109" t="e">
        <f>'AI-10'!AC128</f>
        <v>#VALUE!</v>
      </c>
      <c r="E9" s="110" t="e">
        <f>'AI-10'!AD128</f>
        <v>#VALUE!</v>
      </c>
      <c r="F9" s="111" t="e">
        <f>'AI-10'!W128</f>
        <v>#NUM!</v>
      </c>
      <c r="G9" s="112" t="e">
        <f>'AI-10'!X128</f>
        <v>#NUM!</v>
      </c>
      <c r="H9" s="111" t="e">
        <f>'AI-10'!Y128</f>
        <v>#NUM!</v>
      </c>
      <c r="I9" s="126" t="e">
        <f>'AI-10'!Z128</f>
        <v>#NUM!</v>
      </c>
      <c r="J9" s="44"/>
      <c r="P9" s="34" t="s">
        <v>3</v>
      </c>
      <c r="Q9" s="21" t="s">
        <v>4</v>
      </c>
      <c r="R9" s="21" t="s">
        <v>5</v>
      </c>
      <c r="S9" s="21" t="s">
        <v>6</v>
      </c>
      <c r="T9" s="21" t="s">
        <v>7</v>
      </c>
      <c r="U9" s="37" t="s">
        <v>8</v>
      </c>
    </row>
    <row r="10" ht="12.75" customHeight="1" spans="2:21">
      <c r="B10" s="113" t="s">
        <v>25</v>
      </c>
      <c r="C10" s="102" t="e">
        <f>'AI-10'!AB131</f>
        <v>#VALUE!</v>
      </c>
      <c r="D10" s="103" t="e">
        <f>'AI-10'!AC131</f>
        <v>#VALUE!</v>
      </c>
      <c r="E10" s="104" t="e">
        <f>'AI-10'!AD131</f>
        <v>#VALUE!</v>
      </c>
      <c r="F10" s="105" t="e">
        <f>'AI-10'!W131</f>
        <v>#NUM!</v>
      </c>
      <c r="G10" s="106" t="e">
        <f>'AI-10'!X131</f>
        <v>#NUM!</v>
      </c>
      <c r="H10" s="114" t="e">
        <f>'AI-10'!Y131</f>
        <v>#NUM!</v>
      </c>
      <c r="I10" s="128" t="e">
        <f>'AI-10'!Z131</f>
        <v>#NUM!</v>
      </c>
      <c r="J10" s="44"/>
      <c r="K10" s="122" t="s">
        <v>26</v>
      </c>
      <c r="O10" s="11" t="s">
        <v>18</v>
      </c>
      <c r="P10" s="125">
        <f>'AI-10'!T145</f>
        <v>0</v>
      </c>
      <c r="Q10" s="136">
        <f>'RA-10'!T145</f>
        <v>0</v>
      </c>
      <c r="R10" s="136">
        <f>'LB-10'!T145</f>
        <v>0</v>
      </c>
      <c r="S10" s="136">
        <f>'LP-10'!T145</f>
        <v>0</v>
      </c>
      <c r="T10" s="136">
        <f>SUM(P10:S10)</f>
        <v>0</v>
      </c>
      <c r="U10" s="137">
        <f>T10/24</f>
        <v>0</v>
      </c>
    </row>
    <row r="11" ht="12.75" customHeight="1" spans="2:21">
      <c r="B11" s="101" t="s">
        <v>27</v>
      </c>
      <c r="C11" s="103" t="e">
        <f>'AI-10'!AB127</f>
        <v>#VALUE!</v>
      </c>
      <c r="D11" s="103" t="e">
        <f>'AI-10'!AC127</f>
        <v>#VALUE!</v>
      </c>
      <c r="E11" s="104" t="e">
        <f>'AI-10'!AD127</f>
        <v>#VALUE!</v>
      </c>
      <c r="F11" s="106" t="e">
        <f>'AI-10'!W127</f>
        <v>#NUM!</v>
      </c>
      <c r="G11" s="106" t="e">
        <f>'AI-10'!X127</f>
        <v>#NUM!</v>
      </c>
      <c r="H11" s="111" t="e">
        <f>'AI-10'!Y127</f>
        <v>#NUM!</v>
      </c>
      <c r="I11" s="126" t="e">
        <f>'AI-10'!Z127</f>
        <v>#NUM!</v>
      </c>
      <c r="J11" s="44"/>
      <c r="K11" s="122"/>
      <c r="O11" s="17" t="s">
        <v>20</v>
      </c>
      <c r="P11" s="127">
        <f>'AI-10'!T156</f>
        <v>0</v>
      </c>
      <c r="Q11" s="138">
        <f>'RA-10'!T156</f>
        <v>0</v>
      </c>
      <c r="R11" s="138">
        <f>'LB-10'!T156</f>
        <v>0</v>
      </c>
      <c r="S11" s="138">
        <f>'LP-10'!T156</f>
        <v>0</v>
      </c>
      <c r="T11" s="138">
        <f>MAX(P11,Q11/4,R11,S11)</f>
        <v>0</v>
      </c>
      <c r="U11" s="139">
        <f>T11/24</f>
        <v>0</v>
      </c>
    </row>
    <row r="12" ht="12.75" customHeight="1" spans="2:10">
      <c r="B12" s="107" t="s">
        <v>28</v>
      </c>
      <c r="C12" s="109" t="e">
        <f>'AI-10'!AB129</f>
        <v>#VALUE!</v>
      </c>
      <c r="D12" s="109" t="e">
        <f>'AI-10'!AC129</f>
        <v>#VALUE!</v>
      </c>
      <c r="E12" s="110" t="e">
        <f>'AI-10'!AD129</f>
        <v>#VALUE!</v>
      </c>
      <c r="F12" s="112" t="e">
        <f>'AI-10'!W129</f>
        <v>#NUM!</v>
      </c>
      <c r="G12" s="112" t="e">
        <f>'AI-10'!X129</f>
        <v>#NUM!</v>
      </c>
      <c r="H12" s="111" t="e">
        <f>'AI-10'!Y129</f>
        <v>#NUM!</v>
      </c>
      <c r="I12" s="126" t="e">
        <f>'AI-10'!Z129</f>
        <v>#NUM!</v>
      </c>
      <c r="J12" s="44"/>
    </row>
    <row r="13" ht="12.75" customHeight="1" spans="2:11">
      <c r="B13" s="115" t="s">
        <v>29</v>
      </c>
      <c r="C13" s="116" t="e">
        <f>'AI-10'!AB130</f>
        <v>#VALUE!</v>
      </c>
      <c r="D13" s="116" t="e">
        <f>'AI-10'!AC130</f>
        <v>#VALUE!</v>
      </c>
      <c r="E13" s="117" t="e">
        <f>'AI-10'!AD130</f>
        <v>#VALUE!</v>
      </c>
      <c r="F13" s="118" t="e">
        <f>'AI-10'!W130</f>
        <v>#NUM!</v>
      </c>
      <c r="G13" s="118" t="e">
        <f>'AI-10'!X130</f>
        <v>#NUM!</v>
      </c>
      <c r="H13" s="119" t="e">
        <f>'AI-10'!Y130</f>
        <v>#NUM!</v>
      </c>
      <c r="I13" s="129" t="e">
        <f>'AI-10'!Z130</f>
        <v>#NUM!</v>
      </c>
      <c r="K13" s="130"/>
    </row>
    <row r="14" ht="12.75" customHeight="1" spans="3:11">
      <c r="C14" s="109"/>
      <c r="D14" s="109"/>
      <c r="E14" s="109"/>
      <c r="F14" s="120"/>
      <c r="G14" s="120"/>
      <c r="H14" s="120"/>
      <c r="I14" s="120"/>
      <c r="K14" s="130" t="s">
        <v>30</v>
      </c>
    </row>
    <row r="15" ht="12.75" customHeight="1" spans="3:15">
      <c r="C15" s="93" t="s">
        <v>31</v>
      </c>
      <c r="D15" s="94"/>
      <c r="E15" s="94"/>
      <c r="F15" s="94"/>
      <c r="G15" s="94"/>
      <c r="H15" s="94"/>
      <c r="I15" s="121"/>
      <c r="L15" s="122"/>
      <c r="O15" s="122" t="str">
        <f>CONCATENATE("Encoder run times for ",L4," over ",L3)</f>
        <v>Encoder run times for Test EE2-1,6A over ECM-17,0</v>
      </c>
    </row>
    <row r="16" ht="12.75" customHeight="1" spans="3:20">
      <c r="C16" s="95" t="str">
        <f>CONCATENATE("Over ",$L$3)</f>
        <v>Over ECM-17,0</v>
      </c>
      <c r="D16" s="96"/>
      <c r="E16" s="96"/>
      <c r="F16" s="96"/>
      <c r="G16" s="96"/>
      <c r="H16" s="96"/>
      <c r="I16" s="123"/>
      <c r="K16" s="122" t="s">
        <v>32</v>
      </c>
      <c r="L16" s="2" t="s">
        <v>33</v>
      </c>
      <c r="P16" s="34" t="s">
        <v>3</v>
      </c>
      <c r="Q16" s="21" t="s">
        <v>4</v>
      </c>
      <c r="R16" s="21" t="s">
        <v>5</v>
      </c>
      <c r="S16" s="21" t="s">
        <v>6</v>
      </c>
      <c r="T16" s="37" t="s">
        <v>34</v>
      </c>
    </row>
    <row r="17" ht="12.75" customHeight="1" spans="3:20">
      <c r="C17" s="97" t="s">
        <v>9</v>
      </c>
      <c r="D17" s="98" t="s">
        <v>10</v>
      </c>
      <c r="E17" s="99" t="s">
        <v>11</v>
      </c>
      <c r="F17" s="100" t="s">
        <v>12</v>
      </c>
      <c r="G17" s="98" t="s">
        <v>13</v>
      </c>
      <c r="H17" s="100" t="s">
        <v>14</v>
      </c>
      <c r="I17" s="124" t="s">
        <v>15</v>
      </c>
      <c r="K17" s="122"/>
      <c r="L17" s="44"/>
      <c r="M17" s="44"/>
      <c r="N17" s="44"/>
      <c r="O17" s="6" t="s">
        <v>35</v>
      </c>
      <c r="P17" s="131" t="e">
        <f>F10</f>
        <v>#NUM!</v>
      </c>
      <c r="Q17" s="140" t="e">
        <f>F23</f>
        <v>#NUM!</v>
      </c>
      <c r="R17" s="140" t="e">
        <f>F36</f>
        <v>#NUM!</v>
      </c>
      <c r="S17" s="140" t="e">
        <f>F49</f>
        <v>#NUM!</v>
      </c>
      <c r="T17" s="141"/>
    </row>
    <row r="18" ht="12.75" customHeight="1" spans="2:20">
      <c r="B18" s="101" t="str">
        <f>B5</f>
        <v>Class A1</v>
      </c>
      <c r="C18" s="102" t="e">
        <f>'RA-10'!AB123</f>
        <v>#VALUE!</v>
      </c>
      <c r="D18" s="103" t="e">
        <f>'RA-10'!AC123</f>
        <v>#VALUE!</v>
      </c>
      <c r="E18" s="104" t="e">
        <f>'RA-10'!AD123</f>
        <v>#VALUE!</v>
      </c>
      <c r="F18" s="105" t="e">
        <f>'RA-10'!W123</f>
        <v>#NUM!</v>
      </c>
      <c r="G18" s="106" t="e">
        <f>'RA-10'!X123</f>
        <v>#NUM!</v>
      </c>
      <c r="H18" s="105" t="e">
        <f>'RA-10'!Y123</f>
        <v>#NUM!</v>
      </c>
      <c r="I18" s="126" t="e">
        <f>'RA-10'!Z123</f>
        <v>#NUM!</v>
      </c>
      <c r="J18" s="44"/>
      <c r="K18" s="122" t="s">
        <v>36</v>
      </c>
      <c r="L18" s="44" t="s">
        <v>37</v>
      </c>
      <c r="M18" s="44"/>
      <c r="N18" s="44"/>
      <c r="O18" s="65" t="s">
        <v>18</v>
      </c>
      <c r="P18" s="131">
        <f t="shared" ref="P18:T19" si="0">P10/P4</f>
        <v>0</v>
      </c>
      <c r="Q18" s="140">
        <f t="shared" si="0"/>
        <v>0</v>
      </c>
      <c r="R18" s="140">
        <f t="shared" si="0"/>
        <v>0</v>
      </c>
      <c r="S18" s="140">
        <f t="shared" si="0"/>
        <v>0</v>
      </c>
      <c r="T18" s="142">
        <f t="shared" si="0"/>
        <v>0</v>
      </c>
    </row>
    <row r="19" ht="12.75" customHeight="1" spans="2:20">
      <c r="B19" s="107" t="str">
        <f>B6</f>
        <v>Class A2</v>
      </c>
      <c r="C19" s="108" t="e">
        <f>'RA-10'!AB124</f>
        <v>#VALUE!</v>
      </c>
      <c r="D19" s="109" t="e">
        <f>'RA-10'!AC124</f>
        <v>#VALUE!</v>
      </c>
      <c r="E19" s="110" t="e">
        <f>'RA-10'!AD124</f>
        <v>#VALUE!</v>
      </c>
      <c r="F19" s="111" t="e">
        <f>'RA-10'!W124</f>
        <v>#NUM!</v>
      </c>
      <c r="G19" s="112" t="e">
        <f>'RA-10'!X124</f>
        <v>#NUM!</v>
      </c>
      <c r="H19" s="111" t="e">
        <f>'RA-10'!Y124</f>
        <v>#NUM!</v>
      </c>
      <c r="I19" s="126" t="e">
        <f>'RA-10'!Z124</f>
        <v>#NUM!</v>
      </c>
      <c r="J19" s="44"/>
      <c r="K19" s="122" t="s">
        <v>38</v>
      </c>
      <c r="L19" s="44" t="s">
        <v>37</v>
      </c>
      <c r="M19" s="44"/>
      <c r="N19" s="44"/>
      <c r="O19" s="77" t="s">
        <v>20</v>
      </c>
      <c r="P19" s="132">
        <f t="shared" si="0"/>
        <v>0</v>
      </c>
      <c r="Q19" s="143">
        <f t="shared" si="0"/>
        <v>0</v>
      </c>
      <c r="R19" s="143">
        <f t="shared" si="0"/>
        <v>0</v>
      </c>
      <c r="S19" s="143">
        <f t="shared" si="0"/>
        <v>0</v>
      </c>
      <c r="T19" s="144">
        <f t="shared" si="0"/>
        <v>0</v>
      </c>
    </row>
    <row r="20" ht="12.75" customHeight="1" spans="2:10">
      <c r="B20" s="107" t="str">
        <f>B7</f>
        <v>Class B</v>
      </c>
      <c r="C20" s="108" t="e">
        <f>'RA-10'!AB125</f>
        <v>#VALUE!</v>
      </c>
      <c r="D20" s="109" t="e">
        <f>'RA-10'!AC125</f>
        <v>#VALUE!</v>
      </c>
      <c r="E20" s="110" t="e">
        <f>'RA-10'!AD125</f>
        <v>#VALUE!</v>
      </c>
      <c r="F20" s="111" t="e">
        <f>'RA-10'!W125</f>
        <v>#NUM!</v>
      </c>
      <c r="G20" s="112" t="e">
        <f>'RA-10'!X125</f>
        <v>#NUM!</v>
      </c>
      <c r="H20" s="111" t="e">
        <f>'RA-10'!Y125</f>
        <v>#NUM!</v>
      </c>
      <c r="I20" s="126" t="e">
        <f>'RA-10'!Z125</f>
        <v>#NUM!</v>
      </c>
      <c r="J20" s="44"/>
    </row>
    <row r="21" ht="12.75" customHeight="1" spans="2:12">
      <c r="B21" s="107" t="str">
        <f>B8</f>
        <v>Class C</v>
      </c>
      <c r="C21" s="108" t="e">
        <f>'RA-10'!AB126</f>
        <v>#VALUE!</v>
      </c>
      <c r="D21" s="109" t="e">
        <f>'RA-10'!AC126</f>
        <v>#VALUE!</v>
      </c>
      <c r="E21" s="110" t="e">
        <f>'RA-10'!AD126</f>
        <v>#VALUE!</v>
      </c>
      <c r="F21" s="111" t="e">
        <f>'RA-10'!W126</f>
        <v>#NUM!</v>
      </c>
      <c r="G21" s="112" t="e">
        <f>'RA-10'!X126</f>
        <v>#NUM!</v>
      </c>
      <c r="H21" s="111" t="e">
        <f>'RA-10'!Y126</f>
        <v>#NUM!</v>
      </c>
      <c r="I21" s="126" t="e">
        <f>'RA-10'!Z126</f>
        <v>#NUM!</v>
      </c>
      <c r="J21" s="44"/>
      <c r="K21" s="122" t="s">
        <v>39</v>
      </c>
      <c r="L21" s="2" t="s">
        <v>40</v>
      </c>
    </row>
    <row r="22" ht="12.75" customHeight="1" spans="2:10">
      <c r="B22" s="107" t="str">
        <f>B9</f>
        <v>Class E</v>
      </c>
      <c r="C22" s="108"/>
      <c r="D22" s="109"/>
      <c r="E22" s="110"/>
      <c r="F22" s="111"/>
      <c r="G22" s="112"/>
      <c r="H22" s="111"/>
      <c r="I22" s="126"/>
      <c r="J22" s="44"/>
    </row>
    <row r="23" ht="12.75" customHeight="1" spans="2:20">
      <c r="B23" s="113" t="s">
        <v>41</v>
      </c>
      <c r="C23" s="102" t="e">
        <f>'RA-10'!AB131</f>
        <v>#VALUE!</v>
      </c>
      <c r="D23" s="103" t="e">
        <f>'RA-10'!AC131</f>
        <v>#VALUE!</v>
      </c>
      <c r="E23" s="104" t="e">
        <f>'RA-10'!AD131</f>
        <v>#VALUE!</v>
      </c>
      <c r="F23" s="105" t="e">
        <f>'RA-10'!W131</f>
        <v>#NUM!</v>
      </c>
      <c r="G23" s="106" t="e">
        <f>'RA-10'!X131</f>
        <v>#NUM!</v>
      </c>
      <c r="H23" s="114" t="e">
        <f>'RA-10'!Y131</f>
        <v>#NUM!</v>
      </c>
      <c r="I23" s="128" t="e">
        <f>'RA-10'!Z131</f>
        <v>#NUM!</v>
      </c>
      <c r="J23" s="44"/>
      <c r="K23" s="122" t="s">
        <v>42</v>
      </c>
      <c r="L23" s="133" t="s">
        <v>43</v>
      </c>
      <c r="M23" s="133"/>
      <c r="N23" s="133"/>
      <c r="O23" s="133"/>
      <c r="P23" s="133"/>
      <c r="Q23" s="133"/>
      <c r="R23" s="133"/>
      <c r="S23" s="133"/>
      <c r="T23" s="133"/>
    </row>
    <row r="24" ht="12.75" customHeight="1" spans="2:20">
      <c r="B24" s="101" t="str">
        <f>B11</f>
        <v>Class D</v>
      </c>
      <c r="C24" s="103" t="e">
        <f>'RA-10'!AB127</f>
        <v>#VALUE!</v>
      </c>
      <c r="D24" s="103" t="e">
        <f>'RA-10'!AC127</f>
        <v>#VALUE!</v>
      </c>
      <c r="E24" s="104" t="e">
        <f>'RA-10'!AD127</f>
        <v>#VALUE!</v>
      </c>
      <c r="F24" s="106" t="e">
        <f>'RA-10'!W127</f>
        <v>#NUM!</v>
      </c>
      <c r="G24" s="106" t="e">
        <f>'RA-10'!X127</f>
        <v>#NUM!</v>
      </c>
      <c r="H24" s="111" t="e">
        <f>'RA-10'!Y127</f>
        <v>#NUM!</v>
      </c>
      <c r="I24" s="126" t="e">
        <f>'RA-10'!Z127</f>
        <v>#NUM!</v>
      </c>
      <c r="J24" s="44"/>
      <c r="L24" s="134"/>
      <c r="M24" s="134"/>
      <c r="N24" s="133"/>
      <c r="O24" s="133"/>
      <c r="P24" s="133"/>
      <c r="Q24" s="133"/>
      <c r="R24" s="133"/>
      <c r="S24" s="133"/>
      <c r="T24" s="133"/>
    </row>
    <row r="25" ht="12.75" customHeight="1" spans="2:13">
      <c r="B25" s="107" t="str">
        <f>B12</f>
        <v>Class F</v>
      </c>
      <c r="C25" s="109" t="e">
        <f>'RA-10'!AB129</f>
        <v>#VALUE!</v>
      </c>
      <c r="D25" s="109" t="e">
        <f>'RA-10'!AC129</f>
        <v>#VALUE!</v>
      </c>
      <c r="E25" s="110" t="e">
        <f>'RA-10'!AD129</f>
        <v>#VALUE!</v>
      </c>
      <c r="F25" s="112" t="e">
        <f>'RA-10'!W129</f>
        <v>#NUM!</v>
      </c>
      <c r="G25" s="112" t="e">
        <f>'RA-10'!X129</f>
        <v>#NUM!</v>
      </c>
      <c r="H25" s="111" t="e">
        <f>'RA-10'!Y129</f>
        <v>#NUM!</v>
      </c>
      <c r="I25" s="126" t="e">
        <f>'RA-10'!Z129</f>
        <v>#NUM!</v>
      </c>
      <c r="J25" s="44"/>
      <c r="K25" s="130" t="s">
        <v>44</v>
      </c>
      <c r="L25" s="135"/>
      <c r="M25" s="135"/>
    </row>
    <row r="26" ht="12.75" customHeight="1" spans="2:13">
      <c r="B26" s="115" t="str">
        <f>B13</f>
        <v>Class TGM</v>
      </c>
      <c r="C26" s="116" t="e">
        <f>'RA-10'!AB130</f>
        <v>#VALUE!</v>
      </c>
      <c r="D26" s="116" t="e">
        <f>'RA-10'!AC130</f>
        <v>#VALUE!</v>
      </c>
      <c r="E26" s="117" t="e">
        <f>'RA-10'!AD130</f>
        <v>#VALUE!</v>
      </c>
      <c r="F26" s="118" t="e">
        <f>'RA-10'!W130</f>
        <v>#NUM!</v>
      </c>
      <c r="G26" s="118" t="e">
        <f>'RA-10'!X130</f>
        <v>#NUM!</v>
      </c>
      <c r="H26" s="119" t="e">
        <f>'RA-10'!Y130</f>
        <v>#NUM!</v>
      </c>
      <c r="I26" s="129" t="e">
        <f>'RA-10'!Z130</f>
        <v>#NUM!</v>
      </c>
      <c r="L26" s="135"/>
      <c r="M26" s="135"/>
    </row>
    <row r="27" ht="12.75" customHeight="1" spans="3:13">
      <c r="C27" s="109"/>
      <c r="D27" s="109"/>
      <c r="E27" s="109"/>
      <c r="F27" s="120"/>
      <c r="G27" s="120"/>
      <c r="H27" s="120"/>
      <c r="I27" s="120"/>
      <c r="K27" s="122" t="s">
        <v>45</v>
      </c>
      <c r="L27" s="2" t="s">
        <v>46</v>
      </c>
      <c r="M27" s="122"/>
    </row>
    <row r="28" ht="12.75" customHeight="1" spans="3:9">
      <c r="C28" s="93" t="s">
        <v>47</v>
      </c>
      <c r="D28" s="94"/>
      <c r="E28" s="94"/>
      <c r="F28" s="94"/>
      <c r="G28" s="94"/>
      <c r="H28" s="94"/>
      <c r="I28" s="121"/>
    </row>
    <row r="29" ht="12.75" customHeight="1" spans="3:12">
      <c r="C29" s="95" t="str">
        <f>CONCATENATE("Over ",$L$3)</f>
        <v>Over ECM-17,0</v>
      </c>
      <c r="D29" s="96"/>
      <c r="E29" s="96"/>
      <c r="F29" s="96"/>
      <c r="G29" s="96"/>
      <c r="H29" s="96"/>
      <c r="I29" s="123"/>
      <c r="K29" s="122" t="s">
        <v>48</v>
      </c>
      <c r="L29" s="2" t="s">
        <v>46</v>
      </c>
    </row>
    <row r="30" ht="12.75" customHeight="1" spans="3:12">
      <c r="C30" s="97" t="s">
        <v>9</v>
      </c>
      <c r="D30" s="98" t="s">
        <v>10</v>
      </c>
      <c r="E30" s="99" t="s">
        <v>11</v>
      </c>
      <c r="F30" s="100" t="s">
        <v>12</v>
      </c>
      <c r="G30" s="98" t="s">
        <v>13</v>
      </c>
      <c r="H30" s="100" t="s">
        <v>14</v>
      </c>
      <c r="I30" s="124" t="s">
        <v>15</v>
      </c>
      <c r="K30" s="122" t="s">
        <v>49</v>
      </c>
      <c r="L30" s="2" t="s">
        <v>46</v>
      </c>
    </row>
    <row r="31" ht="12.75" customHeight="1" spans="2:10">
      <c r="B31" s="101" t="str">
        <f>B5</f>
        <v>Class A1</v>
      </c>
      <c r="C31" s="102"/>
      <c r="D31" s="103"/>
      <c r="E31" s="104"/>
      <c r="F31" s="105"/>
      <c r="G31" s="106"/>
      <c r="H31" s="105"/>
      <c r="I31" s="126"/>
      <c r="J31" s="44"/>
    </row>
    <row r="32" ht="12.75" customHeight="1" spans="2:12">
      <c r="B32" s="107" t="str">
        <f>B6</f>
        <v>Class A2</v>
      </c>
      <c r="C32" s="108"/>
      <c r="D32" s="109"/>
      <c r="E32" s="110"/>
      <c r="F32" s="111"/>
      <c r="G32" s="112"/>
      <c r="H32" s="111"/>
      <c r="I32" s="126"/>
      <c r="J32" s="44"/>
      <c r="K32" s="122" t="s">
        <v>50</v>
      </c>
      <c r="L32" s="2" t="s">
        <v>51</v>
      </c>
    </row>
    <row r="33" ht="12.75" customHeight="1" spans="2:11">
      <c r="B33" s="107" t="str">
        <f>B7</f>
        <v>Class B</v>
      </c>
      <c r="C33" s="108" t="e">
        <f>'LB-10'!AB125</f>
        <v>#VALUE!</v>
      </c>
      <c r="D33" s="109" t="e">
        <f>'LB-10'!AC125</f>
        <v>#VALUE!</v>
      </c>
      <c r="E33" s="110" t="e">
        <f>'LB-10'!AD125</f>
        <v>#VALUE!</v>
      </c>
      <c r="F33" s="111" t="e">
        <f>'LB-10'!W125</f>
        <v>#NUM!</v>
      </c>
      <c r="G33" s="112" t="e">
        <f>'LB-10'!X125</f>
        <v>#NUM!</v>
      </c>
      <c r="H33" s="111" t="e">
        <f>'LB-10'!Y125</f>
        <v>#NUM!</v>
      </c>
      <c r="I33" s="126" t="e">
        <f>'LB-10'!Z125</f>
        <v>#NUM!</v>
      </c>
      <c r="J33" s="44"/>
      <c r="K33" s="122"/>
    </row>
    <row r="34" ht="12.75" customHeight="1" spans="2:10">
      <c r="B34" s="107" t="str">
        <f>B8</f>
        <v>Class C</v>
      </c>
      <c r="C34" s="108" t="e">
        <f>'LB-10'!AB126</f>
        <v>#VALUE!</v>
      </c>
      <c r="D34" s="109" t="e">
        <f>'LB-10'!AC126</f>
        <v>#VALUE!</v>
      </c>
      <c r="E34" s="110" t="e">
        <f>'LB-10'!AD126</f>
        <v>#VALUE!</v>
      </c>
      <c r="F34" s="111" t="e">
        <f>'LB-10'!W126</f>
        <v>#NUM!</v>
      </c>
      <c r="G34" s="112" t="e">
        <f>'LB-10'!X126</f>
        <v>#NUM!</v>
      </c>
      <c r="H34" s="111" t="e">
        <f>'LB-10'!Y126</f>
        <v>#NUM!</v>
      </c>
      <c r="I34" s="126" t="e">
        <f>'LB-10'!Z126</f>
        <v>#NUM!</v>
      </c>
      <c r="J34" s="44"/>
    </row>
    <row r="35" ht="12.75" customHeight="1" spans="2:12">
      <c r="B35" s="107" t="str">
        <f>B9</f>
        <v>Class E</v>
      </c>
      <c r="C35" s="108" t="e">
        <f>'LB-10'!AB128</f>
        <v>#VALUE!</v>
      </c>
      <c r="D35" s="109" t="e">
        <f>'LB-10'!AC128</f>
        <v>#VALUE!</v>
      </c>
      <c r="E35" s="110" t="e">
        <f>'LB-10'!AD128</f>
        <v>#VALUE!</v>
      </c>
      <c r="F35" s="111" t="e">
        <f>'LB-10'!W128</f>
        <v>#NUM!</v>
      </c>
      <c r="G35" s="112" t="e">
        <f>'LB-10'!X128</f>
        <v>#NUM!</v>
      </c>
      <c r="H35" s="111" t="e">
        <f>'LB-10'!Y128</f>
        <v>#NUM!</v>
      </c>
      <c r="I35" s="126" t="e">
        <f>'LB-10'!Z128</f>
        <v>#NUM!</v>
      </c>
      <c r="J35" s="44"/>
      <c r="K35" s="122"/>
      <c r="L35" s="44"/>
    </row>
    <row r="36" ht="12.75" customHeight="1" spans="2:10">
      <c r="B36" s="113" t="s">
        <v>41</v>
      </c>
      <c r="C36" s="102" t="e">
        <f>'LB-10'!AB131</f>
        <v>#VALUE!</v>
      </c>
      <c r="D36" s="103" t="e">
        <f>'LB-10'!AC131</f>
        <v>#VALUE!</v>
      </c>
      <c r="E36" s="104" t="e">
        <f>'LB-10'!AD131</f>
        <v>#VALUE!</v>
      </c>
      <c r="F36" s="105" t="e">
        <f>'LB-10'!W131</f>
        <v>#NUM!</v>
      </c>
      <c r="G36" s="106" t="e">
        <f>'LB-10'!X131</f>
        <v>#NUM!</v>
      </c>
      <c r="H36" s="114" t="e">
        <f>'LB-10'!Y131</f>
        <v>#NUM!</v>
      </c>
      <c r="I36" s="128" t="e">
        <f>'LB-10'!Z131</f>
        <v>#NUM!</v>
      </c>
      <c r="J36" s="44"/>
    </row>
    <row r="37" ht="12.75" customHeight="1" spans="2:10">
      <c r="B37" s="101" t="str">
        <f>B11</f>
        <v>Class D</v>
      </c>
      <c r="C37" s="103" t="e">
        <f>'LB-10'!AB127</f>
        <v>#VALUE!</v>
      </c>
      <c r="D37" s="103" t="e">
        <f>'LB-10'!AC127</f>
        <v>#VALUE!</v>
      </c>
      <c r="E37" s="104" t="e">
        <f>'LB-10'!AD127</f>
        <v>#VALUE!</v>
      </c>
      <c r="F37" s="106" t="e">
        <f>'LB-10'!W127</f>
        <v>#NUM!</v>
      </c>
      <c r="G37" s="106" t="e">
        <f>'LB-10'!X127</f>
        <v>#NUM!</v>
      </c>
      <c r="H37" s="111" t="e">
        <f>'LB-10'!Y127</f>
        <v>#NUM!</v>
      </c>
      <c r="I37" s="126" t="e">
        <f>'LB-10'!Z127</f>
        <v>#NUM!</v>
      </c>
      <c r="J37" s="44"/>
    </row>
    <row r="38" ht="12.75" customHeight="1" spans="2:10">
      <c r="B38" s="107" t="str">
        <f>B12</f>
        <v>Class F</v>
      </c>
      <c r="C38" s="109" t="e">
        <f>'LB-10'!AB129</f>
        <v>#VALUE!</v>
      </c>
      <c r="D38" s="109" t="e">
        <f>'LB-10'!AC129</f>
        <v>#VALUE!</v>
      </c>
      <c r="E38" s="110" t="e">
        <f>'LB-10'!AD129</f>
        <v>#VALUE!</v>
      </c>
      <c r="F38" s="112" t="e">
        <f>'LB-10'!W129</f>
        <v>#NUM!</v>
      </c>
      <c r="G38" s="112" t="e">
        <f>'LB-10'!X129</f>
        <v>#NUM!</v>
      </c>
      <c r="H38" s="111" t="e">
        <f>'LB-10'!Y129</f>
        <v>#NUM!</v>
      </c>
      <c r="I38" s="126" t="e">
        <f>'LB-10'!Z129</f>
        <v>#NUM!</v>
      </c>
      <c r="J38" s="44"/>
    </row>
    <row r="39" ht="12.75" customHeight="1" spans="2:9">
      <c r="B39" s="115" t="str">
        <f>B13</f>
        <v>Class TGM</v>
      </c>
      <c r="C39" s="116" t="e">
        <f>'LB-10'!AB130</f>
        <v>#VALUE!</v>
      </c>
      <c r="D39" s="116" t="e">
        <f>'LB-10'!AC130</f>
        <v>#VALUE!</v>
      </c>
      <c r="E39" s="117" t="e">
        <f>'LB-10'!AD130</f>
        <v>#VALUE!</v>
      </c>
      <c r="F39" s="118" t="e">
        <f>'LB-10'!W130</f>
        <v>#NUM!</v>
      </c>
      <c r="G39" s="118" t="e">
        <f>'LB-10'!X130</f>
        <v>#NUM!</v>
      </c>
      <c r="H39" s="119" t="e">
        <f>'LB-10'!Y130</f>
        <v>#NUM!</v>
      </c>
      <c r="I39" s="129" t="e">
        <f>'LB-10'!Z130</f>
        <v>#NUM!</v>
      </c>
    </row>
    <row r="40" ht="12.75" customHeight="1" spans="3:9">
      <c r="C40" s="109"/>
      <c r="D40" s="109"/>
      <c r="E40" s="109"/>
      <c r="F40" s="120"/>
      <c r="G40" s="120"/>
      <c r="H40" s="120"/>
      <c r="I40" s="120"/>
    </row>
    <row r="41" ht="12.75" customHeight="1" spans="3:9">
      <c r="C41" s="93" t="s">
        <v>52</v>
      </c>
      <c r="D41" s="94"/>
      <c r="E41" s="94"/>
      <c r="F41" s="94"/>
      <c r="G41" s="94"/>
      <c r="H41" s="94"/>
      <c r="I41" s="121"/>
    </row>
    <row r="42" ht="12.75" customHeight="1" spans="3:9">
      <c r="C42" s="95" t="str">
        <f>CONCATENATE("Over ",$L$3)</f>
        <v>Over ECM-17,0</v>
      </c>
      <c r="D42" s="96"/>
      <c r="E42" s="96"/>
      <c r="F42" s="96"/>
      <c r="G42" s="96"/>
      <c r="H42" s="96"/>
      <c r="I42" s="123"/>
    </row>
    <row r="43" ht="12.75" customHeight="1" spans="3:12">
      <c r="C43" s="97" t="s">
        <v>9</v>
      </c>
      <c r="D43" s="98" t="s">
        <v>10</v>
      </c>
      <c r="E43" s="99" t="s">
        <v>11</v>
      </c>
      <c r="F43" s="100" t="s">
        <v>12</v>
      </c>
      <c r="G43" s="98" t="s">
        <v>13</v>
      </c>
      <c r="H43" s="100" t="s">
        <v>14</v>
      </c>
      <c r="I43" s="124" t="s">
        <v>15</v>
      </c>
      <c r="K43" s="122"/>
      <c r="L43" s="122"/>
    </row>
    <row r="44" ht="12.75" customHeight="1" spans="2:9">
      <c r="B44" s="101" t="str">
        <f>B5</f>
        <v>Class A1</v>
      </c>
      <c r="C44" s="102"/>
      <c r="D44" s="103"/>
      <c r="E44" s="104"/>
      <c r="F44" s="105"/>
      <c r="G44" s="106"/>
      <c r="H44" s="105"/>
      <c r="I44" s="126"/>
    </row>
    <row r="45" ht="12.75" customHeight="1" spans="2:9">
      <c r="B45" s="107" t="str">
        <f>B6</f>
        <v>Class A2</v>
      </c>
      <c r="C45" s="108"/>
      <c r="D45" s="109"/>
      <c r="E45" s="110"/>
      <c r="F45" s="111"/>
      <c r="G45" s="112"/>
      <c r="H45" s="111"/>
      <c r="I45" s="126"/>
    </row>
    <row r="46" ht="12.75" customHeight="1" spans="2:9">
      <c r="B46" s="107" t="str">
        <f>B7</f>
        <v>Class B</v>
      </c>
      <c r="C46" s="108" t="e">
        <f>'LP-10'!AB125</f>
        <v>#VALUE!</v>
      </c>
      <c r="D46" s="109" t="e">
        <f>'LP-10'!AC125</f>
        <v>#VALUE!</v>
      </c>
      <c r="E46" s="110" t="e">
        <f>'LP-10'!AD125</f>
        <v>#VALUE!</v>
      </c>
      <c r="F46" s="111" t="e">
        <f>'LP-10'!W125</f>
        <v>#NUM!</v>
      </c>
      <c r="G46" s="112" t="e">
        <f>'LP-10'!X125</f>
        <v>#NUM!</v>
      </c>
      <c r="H46" s="111" t="e">
        <f>'LP-10'!Y125</f>
        <v>#NUM!</v>
      </c>
      <c r="I46" s="126" t="e">
        <f>'LP-10'!Z125</f>
        <v>#NUM!</v>
      </c>
    </row>
    <row r="47" ht="12.75" customHeight="1" spans="2:9">
      <c r="B47" s="107" t="str">
        <f>B8</f>
        <v>Class C</v>
      </c>
      <c r="C47" s="108" t="e">
        <f>'LP-10'!AB126</f>
        <v>#VALUE!</v>
      </c>
      <c r="D47" s="109" t="e">
        <f>'LP-10'!AC126</f>
        <v>#VALUE!</v>
      </c>
      <c r="E47" s="110" t="e">
        <f>'LP-10'!AD126</f>
        <v>#VALUE!</v>
      </c>
      <c r="F47" s="111" t="e">
        <f>'LP-10'!W126</f>
        <v>#NUM!</v>
      </c>
      <c r="G47" s="112" t="e">
        <f>'LP-10'!X126</f>
        <v>#NUM!</v>
      </c>
      <c r="H47" s="111" t="e">
        <f>'LP-10'!Y126</f>
        <v>#NUM!</v>
      </c>
      <c r="I47" s="126" t="e">
        <f>'LP-10'!Z126</f>
        <v>#NUM!</v>
      </c>
    </row>
    <row r="48" ht="12.75" customHeight="1" spans="2:9">
      <c r="B48" s="107" t="str">
        <f>B9</f>
        <v>Class E</v>
      </c>
      <c r="C48" s="108" t="e">
        <f>'LP-10'!AB128</f>
        <v>#VALUE!</v>
      </c>
      <c r="D48" s="109" t="e">
        <f>'LP-10'!AC128</f>
        <v>#VALUE!</v>
      </c>
      <c r="E48" s="110" t="e">
        <f>'LP-10'!AD128</f>
        <v>#VALUE!</v>
      </c>
      <c r="F48" s="111" t="e">
        <f>'LP-10'!W128</f>
        <v>#NUM!</v>
      </c>
      <c r="G48" s="112" t="e">
        <f>'LP-10'!X128</f>
        <v>#NUM!</v>
      </c>
      <c r="H48" s="111" t="e">
        <f>'LP-10'!Y128</f>
        <v>#NUM!</v>
      </c>
      <c r="I48" s="126" t="e">
        <f>'LP-10'!Z128</f>
        <v>#NUM!</v>
      </c>
    </row>
    <row r="49" ht="12.75" customHeight="1" spans="2:9">
      <c r="B49" s="113" t="s">
        <v>41</v>
      </c>
      <c r="C49" s="102" t="e">
        <f>'LP-10'!AB131</f>
        <v>#VALUE!</v>
      </c>
      <c r="D49" s="103" t="e">
        <f>'LP-10'!AC131</f>
        <v>#VALUE!</v>
      </c>
      <c r="E49" s="104" t="e">
        <f>'LP-10'!AD131</f>
        <v>#VALUE!</v>
      </c>
      <c r="F49" s="105" t="e">
        <f>'LP-10'!W131</f>
        <v>#NUM!</v>
      </c>
      <c r="G49" s="106" t="e">
        <f>'LP-10'!X131</f>
        <v>#NUM!</v>
      </c>
      <c r="H49" s="114" t="e">
        <f>'LP-10'!Y131</f>
        <v>#NUM!</v>
      </c>
      <c r="I49" s="128" t="e">
        <f>'LP-10'!Z131</f>
        <v>#NUM!</v>
      </c>
    </row>
    <row r="50" ht="12.75" customHeight="1" spans="2:9">
      <c r="B50" s="101" t="str">
        <f>B11</f>
        <v>Class D</v>
      </c>
      <c r="C50" s="103" t="e">
        <f>'LP-10'!AB127</f>
        <v>#VALUE!</v>
      </c>
      <c r="D50" s="103" t="e">
        <f>'LP-10'!AC127</f>
        <v>#VALUE!</v>
      </c>
      <c r="E50" s="104" t="e">
        <f>'LP-10'!AD127</f>
        <v>#VALUE!</v>
      </c>
      <c r="F50" s="106" t="e">
        <f>'LP-10'!W127</f>
        <v>#NUM!</v>
      </c>
      <c r="G50" s="106" t="e">
        <f>'LP-10'!X127</f>
        <v>#NUM!</v>
      </c>
      <c r="H50" s="111" t="e">
        <f>'LP-10'!Y127</f>
        <v>#NUM!</v>
      </c>
      <c r="I50" s="126" t="e">
        <f>'LP-10'!Z127</f>
        <v>#NUM!</v>
      </c>
    </row>
    <row r="51" ht="12.75" customHeight="1" spans="2:9">
      <c r="B51" s="107" t="str">
        <f>B12</f>
        <v>Class F</v>
      </c>
      <c r="C51" s="109" t="e">
        <f>'LP-10'!AB129</f>
        <v>#VALUE!</v>
      </c>
      <c r="D51" s="109" t="e">
        <f>'LP-10'!AC129</f>
        <v>#VALUE!</v>
      </c>
      <c r="E51" s="110" t="e">
        <f>'LP-10'!AD129</f>
        <v>#VALUE!</v>
      </c>
      <c r="F51" s="112" t="e">
        <f>'LP-10'!W129</f>
        <v>#NUM!</v>
      </c>
      <c r="G51" s="112" t="e">
        <f>'LP-10'!X129</f>
        <v>#NUM!</v>
      </c>
      <c r="H51" s="111" t="e">
        <f>'LP-10'!Y129</f>
        <v>#NUM!</v>
      </c>
      <c r="I51" s="126" t="e">
        <f>'LP-10'!Z129</f>
        <v>#NUM!</v>
      </c>
    </row>
    <row r="52" ht="12.75" spans="2:9">
      <c r="B52" s="115" t="str">
        <f>B26</f>
        <v>Class TGM</v>
      </c>
      <c r="C52" s="116" t="e">
        <f>'LP-10'!AB130</f>
        <v>#VALUE!</v>
      </c>
      <c r="D52" s="116" t="e">
        <f>'LP-10'!AC130</f>
        <v>#VALUE!</v>
      </c>
      <c r="E52" s="117" t="e">
        <f>'LP-10'!AD130</f>
        <v>#VALUE!</v>
      </c>
      <c r="F52" s="118" t="e">
        <f>'LP-10'!W130</f>
        <v>#NUM!</v>
      </c>
      <c r="G52" s="118" t="e">
        <f>'LP-10'!X130</f>
        <v>#NUM!</v>
      </c>
      <c r="H52" s="119" t="e">
        <f>'LP-10'!Y130</f>
        <v>#NUM!</v>
      </c>
      <c r="I52" s="129" t="e">
        <f>'LP-10'!Z130</f>
        <v>#NUM!</v>
      </c>
    </row>
  </sheetData>
  <mergeCells count="8">
    <mergeCell ref="C2:I2"/>
    <mergeCell ref="C3:I3"/>
    <mergeCell ref="C15:I15"/>
    <mergeCell ref="C16:I16"/>
    <mergeCell ref="C28:I28"/>
    <mergeCell ref="C29:I29"/>
    <mergeCell ref="C41:I41"/>
    <mergeCell ref="C42:I42"/>
  </mergeCells>
  <conditionalFormatting sqref="C6:E6">
    <cfRule type="cellIs" dxfId="0" priority="215" stopIfTrue="1" operator="greaterThan">
      <formula>0.03</formula>
    </cfRule>
    <cfRule type="cellIs" dxfId="1" priority="216" stopIfTrue="1" operator="lessThan">
      <formula>-0.03</formula>
    </cfRule>
  </conditionalFormatting>
  <conditionalFormatting sqref="C10:E10">
    <cfRule type="cellIs" dxfId="0" priority="401" stopIfTrue="1" operator="greaterThan">
      <formula>0.03</formula>
    </cfRule>
    <cfRule type="cellIs" dxfId="1" priority="402" stopIfTrue="1" operator="lessThan">
      <formula>-0.03</formula>
    </cfRule>
  </conditionalFormatting>
  <conditionalFormatting sqref="C11:E11">
    <cfRule type="cellIs" dxfId="0" priority="151" stopIfTrue="1" operator="greaterThan">
      <formula>0.03</formula>
    </cfRule>
    <cfRule type="cellIs" dxfId="1" priority="152" stopIfTrue="1" operator="lessThan">
      <formula>-0.03</formula>
    </cfRule>
  </conditionalFormatting>
  <conditionalFormatting sqref="C19:E19">
    <cfRule type="cellIs" dxfId="0" priority="29" stopIfTrue="1" operator="greaterThan">
      <formula>0.03</formula>
    </cfRule>
    <cfRule type="cellIs" dxfId="1" priority="30" stopIfTrue="1" operator="lessThan">
      <formula>-0.03</formula>
    </cfRule>
  </conditionalFormatting>
  <conditionalFormatting sqref="C23:E23">
    <cfRule type="cellIs" dxfId="0" priority="33" stopIfTrue="1" operator="greaterThan">
      <formula>0.03</formula>
    </cfRule>
    <cfRule type="cellIs" dxfId="1" priority="34" stopIfTrue="1" operator="lessThan">
      <formula>-0.03</formula>
    </cfRule>
  </conditionalFormatting>
  <conditionalFormatting sqref="C24:E24">
    <cfRule type="cellIs" dxfId="0" priority="27" stopIfTrue="1" operator="greaterThan">
      <formula>0.03</formula>
    </cfRule>
    <cfRule type="cellIs" dxfId="1" priority="28" stopIfTrue="1" operator="lessThan">
      <formula>-0.03</formula>
    </cfRule>
  </conditionalFormatting>
  <conditionalFormatting sqref="C26:E26">
    <cfRule type="cellIs" dxfId="0" priority="25" stopIfTrue="1" operator="greaterThan">
      <formula>0.03</formula>
    </cfRule>
    <cfRule type="cellIs" dxfId="1" priority="26" stopIfTrue="1" operator="lessThan">
      <formula>-0.03</formula>
    </cfRule>
  </conditionalFormatting>
  <conditionalFormatting sqref="C27:E27">
    <cfRule type="cellIs" dxfId="0" priority="133" stopIfTrue="1" operator="greaterThan">
      <formula>0.03</formula>
    </cfRule>
    <cfRule type="cellIs" dxfId="1" priority="134" stopIfTrue="1" operator="lessThan">
      <formula>-0.03</formula>
    </cfRule>
  </conditionalFormatting>
  <conditionalFormatting sqref="C32:E32">
    <cfRule type="cellIs" dxfId="0" priority="17" stopIfTrue="1" operator="greaterThan">
      <formula>0.03</formula>
    </cfRule>
    <cfRule type="cellIs" dxfId="1" priority="18" stopIfTrue="1" operator="lessThan">
      <formula>-0.03</formula>
    </cfRule>
  </conditionalFormatting>
  <conditionalFormatting sqref="C36:E36">
    <cfRule type="cellIs" dxfId="0" priority="21" stopIfTrue="1" operator="greaterThan">
      <formula>0.03</formula>
    </cfRule>
    <cfRule type="cellIs" dxfId="1" priority="22" stopIfTrue="1" operator="lessThan">
      <formula>-0.03</formula>
    </cfRule>
  </conditionalFormatting>
  <conditionalFormatting sqref="C37:E37">
    <cfRule type="cellIs" dxfId="0" priority="15" stopIfTrue="1" operator="greaterThan">
      <formula>0.03</formula>
    </cfRule>
    <cfRule type="cellIs" dxfId="1" priority="16" stopIfTrue="1" operator="lessThan">
      <formula>-0.03</formula>
    </cfRule>
  </conditionalFormatting>
  <conditionalFormatting sqref="C39:E39">
    <cfRule type="cellIs" dxfId="0" priority="13" stopIfTrue="1" operator="greaterThan">
      <formula>0.03</formula>
    </cfRule>
    <cfRule type="cellIs" dxfId="1" priority="14" stopIfTrue="1" operator="lessThan">
      <formula>-0.03</formula>
    </cfRule>
  </conditionalFormatting>
  <conditionalFormatting sqref="C40:E40">
    <cfRule type="cellIs" dxfId="0" priority="131" stopIfTrue="1" operator="greaterThan">
      <formula>0.03</formula>
    </cfRule>
    <cfRule type="cellIs" dxfId="1" priority="132" stopIfTrue="1" operator="lessThan">
      <formula>-0.03</formula>
    </cfRule>
  </conditionalFormatting>
  <conditionalFormatting sqref="C45:E45">
    <cfRule type="cellIs" dxfId="0" priority="5" stopIfTrue="1" operator="greaterThan">
      <formula>0.03</formula>
    </cfRule>
    <cfRule type="cellIs" dxfId="1" priority="6" stopIfTrue="1" operator="lessThan">
      <formula>-0.03</formula>
    </cfRule>
  </conditionalFormatting>
  <conditionalFormatting sqref="C49:E49">
    <cfRule type="cellIs" dxfId="0" priority="9" stopIfTrue="1" operator="greaterThan">
      <formula>0.03</formula>
    </cfRule>
    <cfRule type="cellIs" dxfId="1" priority="10" stopIfTrue="1" operator="lessThan">
      <formula>-0.03</formula>
    </cfRule>
  </conditionalFormatting>
  <conditionalFormatting sqref="C50:E50">
    <cfRule type="cellIs" dxfId="0" priority="3" stopIfTrue="1" operator="greaterThan">
      <formula>0.03</formula>
    </cfRule>
    <cfRule type="cellIs" dxfId="1" priority="4" stopIfTrue="1" operator="lessThan">
      <formula>-0.03</formula>
    </cfRule>
  </conditionalFormatting>
  <conditionalFormatting sqref="C52:E52">
    <cfRule type="cellIs" dxfId="0" priority="1" stopIfTrue="1" operator="greaterThan">
      <formula>0.03</formula>
    </cfRule>
    <cfRule type="cellIs" dxfId="1" priority="2" stopIfTrue="1" operator="lessThan">
      <formula>-0.03</formula>
    </cfRule>
  </conditionalFormatting>
  <conditionalFormatting sqref="C5:E5 C7:E8">
    <cfRule type="cellIs" dxfId="0" priority="399" stopIfTrue="1" operator="greaterThan">
      <formula>0.03</formula>
    </cfRule>
    <cfRule type="cellIs" dxfId="1" priority="400" stopIfTrue="1" operator="lessThan">
      <formula>-0.03</formula>
    </cfRule>
  </conditionalFormatting>
  <conditionalFormatting sqref="C9:E9 C12:E12">
    <cfRule type="cellIs" dxfId="0" priority="475" stopIfTrue="1" operator="greaterThan">
      <formula>0.03</formula>
    </cfRule>
    <cfRule type="cellIs" dxfId="1" priority="476" stopIfTrue="1" operator="lessThan">
      <formula>-0.03</formula>
    </cfRule>
  </conditionalFormatting>
  <conditionalFormatting sqref="C13:E14">
    <cfRule type="cellIs" dxfId="0" priority="135" stopIfTrue="1" operator="greaterThan">
      <formula>0.03</formula>
    </cfRule>
    <cfRule type="cellIs" dxfId="1" priority="136" stopIfTrue="1" operator="lessThan">
      <formula>-0.03</formula>
    </cfRule>
  </conditionalFormatting>
  <conditionalFormatting sqref="C18:E18 C20:E21">
    <cfRule type="cellIs" dxfId="0" priority="31" stopIfTrue="1" operator="greaterThan">
      <formula>0.03</formula>
    </cfRule>
    <cfRule type="cellIs" dxfId="1" priority="32" stopIfTrue="1" operator="lessThan">
      <formula>-0.03</formula>
    </cfRule>
  </conditionalFormatting>
  <conditionalFormatting sqref="C22:E22 C25:E25">
    <cfRule type="cellIs" dxfId="0" priority="35" stopIfTrue="1" operator="greaterThan">
      <formula>0.03</formula>
    </cfRule>
    <cfRule type="cellIs" dxfId="1" priority="36" stopIfTrue="1" operator="lessThan">
      <formula>-0.03</formula>
    </cfRule>
  </conditionalFormatting>
  <conditionalFormatting sqref="C31:E31 C33:E34">
    <cfRule type="cellIs" dxfId="0" priority="19" stopIfTrue="1" operator="greaterThan">
      <formula>0.03</formula>
    </cfRule>
    <cfRule type="cellIs" dxfId="1" priority="20" stopIfTrue="1" operator="lessThan">
      <formula>-0.03</formula>
    </cfRule>
  </conditionalFormatting>
  <conditionalFormatting sqref="C35:E35 C38:E38">
    <cfRule type="cellIs" dxfId="0" priority="23" stopIfTrue="1" operator="greaterThan">
      <formula>0.03</formula>
    </cfRule>
    <cfRule type="cellIs" dxfId="1" priority="24" stopIfTrue="1" operator="lessThan">
      <formula>-0.03</formula>
    </cfRule>
  </conditionalFormatting>
  <conditionalFormatting sqref="C44:E44 C46:E47">
    <cfRule type="cellIs" dxfId="0" priority="7" stopIfTrue="1" operator="greaterThan">
      <formula>0.03</formula>
    </cfRule>
    <cfRule type="cellIs" dxfId="1" priority="8" stopIfTrue="1" operator="lessThan">
      <formula>-0.03</formula>
    </cfRule>
  </conditionalFormatting>
  <conditionalFormatting sqref="C48:E48 C51:E51">
    <cfRule type="cellIs" dxfId="0" priority="11" stopIfTrue="1" operator="greaterThan">
      <formula>0.03</formula>
    </cfRule>
    <cfRule type="cellIs" dxfId="1" priority="12" stopIfTrue="1" operator="lessThan">
      <formula>-0.03</formula>
    </cfRule>
  </conditionalFormatting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Q86"/>
  <sheetViews>
    <sheetView zoomScale="70" zoomScaleNormal="70" workbookViewId="0">
      <selection activeCell="B2" sqref="B2"/>
    </sheetView>
  </sheetViews>
  <sheetFormatPr defaultColWidth="8.75" defaultRowHeight="14.25"/>
  <cols>
    <col min="2" max="2" width="21.25" customWidth="1"/>
    <col min="25" max="26" width="9" customWidth="1"/>
    <col min="27" max="27" width="16.25" customWidth="1"/>
    <col min="28" max="39" width="9" customWidth="1"/>
  </cols>
  <sheetData>
    <row r="1" ht="16.5" customHeight="1" spans="1:40">
      <c r="A1" t="s">
        <v>53</v>
      </c>
      <c r="AD1" t="s">
        <v>54</v>
      </c>
      <c r="AI1" t="s">
        <v>55</v>
      </c>
      <c r="AN1" t="s">
        <v>56</v>
      </c>
    </row>
    <row r="2" ht="16.5" customHeight="1" spans="1:43">
      <c r="A2" s="88" t="s">
        <v>57</v>
      </c>
      <c r="B2" s="88" t="s">
        <v>58</v>
      </c>
      <c r="AD2" s="34" t="s">
        <v>59</v>
      </c>
      <c r="AE2" s="21" t="s">
        <v>60</v>
      </c>
      <c r="AF2" s="21" t="s">
        <v>61</v>
      </c>
      <c r="AG2" s="21" t="s">
        <v>62</v>
      </c>
      <c r="AI2" s="34" t="s">
        <v>59</v>
      </c>
      <c r="AJ2" s="21" t="s">
        <v>60</v>
      </c>
      <c r="AK2" s="21" t="s">
        <v>61</v>
      </c>
      <c r="AL2" s="21" t="s">
        <v>62</v>
      </c>
      <c r="AN2" s="34" t="s">
        <v>59</v>
      </c>
      <c r="AO2" s="21" t="s">
        <v>60</v>
      </c>
      <c r="AP2" s="21" t="s">
        <v>61</v>
      </c>
      <c r="AQ2" s="21" t="s">
        <v>62</v>
      </c>
    </row>
    <row r="3" spans="26:43">
      <c r="Z3" t="s">
        <v>63</v>
      </c>
      <c r="AA3" t="s">
        <v>64</v>
      </c>
      <c r="AB3">
        <v>3</v>
      </c>
      <c r="AC3">
        <f>VLOOKUP(B2,AA3:AB43,2,FALSE)</f>
        <v>71</v>
      </c>
      <c r="AD3">
        <f ca="1">INDIRECT("'"&amp;$A$2&amp;"'!"&amp;ADDRESS($AC3,4))</f>
        <v>1265.1568</v>
      </c>
      <c r="AE3">
        <f ca="1">INDIRECT("'"&amp;$A$2&amp;"'!"&amp;ADDRESS($AC3,5))</f>
        <v>38.4137</v>
      </c>
      <c r="AF3">
        <f ca="1">INDIRECT("'"&amp;$A$2&amp;"'!"&amp;ADDRESS($AC3,6))</f>
        <v>40.9759</v>
      </c>
      <c r="AG3">
        <f ca="1">INDIRECT("'"&amp;$A$2&amp;"'!"&amp;ADDRESS($AC3,7))</f>
        <v>41.9438</v>
      </c>
      <c r="AI3">
        <f ca="1">INDIRECT("'"&amp;$A$2&amp;"'!"&amp;ADDRESS($AC3,13))</f>
        <v>0</v>
      </c>
      <c r="AJ3">
        <f ca="1">INDIRECT("'"&amp;$A$2&amp;"'!"&amp;ADDRESS($AC3,14))</f>
        <v>0</v>
      </c>
      <c r="AK3">
        <f ca="1">INDIRECT("'"&amp;$A$2&amp;"'!"&amp;ADDRESS($AC3,15))</f>
        <v>0</v>
      </c>
      <c r="AL3">
        <f ca="1">INDIRECT("'"&amp;$A$2&amp;"'!"&amp;ADDRESS($AC3,16))</f>
        <v>0</v>
      </c>
      <c r="AN3" t="e">
        <f ca="1">INDIRECT("'"&amp;$A$2&amp;"'!"&amp;ADDRESS($AC3,29))</f>
        <v>#VALUE!</v>
      </c>
      <c r="AO3" t="e">
        <f ca="1">INDIRECT("'"&amp;$A$2&amp;"'!"&amp;ADDRESS($AC3,30))</f>
        <v>#VALUE!</v>
      </c>
      <c r="AP3" t="e">
        <f ca="1">INDIRECT("'"&amp;$A$2&amp;"'!"&amp;ADDRESS($AC3,31))</f>
        <v>#VALUE!</v>
      </c>
      <c r="AQ3" t="e">
        <f ca="1">INDIRECT("'"&amp;$A$2&amp;"'!"&amp;ADDRESS($AC3,32))</f>
        <v>#VALUE!</v>
      </c>
    </row>
    <row r="4" spans="26:43">
      <c r="Z4" t="s">
        <v>65</v>
      </c>
      <c r="AA4" t="s">
        <v>66</v>
      </c>
      <c r="AB4">
        <f t="shared" ref="AB4:AB28" si="0">AB3+4</f>
        <v>7</v>
      </c>
      <c r="AC4">
        <f>AC3+1</f>
        <v>72</v>
      </c>
      <c r="AD4">
        <f ca="1">INDIRECT("'"&amp;$A$2&amp;"'!"&amp;ADDRESS($AC4,4))</f>
        <v>499.8032</v>
      </c>
      <c r="AE4">
        <f ca="1">INDIRECT("'"&amp;$A$2&amp;"'!"&amp;ADDRESS($AC4,5))</f>
        <v>34.7205</v>
      </c>
      <c r="AF4">
        <f ca="1">INDIRECT("'"&amp;$A$2&amp;"'!"&amp;ADDRESS($AC4,6))</f>
        <v>38.086</v>
      </c>
      <c r="AG4">
        <f ca="1">INDIRECT("'"&amp;$A$2&amp;"'!"&amp;ADDRESS($AC4,7))</f>
        <v>38.8611</v>
      </c>
      <c r="AI4">
        <f ca="1">INDIRECT("'"&amp;$A$2&amp;"'!"&amp;ADDRESS($AC4,13))</f>
        <v>0</v>
      </c>
      <c r="AJ4">
        <f ca="1">INDIRECT("'"&amp;$A$2&amp;"'!"&amp;ADDRESS($AC4,14))</f>
        <v>0</v>
      </c>
      <c r="AK4">
        <f ca="1">INDIRECT("'"&amp;$A$2&amp;"'!"&amp;ADDRESS($AC4,15))</f>
        <v>0</v>
      </c>
      <c r="AL4">
        <f ca="1">INDIRECT("'"&amp;$A$2&amp;"'!"&amp;ADDRESS($AC4,16))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26:43">
      <c r="Z5" t="s">
        <v>57</v>
      </c>
      <c r="AA5" t="s">
        <v>67</v>
      </c>
      <c r="AB5">
        <f t="shared" si="0"/>
        <v>11</v>
      </c>
      <c r="AC5">
        <f>AC4+1</f>
        <v>73</v>
      </c>
      <c r="AD5">
        <f ca="1">INDIRECT("'"&amp;$A$2&amp;"'!"&amp;ADDRESS($AC5,4))</f>
        <v>227.5824</v>
      </c>
      <c r="AE5">
        <f ca="1">INDIRECT("'"&amp;$A$2&amp;"'!"&amp;ADDRESS($AC5,5))</f>
        <v>31.5746</v>
      </c>
      <c r="AF5">
        <f ca="1">INDIRECT("'"&amp;$A$2&amp;"'!"&amp;ADDRESS($AC5,6))</f>
        <v>35.9995</v>
      </c>
      <c r="AG5">
        <f ca="1">INDIRECT("'"&amp;$A$2&amp;"'!"&amp;ADDRESS($AC5,7))</f>
        <v>36.6654</v>
      </c>
      <c r="AI5">
        <f ca="1">INDIRECT("'"&amp;$A$2&amp;"'!"&amp;ADDRESS($AC5,13))</f>
        <v>0</v>
      </c>
      <c r="AJ5">
        <f ca="1">INDIRECT("'"&amp;$A$2&amp;"'!"&amp;ADDRESS($AC5,14))</f>
        <v>0</v>
      </c>
      <c r="AK5">
        <f ca="1">INDIRECT("'"&amp;$A$2&amp;"'!"&amp;ADDRESS($AC5,15))</f>
        <v>0</v>
      </c>
      <c r="AL5">
        <f ca="1">INDIRECT("'"&amp;$A$2&amp;"'!"&amp;ADDRESS($AC5,16))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26:43">
      <c r="Z6" t="s">
        <v>68</v>
      </c>
      <c r="AA6" t="s">
        <v>69</v>
      </c>
      <c r="AB6">
        <f t="shared" si="0"/>
        <v>15</v>
      </c>
      <c r="AC6">
        <f>AC5+1</f>
        <v>74</v>
      </c>
      <c r="AD6">
        <f ca="1">INDIRECT("'"&amp;$A$2&amp;"'!"&amp;ADDRESS($AC6,4))</f>
        <v>105.4672</v>
      </c>
      <c r="AE6">
        <f ca="1">INDIRECT("'"&amp;$A$2&amp;"'!"&amp;ADDRESS($AC6,5))</f>
        <v>28.8163</v>
      </c>
      <c r="AF6">
        <f ca="1">INDIRECT("'"&amp;$A$2&amp;"'!"&amp;ADDRESS($AC6,6))</f>
        <v>34.6994</v>
      </c>
      <c r="AG6">
        <f ca="1">INDIRECT("'"&amp;$A$2&amp;"'!"&amp;ADDRESS($AC6,7))</f>
        <v>35.2838</v>
      </c>
      <c r="AI6">
        <f ca="1">INDIRECT("'"&amp;$A$2&amp;"'!"&amp;ADDRESS($AC6,13))</f>
        <v>0</v>
      </c>
      <c r="AJ6">
        <f ca="1">INDIRECT("'"&amp;$A$2&amp;"'!"&amp;ADDRESS($AC6,14))</f>
        <v>0</v>
      </c>
      <c r="AK6">
        <f ca="1">INDIRECT("'"&amp;$A$2&amp;"'!"&amp;ADDRESS($AC6,15))</f>
        <v>0</v>
      </c>
      <c r="AL6">
        <f ca="1">INDIRECT("'"&amp;$A$2&amp;"'!"&amp;ADDRESS($AC6,16))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27:28">
      <c r="AA7" t="s">
        <v>70</v>
      </c>
      <c r="AB7">
        <f t="shared" si="0"/>
        <v>19</v>
      </c>
    </row>
    <row r="8" spans="27:30">
      <c r="AA8" t="s">
        <v>71</v>
      </c>
      <c r="AB8">
        <f t="shared" si="0"/>
        <v>23</v>
      </c>
      <c r="AD8" t="str">
        <f>"Sequence: "&amp;B2&amp;"     Coding Conditions: "&amp;A2</f>
        <v>Sequence: BlowingBubbles     Coding Conditions: LB-10</v>
      </c>
    </row>
    <row r="9" spans="27:28">
      <c r="AA9" t="s">
        <v>72</v>
      </c>
      <c r="AB9">
        <f t="shared" si="0"/>
        <v>27</v>
      </c>
    </row>
    <row r="10" spans="27:28">
      <c r="AA10" t="s">
        <v>73</v>
      </c>
      <c r="AB10">
        <f t="shared" si="0"/>
        <v>31</v>
      </c>
    </row>
    <row r="11" spans="27:33">
      <c r="AA11" t="s">
        <v>74</v>
      </c>
      <c r="AB11">
        <f t="shared" si="0"/>
        <v>35</v>
      </c>
      <c r="AD11" t="s">
        <v>75</v>
      </c>
      <c r="AE11" t="s">
        <v>76</v>
      </c>
      <c r="AF11" t="s">
        <v>77</v>
      </c>
      <c r="AG11" t="s">
        <v>78</v>
      </c>
    </row>
    <row r="12" spans="27:33">
      <c r="AA12" t="s">
        <v>79</v>
      </c>
      <c r="AB12">
        <f t="shared" si="0"/>
        <v>39</v>
      </c>
      <c r="AD12" s="89" t="e">
        <f ca="1">MAX(AD3:AD6,AI3:AI6,AN3:AN6)</f>
        <v>#VALUE!</v>
      </c>
      <c r="AE12" s="89" t="e">
        <f ca="1">MAX(AE3:AE6,AJ3:AJ6,AO3:AO6)</f>
        <v>#VALUE!</v>
      </c>
      <c r="AF12" s="89" t="e">
        <f ca="1">MAX(AF3:AF6,AK3:AK6,AP3:AP6)</f>
        <v>#VALUE!</v>
      </c>
      <c r="AG12" s="89" t="e">
        <f ca="1">MAX(AG3:AG6,AL3:AL6,AQ3:AQ6)</f>
        <v>#VALUE!</v>
      </c>
    </row>
    <row r="13" spans="27:33">
      <c r="AA13" t="s">
        <v>80</v>
      </c>
      <c r="AB13">
        <f t="shared" si="0"/>
        <v>43</v>
      </c>
      <c r="AD13" s="89" t="e">
        <f ca="1">MIN(AD3:AD6,AI3:AI6,AN3:AN6)</f>
        <v>#VALUE!</v>
      </c>
      <c r="AE13" s="89" t="e">
        <f ca="1">MIN(AE3:AE6,AJ3:AJ6,AO3:AO6)</f>
        <v>#VALUE!</v>
      </c>
      <c r="AF13" s="89" t="e">
        <f ca="1">MIN(AF3:AF6,AK3:AK6,AP3:AP6)</f>
        <v>#VALUE!</v>
      </c>
      <c r="AG13" s="89" t="e">
        <f ca="1">MIN(AG3:AG6,AL3:AL6,AQ3:AQ6)</f>
        <v>#VALUE!</v>
      </c>
    </row>
    <row r="14" spans="27:33">
      <c r="AA14" t="s">
        <v>81</v>
      </c>
      <c r="AB14">
        <f t="shared" si="0"/>
        <v>47</v>
      </c>
      <c r="AD14" s="90"/>
      <c r="AE14" s="90"/>
      <c r="AF14" s="90"/>
      <c r="AG14" s="90"/>
    </row>
    <row r="15" spans="27:33">
      <c r="AA15" t="s">
        <v>82</v>
      </c>
      <c r="AB15">
        <f t="shared" si="0"/>
        <v>51</v>
      </c>
      <c r="AD15" s="90" t="e">
        <f ca="1">POWER(10,CEILING(LOG(AD12+1),1))</f>
        <v>#VALUE!</v>
      </c>
      <c r="AE15" s="91" t="e">
        <f ca="1">CEILING(AE12+0.25,0.5)</f>
        <v>#VALUE!</v>
      </c>
      <c r="AF15" s="91" t="e">
        <f ca="1">CEILING(AF12+0.25,0.5)</f>
        <v>#VALUE!</v>
      </c>
      <c r="AG15" s="91" t="e">
        <f ca="1">CEILING(AG12+0.25,0.5)</f>
        <v>#VALUE!</v>
      </c>
    </row>
    <row r="16" spans="27:33">
      <c r="AA16" t="s">
        <v>83</v>
      </c>
      <c r="AB16">
        <f t="shared" si="0"/>
        <v>55</v>
      </c>
      <c r="AD16" s="90" t="e">
        <f ca="1">POWER(10,FLOOR(LOG(AD13+10),1))</f>
        <v>#VALUE!</v>
      </c>
      <c r="AE16" s="91" t="e">
        <f ca="1">FLOOR(AE13-0.25,0.5)</f>
        <v>#VALUE!</v>
      </c>
      <c r="AF16" s="91" t="e">
        <f ca="1">FLOOR(AF13-0.25,0.5)</f>
        <v>#VALUE!</v>
      </c>
      <c r="AG16" s="91" t="e">
        <f ca="1">FLOOR(AG13-0.25,0.5)</f>
        <v>#VALUE!</v>
      </c>
    </row>
    <row r="17" spans="27:28">
      <c r="AA17" t="s">
        <v>84</v>
      </c>
      <c r="AB17">
        <f t="shared" si="0"/>
        <v>59</v>
      </c>
    </row>
    <row r="18" spans="27:28">
      <c r="AA18" t="s">
        <v>85</v>
      </c>
      <c r="AB18">
        <f t="shared" si="0"/>
        <v>63</v>
      </c>
    </row>
    <row r="19" spans="27:28">
      <c r="AA19" t="s">
        <v>86</v>
      </c>
      <c r="AB19">
        <f t="shared" si="0"/>
        <v>67</v>
      </c>
    </row>
    <row r="20" spans="27:28">
      <c r="AA20" t="s">
        <v>58</v>
      </c>
      <c r="AB20">
        <f t="shared" si="0"/>
        <v>71</v>
      </c>
    </row>
    <row r="21" spans="27:28">
      <c r="AA21" t="s">
        <v>87</v>
      </c>
      <c r="AB21">
        <f t="shared" si="0"/>
        <v>75</v>
      </c>
    </row>
    <row r="22" spans="27:28">
      <c r="AA22" t="s">
        <v>88</v>
      </c>
      <c r="AB22">
        <f t="shared" si="0"/>
        <v>79</v>
      </c>
    </row>
    <row r="23" spans="27:28">
      <c r="AA23" t="s">
        <v>89</v>
      </c>
      <c r="AB23">
        <f t="shared" si="0"/>
        <v>83</v>
      </c>
    </row>
    <row r="24" spans="27:28">
      <c r="AA24" t="s">
        <v>90</v>
      </c>
      <c r="AB24">
        <f t="shared" si="0"/>
        <v>87</v>
      </c>
    </row>
    <row r="25" spans="27:28">
      <c r="AA25" t="s">
        <v>91</v>
      </c>
      <c r="AB25">
        <f t="shared" si="0"/>
        <v>91</v>
      </c>
    </row>
    <row r="26" spans="27:28">
      <c r="AA26" t="s">
        <v>92</v>
      </c>
      <c r="AB26">
        <f t="shared" si="0"/>
        <v>95</v>
      </c>
    </row>
    <row r="27" spans="27:28">
      <c r="AA27" t="s">
        <v>93</v>
      </c>
      <c r="AB27">
        <f t="shared" si="0"/>
        <v>99</v>
      </c>
    </row>
    <row r="28" spans="27:28">
      <c r="AA28" t="s">
        <v>94</v>
      </c>
      <c r="AB28">
        <f t="shared" si="0"/>
        <v>103</v>
      </c>
    </row>
    <row r="33" spans="27:27">
      <c r="AA33" s="2"/>
    </row>
    <row r="34" spans="27:27">
      <c r="AA34" s="2"/>
    </row>
    <row r="35" spans="27:27">
      <c r="AA35" s="2"/>
    </row>
    <row r="36" spans="27:27">
      <c r="AA36" s="2"/>
    </row>
    <row r="37" spans="27:27">
      <c r="AA37" s="2"/>
    </row>
    <row r="38" spans="27:27">
      <c r="AA38" s="2"/>
    </row>
    <row r="39" spans="27:27">
      <c r="AA39" s="2"/>
    </row>
    <row r="40" spans="27:27">
      <c r="AA40" s="2"/>
    </row>
    <row r="41" spans="27:27">
      <c r="AA41" s="2"/>
    </row>
    <row r="42" spans="27:27">
      <c r="AA42" s="2"/>
    </row>
    <row r="43" spans="27:27">
      <c r="AA43" s="2"/>
    </row>
    <row r="44" spans="27:27">
      <c r="AA44" s="2"/>
    </row>
    <row r="45" spans="27:27">
      <c r="AA45" s="2"/>
    </row>
    <row r="46" spans="27:27">
      <c r="AA46" s="2"/>
    </row>
    <row r="47" spans="27:27">
      <c r="AA47" s="2"/>
    </row>
    <row r="48" spans="27:27">
      <c r="AA48" s="2"/>
    </row>
    <row r="49" spans="27:27">
      <c r="AA49" s="2"/>
    </row>
    <row r="50" spans="27:27">
      <c r="AA50" s="2"/>
    </row>
    <row r="51" spans="27:27">
      <c r="AA51" s="2"/>
    </row>
    <row r="52" spans="27:27">
      <c r="AA52" s="2"/>
    </row>
    <row r="53" spans="27:27">
      <c r="AA53" s="2"/>
    </row>
    <row r="54" spans="27:27">
      <c r="AA54" s="2"/>
    </row>
    <row r="55" spans="27:27">
      <c r="AA55" s="2"/>
    </row>
    <row r="56" spans="27:27">
      <c r="AA56" s="2"/>
    </row>
    <row r="57" spans="27:27">
      <c r="AA57" s="2"/>
    </row>
    <row r="58" spans="27:27">
      <c r="AA58" s="2"/>
    </row>
    <row r="59" spans="27:27">
      <c r="AA59" s="2"/>
    </row>
    <row r="60" spans="27:27">
      <c r="AA60" s="2"/>
    </row>
    <row r="61" spans="27:27">
      <c r="AA61" s="2"/>
    </row>
    <row r="62" spans="27:27">
      <c r="AA62" s="2"/>
    </row>
    <row r="63" spans="27:27">
      <c r="AA63" s="2"/>
    </row>
    <row r="64" spans="27:27">
      <c r="AA64" s="2"/>
    </row>
    <row r="65" spans="27:27">
      <c r="AA65" s="2"/>
    </row>
    <row r="66" spans="27:27">
      <c r="AA66" s="2"/>
    </row>
    <row r="67" spans="27:27">
      <c r="AA67" s="2"/>
    </row>
    <row r="68" spans="27:27">
      <c r="AA68" s="2"/>
    </row>
    <row r="69" spans="27:27">
      <c r="AA69" s="2"/>
    </row>
    <row r="70" spans="27:27">
      <c r="AA70" s="2"/>
    </row>
    <row r="71" spans="27:27">
      <c r="AA71" s="2"/>
    </row>
    <row r="72" spans="27:27">
      <c r="AA72" s="2"/>
    </row>
    <row r="73" spans="27:27">
      <c r="AA73" s="2"/>
    </row>
    <row r="74" spans="27:27">
      <c r="AA74" s="2"/>
    </row>
    <row r="75" spans="27:27">
      <c r="AA75" s="2"/>
    </row>
    <row r="76" spans="27:27">
      <c r="AA76" s="2"/>
    </row>
    <row r="77" spans="27:27">
      <c r="AA77" s="2"/>
    </row>
    <row r="78" spans="27:27">
      <c r="AA78" s="2"/>
    </row>
    <row r="79" spans="27:27">
      <c r="AA79" s="2"/>
    </row>
    <row r="80" spans="27:27">
      <c r="AA80" s="2"/>
    </row>
    <row r="81" spans="27:27">
      <c r="AA81" s="2"/>
    </row>
    <row r="82" spans="27:27">
      <c r="AA82" s="2"/>
    </row>
    <row r="83" spans="27:27">
      <c r="AA83" s="2"/>
    </row>
    <row r="84" spans="27:27">
      <c r="AA84" s="2"/>
    </row>
    <row r="85" spans="27:27">
      <c r="AA85" s="2"/>
    </row>
    <row r="86" spans="27:27">
      <c r="AA86" s="2"/>
    </row>
  </sheetData>
  <dataValidations count="2">
    <dataValidation type="list" showInputMessage="1" showErrorMessage="1" sqref="A2">
      <formula1>$Z$3:$Z$14</formula1>
    </dataValidation>
    <dataValidation type="list" showInputMessage="1" showErrorMessage="1" sqref="B2">
      <formula1>$AA$3:$AA$43</formula1>
    </dataValidation>
  </dataValidations>
  <pageMargins left="0.75" right="0.75" top="1" bottom="1" header="0.5" footer="0.5"/>
  <pageSetup paperSize="1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56"/>
  <sheetViews>
    <sheetView topLeftCell="L1" workbookViewId="0">
      <selection activeCell="K53" sqref="K53"/>
    </sheetView>
  </sheetViews>
  <sheetFormatPr defaultColWidth="10.75" defaultRowHeight="1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10" width="8.75" style="2" customWidth="1"/>
    <col min="11" max="11" width="11.8333333333333" style="2" customWidth="1"/>
    <col min="12" max="12" width="11.8333333333333" style="3" customWidth="1"/>
    <col min="13" max="13" width="2.75" style="2" customWidth="1"/>
    <col min="14" max="14" width="9.75" style="2" customWidth="1"/>
    <col min="15" max="17" width="6.75" style="2" customWidth="1"/>
    <col min="18" max="19" width="8.75" style="2" customWidth="1"/>
    <col min="20" max="20" width="6.83333333333333" style="2" customWidth="1"/>
    <col min="21" max="21" width="11.8333333333333" style="2" customWidth="1"/>
    <col min="22" max="22" width="11.8333333333333" style="3" customWidth="1"/>
    <col min="23" max="24" width="5.58333333333333" style="2" customWidth="1"/>
    <col min="25" max="25" width="9.83333333333333" style="2" customWidth="1"/>
    <col min="26" max="26" width="10" style="2" customWidth="1"/>
    <col min="27" max="27" width="2.75" style="2" customWidth="1"/>
    <col min="28" max="33" width="8.75" style="2" customWidth="1"/>
    <col min="34" max="34" width="10.75" style="2" customWidth="1"/>
    <col min="35" max="16384" width="10.75" style="2"/>
  </cols>
  <sheetData>
    <row r="1" ht="12.75" customHeight="1" spans="4:33">
      <c r="D1" s="4" t="s">
        <v>95</v>
      </c>
      <c r="E1" s="5"/>
      <c r="F1" s="5"/>
      <c r="G1" s="5"/>
      <c r="H1" s="5"/>
      <c r="I1" s="5"/>
      <c r="J1" s="5"/>
      <c r="K1" s="5"/>
      <c r="L1" s="20"/>
      <c r="N1" s="4" t="s">
        <v>96</v>
      </c>
      <c r="O1" s="5"/>
      <c r="P1" s="5"/>
      <c r="Q1" s="5"/>
      <c r="R1" s="5"/>
      <c r="S1" s="5"/>
      <c r="T1" s="5"/>
      <c r="U1" s="5"/>
      <c r="V1" s="20"/>
      <c r="W1" s="33"/>
      <c r="X1" s="33"/>
      <c r="Y1" s="33"/>
      <c r="Z1" s="87"/>
      <c r="AA1" s="36"/>
      <c r="AB1" s="4" t="s">
        <v>97</v>
      </c>
      <c r="AC1" s="5"/>
      <c r="AD1" s="20"/>
      <c r="AE1" s="4" t="s">
        <v>98</v>
      </c>
      <c r="AF1" s="5"/>
      <c r="AG1" s="20"/>
    </row>
    <row r="2" ht="12.75" customHeight="1" spans="1:33">
      <c r="A2" s="6"/>
      <c r="B2" s="7"/>
      <c r="C2" s="8" t="s">
        <v>99</v>
      </c>
      <c r="D2" s="9" t="s">
        <v>59</v>
      </c>
      <c r="E2" s="10" t="s">
        <v>60</v>
      </c>
      <c r="F2" s="10" t="s">
        <v>61</v>
      </c>
      <c r="G2" s="10" t="s">
        <v>62</v>
      </c>
      <c r="H2" s="10" t="s">
        <v>100</v>
      </c>
      <c r="I2" s="10" t="s">
        <v>101</v>
      </c>
      <c r="J2" s="10" t="s">
        <v>102</v>
      </c>
      <c r="K2" s="21" t="s">
        <v>103</v>
      </c>
      <c r="L2" s="22" t="s">
        <v>104</v>
      </c>
      <c r="M2" s="23"/>
      <c r="N2" s="9" t="s">
        <v>59</v>
      </c>
      <c r="O2" s="10" t="s">
        <v>60</v>
      </c>
      <c r="P2" s="10" t="s">
        <v>61</v>
      </c>
      <c r="Q2" s="10" t="s">
        <v>62</v>
      </c>
      <c r="R2" s="10" t="s">
        <v>100</v>
      </c>
      <c r="S2" s="10" t="s">
        <v>101</v>
      </c>
      <c r="T2" s="10" t="s">
        <v>102</v>
      </c>
      <c r="U2" s="21" t="s">
        <v>103</v>
      </c>
      <c r="V2" s="22" t="s">
        <v>104</v>
      </c>
      <c r="W2" s="34" t="s">
        <v>105</v>
      </c>
      <c r="X2" s="21" t="s">
        <v>106</v>
      </c>
      <c r="Y2" s="21" t="s">
        <v>107</v>
      </c>
      <c r="Z2" s="37" t="s">
        <v>108</v>
      </c>
      <c r="AA2" s="23"/>
      <c r="AB2" s="9" t="s">
        <v>9</v>
      </c>
      <c r="AC2" s="10" t="s">
        <v>10</v>
      </c>
      <c r="AD2" s="22" t="s">
        <v>11</v>
      </c>
      <c r="AE2" s="9" t="s">
        <v>9</v>
      </c>
      <c r="AF2" s="10" t="s">
        <v>10</v>
      </c>
      <c r="AG2" s="22" t="s">
        <v>11</v>
      </c>
    </row>
    <row r="3" spans="1:33">
      <c r="A3" s="11" t="s">
        <v>19</v>
      </c>
      <c r="B3" s="11" t="s">
        <v>64</v>
      </c>
      <c r="C3" s="11">
        <v>22</v>
      </c>
      <c r="D3" s="12">
        <f>Reference!B1</f>
        <v>19999.8714</v>
      </c>
      <c r="E3" s="13">
        <f>Reference!C1</f>
        <v>42.0977</v>
      </c>
      <c r="F3" s="13">
        <f>Reference!D1</f>
        <v>49.8343</v>
      </c>
      <c r="G3" s="13">
        <f>Reference!E1</f>
        <v>48.7766</v>
      </c>
      <c r="H3" s="13">
        <f>Reference!F1</f>
        <v>104742</v>
      </c>
      <c r="I3" s="13">
        <f>Reference!G1</f>
        <v>55.514</v>
      </c>
      <c r="J3" s="13">
        <f t="shared" ref="J3:J34" si="0">H3/3600</f>
        <v>29.095</v>
      </c>
      <c r="K3" s="27">
        <f>Reference!H1</f>
        <v>4980056</v>
      </c>
      <c r="L3" s="28">
        <f>Reference!I1</f>
        <v>999388</v>
      </c>
      <c r="N3" s="12">
        <f>Test!B1</f>
        <v>0</v>
      </c>
      <c r="O3" s="13">
        <f>Test!C1</f>
        <v>0</v>
      </c>
      <c r="P3" s="13">
        <f>Test!D1</f>
        <v>0</v>
      </c>
      <c r="Q3" s="13">
        <f>Test!E1</f>
        <v>0</v>
      </c>
      <c r="R3" s="13">
        <f>Test!F1</f>
        <v>0</v>
      </c>
      <c r="S3" s="13">
        <f>Test!G1</f>
        <v>0</v>
      </c>
      <c r="T3" s="13">
        <f t="shared" ref="T3:T34" si="1">R3/3600</f>
        <v>0</v>
      </c>
      <c r="U3" s="27">
        <f>Test!H1</f>
        <v>0</v>
      </c>
      <c r="V3" s="28">
        <f>Test!I1</f>
        <v>0</v>
      </c>
      <c r="W3" s="13">
        <f t="shared" ref="W3:W34" si="2">R3/H3</f>
        <v>0</v>
      </c>
      <c r="X3" s="13">
        <f t="shared" ref="X3:X34" si="3">S3/I3</f>
        <v>0</v>
      </c>
      <c r="Y3" s="13">
        <f>U3/K3</f>
        <v>0</v>
      </c>
      <c r="Z3" s="24">
        <f>V3/L3</f>
        <v>0</v>
      </c>
      <c r="AA3" s="38"/>
      <c r="AB3" s="39" t="e">
        <f>bdrate($D3:$D6,E3:E6,$N3:$N6,O3:O6)</f>
        <v>#VALUE!</v>
      </c>
      <c r="AC3" s="40" t="e">
        <f>bdrate($D3:$D6,F3:F6,$N3:$N6,P3:P6)</f>
        <v>#VALUE!</v>
      </c>
      <c r="AD3" s="41" t="e">
        <f>bdrate($D3:$D6,G3:G6,$N3:$N6,Q3:Q6)</f>
        <v>#VALUE!</v>
      </c>
      <c r="AE3" s="39" t="e">
        <f>bdrateOld($D3:$D6,E3:E6,$N3:$N6,O3:O6)</f>
        <v>#VALUE!</v>
      </c>
      <c r="AF3" s="40" t="e">
        <f>bdrateOld($D3:$D6,F3:F6,$N3:$N6,P3:P6)</f>
        <v>#VALUE!</v>
      </c>
      <c r="AG3" s="41" t="e">
        <f>bdrateOld($D3:$D6,G3:G6,$N3:$N6,Q3:Q6)</f>
        <v>#VALUE!</v>
      </c>
    </row>
    <row r="4" spans="1:33">
      <c r="A4" s="14" t="s">
        <v>109</v>
      </c>
      <c r="B4" s="14"/>
      <c r="C4" s="14">
        <v>27</v>
      </c>
      <c r="D4" s="15">
        <f>Reference!B2</f>
        <v>4350.0357</v>
      </c>
      <c r="E4" s="16">
        <f>Reference!C2</f>
        <v>40.1426</v>
      </c>
      <c r="F4" s="16">
        <f>Reference!D2</f>
        <v>48.8898</v>
      </c>
      <c r="G4" s="16">
        <f>Reference!E2</f>
        <v>46.9873</v>
      </c>
      <c r="H4" s="16">
        <f>Reference!F2</f>
        <v>33415</v>
      </c>
      <c r="I4" s="16">
        <f>Reference!G2</f>
        <v>38.355</v>
      </c>
      <c r="J4" s="16">
        <f t="shared" si="0"/>
        <v>9.28194444444444</v>
      </c>
      <c r="K4" s="29">
        <f>Reference!H2</f>
        <v>4901764</v>
      </c>
      <c r="L4" s="30">
        <f>Reference!I2</f>
        <v>1117176</v>
      </c>
      <c r="N4" s="15">
        <f>Test!B2</f>
        <v>0</v>
      </c>
      <c r="O4" s="16">
        <f>Test!C2</f>
        <v>0</v>
      </c>
      <c r="P4" s="16">
        <f>Test!D2</f>
        <v>0</v>
      </c>
      <c r="Q4" s="16">
        <f>Test!E2</f>
        <v>0</v>
      </c>
      <c r="R4" s="16">
        <f>Test!F2</f>
        <v>0</v>
      </c>
      <c r="S4" s="16">
        <f>Test!G2</f>
        <v>0</v>
      </c>
      <c r="T4" s="16">
        <f t="shared" si="1"/>
        <v>0</v>
      </c>
      <c r="U4" s="29">
        <f>Test!H2</f>
        <v>0</v>
      </c>
      <c r="V4" s="30">
        <f>Test!I2</f>
        <v>0</v>
      </c>
      <c r="W4" s="16">
        <f t="shared" si="2"/>
        <v>0</v>
      </c>
      <c r="X4" s="16">
        <f t="shared" si="3"/>
        <v>0</v>
      </c>
      <c r="Y4" s="16">
        <f t="shared" ref="Y4:Z67" si="4">U4/K4</f>
        <v>0</v>
      </c>
      <c r="Z4" s="25">
        <f t="shared" si="4"/>
        <v>0</v>
      </c>
      <c r="AA4" s="42"/>
      <c r="AB4" s="43"/>
      <c r="AC4" s="44"/>
      <c r="AD4" s="45"/>
      <c r="AE4" s="43"/>
      <c r="AF4" s="44"/>
      <c r="AG4" s="45"/>
    </row>
    <row r="5" spans="1:33">
      <c r="A5" s="14"/>
      <c r="B5" s="14"/>
      <c r="C5" s="14">
        <v>32</v>
      </c>
      <c r="D5" s="15">
        <f>Reference!B3</f>
        <v>2444.8378</v>
      </c>
      <c r="E5" s="16">
        <f>Reference!C3</f>
        <v>39.3603</v>
      </c>
      <c r="F5" s="16">
        <f>Reference!D3</f>
        <v>47.5908</v>
      </c>
      <c r="G5" s="16">
        <f>Reference!E3</f>
        <v>45.0674</v>
      </c>
      <c r="H5" s="16">
        <f>Reference!F3</f>
        <v>16750</v>
      </c>
      <c r="I5" s="16">
        <f>Reference!G3</f>
        <v>34.515</v>
      </c>
      <c r="J5" s="16">
        <f t="shared" si="0"/>
        <v>4.65277777777778</v>
      </c>
      <c r="K5" s="29">
        <f>Reference!H3</f>
        <v>4892736</v>
      </c>
      <c r="L5" s="30">
        <f>Reference!I3</f>
        <v>1104920</v>
      </c>
      <c r="N5" s="15">
        <f>Test!B3</f>
        <v>0</v>
      </c>
      <c r="O5" s="16">
        <f>Test!C3</f>
        <v>0</v>
      </c>
      <c r="P5" s="16">
        <f>Test!D3</f>
        <v>0</v>
      </c>
      <c r="Q5" s="16">
        <f>Test!E3</f>
        <v>0</v>
      </c>
      <c r="R5" s="16">
        <f>Test!F3</f>
        <v>0</v>
      </c>
      <c r="S5" s="16">
        <f>Test!G3</f>
        <v>0</v>
      </c>
      <c r="T5" s="16">
        <f t="shared" si="1"/>
        <v>0</v>
      </c>
      <c r="U5" s="29">
        <f>Test!H3</f>
        <v>0</v>
      </c>
      <c r="V5" s="30">
        <f>Test!I3</f>
        <v>0</v>
      </c>
      <c r="W5" s="16">
        <f t="shared" si="2"/>
        <v>0</v>
      </c>
      <c r="X5" s="16">
        <f t="shared" si="3"/>
        <v>0</v>
      </c>
      <c r="Y5" s="16">
        <f t="shared" si="4"/>
        <v>0</v>
      </c>
      <c r="Z5" s="25">
        <f t="shared" si="4"/>
        <v>0</v>
      </c>
      <c r="AA5" s="42"/>
      <c r="AB5" s="43"/>
      <c r="AC5" s="44"/>
      <c r="AD5" s="45"/>
      <c r="AE5" s="43"/>
      <c r="AF5" s="44"/>
      <c r="AG5" s="45"/>
    </row>
    <row r="6" ht="12.75" customHeight="1" spans="1:33">
      <c r="A6" s="14"/>
      <c r="B6" s="17"/>
      <c r="C6" s="17">
        <v>37</v>
      </c>
      <c r="D6" s="18">
        <f>Reference!B4</f>
        <v>1513.3751</v>
      </c>
      <c r="E6" s="19">
        <f>Reference!C4</f>
        <v>38.3459</v>
      </c>
      <c r="F6" s="19">
        <f>Reference!D4</f>
        <v>46.8174</v>
      </c>
      <c r="G6" s="19">
        <f>Reference!E4</f>
        <v>43.888</v>
      </c>
      <c r="H6" s="19">
        <f>Reference!F4</f>
        <v>9218</v>
      </c>
      <c r="I6" s="19">
        <f>Reference!G4</f>
        <v>25.578</v>
      </c>
      <c r="J6" s="19">
        <f t="shared" si="0"/>
        <v>2.56055555555556</v>
      </c>
      <c r="K6" s="29">
        <f>Reference!H4</f>
        <v>3577428</v>
      </c>
      <c r="L6" s="30">
        <f>Reference!I4</f>
        <v>728020</v>
      </c>
      <c r="N6" s="18">
        <f>Test!B4</f>
        <v>0</v>
      </c>
      <c r="O6" s="19">
        <f>Test!C4</f>
        <v>0</v>
      </c>
      <c r="P6" s="19">
        <f>Test!D4</f>
        <v>0</v>
      </c>
      <c r="Q6" s="19">
        <f>Test!E4</f>
        <v>0</v>
      </c>
      <c r="R6" s="19">
        <f>Test!F4</f>
        <v>0</v>
      </c>
      <c r="S6" s="19">
        <f>Test!G4</f>
        <v>0</v>
      </c>
      <c r="T6" s="19">
        <f t="shared" si="1"/>
        <v>0</v>
      </c>
      <c r="U6" s="29">
        <f>Test!H4</f>
        <v>0</v>
      </c>
      <c r="V6" s="30">
        <f>Test!I4</f>
        <v>0</v>
      </c>
      <c r="W6" s="16">
        <f t="shared" si="2"/>
        <v>0</v>
      </c>
      <c r="X6" s="16">
        <f t="shared" si="3"/>
        <v>0</v>
      </c>
      <c r="Y6" s="16">
        <f t="shared" si="4"/>
        <v>0</v>
      </c>
      <c r="Z6" s="25">
        <f t="shared" si="4"/>
        <v>0</v>
      </c>
      <c r="AA6" s="42"/>
      <c r="AB6" s="46"/>
      <c r="AC6" s="47"/>
      <c r="AD6" s="48"/>
      <c r="AE6" s="46"/>
      <c r="AF6" s="47"/>
      <c r="AG6" s="48"/>
    </row>
    <row r="7" spans="1:33">
      <c r="A7" s="14"/>
      <c r="B7" s="11" t="s">
        <v>66</v>
      </c>
      <c r="C7" s="11">
        <v>22</v>
      </c>
      <c r="D7" s="12">
        <f>Reference!B5</f>
        <v>13540.9816</v>
      </c>
      <c r="E7" s="13">
        <f>Reference!C5</f>
        <v>45.3156</v>
      </c>
      <c r="F7" s="13">
        <f>Reference!D5</f>
        <v>50.3087</v>
      </c>
      <c r="G7" s="13">
        <f>Reference!E5</f>
        <v>51.0825</v>
      </c>
      <c r="H7" s="13">
        <f>Reference!F5</f>
        <v>63981</v>
      </c>
      <c r="I7" s="13">
        <f>Reference!G5</f>
        <v>46.532</v>
      </c>
      <c r="J7" s="13">
        <f t="shared" si="0"/>
        <v>17.7725</v>
      </c>
      <c r="K7" s="27">
        <f>Reference!H5</f>
        <v>4996280</v>
      </c>
      <c r="L7" s="28">
        <f>Reference!I5</f>
        <v>1092780</v>
      </c>
      <c r="N7" s="12">
        <f>Test!B5</f>
        <v>0</v>
      </c>
      <c r="O7" s="13">
        <f>Test!C5</f>
        <v>0</v>
      </c>
      <c r="P7" s="13">
        <f>Test!D5</f>
        <v>0</v>
      </c>
      <c r="Q7" s="13">
        <f>Test!E5</f>
        <v>0</v>
      </c>
      <c r="R7" s="13">
        <f>Test!F5</f>
        <v>0</v>
      </c>
      <c r="S7" s="13">
        <f>Test!G5</f>
        <v>0</v>
      </c>
      <c r="T7" s="13">
        <f t="shared" si="1"/>
        <v>0</v>
      </c>
      <c r="U7" s="27">
        <f>Test!H5</f>
        <v>0</v>
      </c>
      <c r="V7" s="28">
        <f>Test!I5</f>
        <v>0</v>
      </c>
      <c r="W7" s="16">
        <f t="shared" si="2"/>
        <v>0</v>
      </c>
      <c r="X7" s="16">
        <f t="shared" si="3"/>
        <v>0</v>
      </c>
      <c r="Y7" s="16">
        <f t="shared" si="4"/>
        <v>0</v>
      </c>
      <c r="Z7" s="25">
        <f t="shared" si="4"/>
        <v>0</v>
      </c>
      <c r="AA7" s="42"/>
      <c r="AB7" s="39" t="e">
        <f>bdrate($D7:$D10,E7:E10,$N7:$N10,O7:O10)</f>
        <v>#VALUE!</v>
      </c>
      <c r="AC7" s="40" t="e">
        <f>bdrate($D7:$D10,F7:F10,$N7:$N10,P7:P10)</f>
        <v>#VALUE!</v>
      </c>
      <c r="AD7" s="40" t="e">
        <f>bdrate($D7:$D10,G7:G10,$N7:$N10,Q7:Q10)</f>
        <v>#VALUE!</v>
      </c>
      <c r="AE7" s="49" t="e">
        <f>bdrateOld($D7:$D10,E7:E10,$N7:$N10,O7:O10)</f>
        <v>#VALUE!</v>
      </c>
      <c r="AF7" s="50" t="e">
        <f>bdrateOld($D7:$D10,F7:F10,$N7:$N10,P7:P10)</f>
        <v>#VALUE!</v>
      </c>
      <c r="AG7" s="52" t="e">
        <f>bdrateOld($D7:$D10,G7:G10,$N7:$N10,Q7:Q10)</f>
        <v>#VALUE!</v>
      </c>
    </row>
    <row r="8" spans="1:33">
      <c r="A8" s="14"/>
      <c r="B8" s="14"/>
      <c r="C8" s="14">
        <v>27</v>
      </c>
      <c r="D8" s="15">
        <f>Reference!B6</f>
        <v>7273.7463</v>
      </c>
      <c r="E8" s="16">
        <f>Reference!C6</f>
        <v>43.7514</v>
      </c>
      <c r="F8" s="16">
        <f>Reference!D6</f>
        <v>48.1569</v>
      </c>
      <c r="G8" s="16">
        <f>Reference!E6</f>
        <v>48.6833</v>
      </c>
      <c r="H8" s="16">
        <f>Reference!F6</f>
        <v>37549</v>
      </c>
      <c r="I8" s="16">
        <f>Reference!G6</f>
        <v>48.162</v>
      </c>
      <c r="J8" s="16">
        <f t="shared" si="0"/>
        <v>10.4302777777778</v>
      </c>
      <c r="K8" s="29">
        <f>Reference!H6</f>
        <v>4961704</v>
      </c>
      <c r="L8" s="30">
        <f>Reference!I6</f>
        <v>1104388</v>
      </c>
      <c r="N8" s="15">
        <f>Test!B6</f>
        <v>0</v>
      </c>
      <c r="O8" s="16">
        <f>Test!C6</f>
        <v>0</v>
      </c>
      <c r="P8" s="16">
        <f>Test!D6</f>
        <v>0</v>
      </c>
      <c r="Q8" s="16">
        <f>Test!E6</f>
        <v>0</v>
      </c>
      <c r="R8" s="16">
        <f>Test!F6</f>
        <v>0</v>
      </c>
      <c r="S8" s="16">
        <f>Test!G6</f>
        <v>0</v>
      </c>
      <c r="T8" s="16">
        <f t="shared" si="1"/>
        <v>0</v>
      </c>
      <c r="U8" s="29">
        <f>Test!H6</f>
        <v>0</v>
      </c>
      <c r="V8" s="30">
        <f>Test!I6</f>
        <v>0</v>
      </c>
      <c r="W8" s="16">
        <f t="shared" si="2"/>
        <v>0</v>
      </c>
      <c r="X8" s="16">
        <f t="shared" si="3"/>
        <v>0</v>
      </c>
      <c r="Y8" s="16">
        <f t="shared" si="4"/>
        <v>0</v>
      </c>
      <c r="Z8" s="25">
        <f t="shared" si="4"/>
        <v>0</v>
      </c>
      <c r="AA8" s="42"/>
      <c r="AB8" s="43"/>
      <c r="AC8" s="44"/>
      <c r="AD8" s="44"/>
      <c r="AE8" s="43"/>
      <c r="AF8" s="44"/>
      <c r="AG8" s="45"/>
    </row>
    <row r="9" spans="1:33">
      <c r="A9" s="14"/>
      <c r="B9" s="14"/>
      <c r="C9" s="14">
        <v>32</v>
      </c>
      <c r="D9" s="15">
        <f>Reference!B7</f>
        <v>4398.5542</v>
      </c>
      <c r="E9" s="16">
        <f>Reference!C7</f>
        <v>42.213</v>
      </c>
      <c r="F9" s="16">
        <f>Reference!D7</f>
        <v>45.9574</v>
      </c>
      <c r="G9" s="16">
        <f>Reference!E7</f>
        <v>46.234</v>
      </c>
      <c r="H9" s="16">
        <f>Reference!F7</f>
        <v>20311</v>
      </c>
      <c r="I9" s="16">
        <f>Reference!G7</f>
        <v>28.642</v>
      </c>
      <c r="J9" s="16">
        <f t="shared" si="0"/>
        <v>5.64194444444444</v>
      </c>
      <c r="K9" s="29">
        <f>Reference!H7</f>
        <v>4937060</v>
      </c>
      <c r="L9" s="30">
        <f>Reference!I7</f>
        <v>918772</v>
      </c>
      <c r="N9" s="15">
        <f>Test!B7</f>
        <v>0</v>
      </c>
      <c r="O9" s="16">
        <f>Test!C7</f>
        <v>0</v>
      </c>
      <c r="P9" s="16">
        <f>Test!D7</f>
        <v>0</v>
      </c>
      <c r="Q9" s="16">
        <f>Test!E7</f>
        <v>0</v>
      </c>
      <c r="R9" s="16">
        <f>Test!F7</f>
        <v>0</v>
      </c>
      <c r="S9" s="16">
        <f>Test!G7</f>
        <v>0</v>
      </c>
      <c r="T9" s="16">
        <f t="shared" si="1"/>
        <v>0</v>
      </c>
      <c r="U9" s="29">
        <f>Test!H7</f>
        <v>0</v>
      </c>
      <c r="V9" s="30">
        <f>Test!I7</f>
        <v>0</v>
      </c>
      <c r="W9" s="16">
        <f t="shared" si="2"/>
        <v>0</v>
      </c>
      <c r="X9" s="16">
        <f t="shared" si="3"/>
        <v>0</v>
      </c>
      <c r="Y9" s="16">
        <f t="shared" si="4"/>
        <v>0</v>
      </c>
      <c r="Z9" s="25">
        <f t="shared" si="4"/>
        <v>0</v>
      </c>
      <c r="AA9" s="42"/>
      <c r="AB9" s="43"/>
      <c r="AC9" s="44"/>
      <c r="AD9" s="44"/>
      <c r="AE9" s="43"/>
      <c r="AF9" s="44"/>
      <c r="AG9" s="45"/>
    </row>
    <row r="10" ht="12.75" customHeight="1" spans="1:33">
      <c r="A10" s="14"/>
      <c r="B10" s="17"/>
      <c r="C10" s="17">
        <v>37</v>
      </c>
      <c r="D10" s="18">
        <f>Reference!B8</f>
        <v>2742.75</v>
      </c>
      <c r="E10" s="19">
        <f>Reference!C8</f>
        <v>40.3736</v>
      </c>
      <c r="F10" s="19">
        <f>Reference!D8</f>
        <v>44.6037</v>
      </c>
      <c r="G10" s="19">
        <f>Reference!E8</f>
        <v>44.7757</v>
      </c>
      <c r="H10" s="19">
        <f>Reference!F8</f>
        <v>15544</v>
      </c>
      <c r="I10" s="19">
        <f>Reference!G8</f>
        <v>20.608</v>
      </c>
      <c r="J10" s="19">
        <f t="shared" si="0"/>
        <v>4.31777777777778</v>
      </c>
      <c r="K10" s="29">
        <f>Reference!H8</f>
        <v>3604092</v>
      </c>
      <c r="L10" s="30">
        <f>Reference!I8</f>
        <v>688632</v>
      </c>
      <c r="N10" s="18">
        <f>Test!B8</f>
        <v>0</v>
      </c>
      <c r="O10" s="19">
        <f>Test!C8</f>
        <v>0</v>
      </c>
      <c r="P10" s="19">
        <f>Test!D8</f>
        <v>0</v>
      </c>
      <c r="Q10" s="19">
        <f>Test!E8</f>
        <v>0</v>
      </c>
      <c r="R10" s="19">
        <f>Test!F8</f>
        <v>0</v>
      </c>
      <c r="S10" s="19">
        <f>Test!G8</f>
        <v>0</v>
      </c>
      <c r="T10" s="19">
        <f t="shared" si="1"/>
        <v>0</v>
      </c>
      <c r="U10" s="29">
        <f>Test!H8</f>
        <v>0</v>
      </c>
      <c r="V10" s="30">
        <f>Test!I8</f>
        <v>0</v>
      </c>
      <c r="W10" s="16">
        <f t="shared" si="2"/>
        <v>0</v>
      </c>
      <c r="X10" s="16">
        <f t="shared" si="3"/>
        <v>0</v>
      </c>
      <c r="Y10" s="16">
        <f t="shared" si="4"/>
        <v>0</v>
      </c>
      <c r="Z10" s="25">
        <f t="shared" si="4"/>
        <v>0</v>
      </c>
      <c r="AA10" s="42"/>
      <c r="AB10" s="46"/>
      <c r="AC10" s="47"/>
      <c r="AD10" s="47"/>
      <c r="AE10" s="46"/>
      <c r="AF10" s="47"/>
      <c r="AG10" s="48"/>
    </row>
    <row r="11" spans="1:33">
      <c r="A11" s="14"/>
      <c r="B11" s="11" t="s">
        <v>67</v>
      </c>
      <c r="C11" s="11">
        <v>22</v>
      </c>
      <c r="D11" s="12">
        <f>Reference!B9</f>
        <v>20972.8176</v>
      </c>
      <c r="E11" s="13">
        <f>Reference!C9</f>
        <v>44.061</v>
      </c>
      <c r="F11" s="13">
        <f>Reference!D9</f>
        <v>46.5291</v>
      </c>
      <c r="G11" s="13">
        <f>Reference!E9</f>
        <v>44.4909</v>
      </c>
      <c r="H11" s="13">
        <f>Reference!F9</f>
        <v>89003</v>
      </c>
      <c r="I11" s="13">
        <f>Reference!G9</f>
        <v>67.393</v>
      </c>
      <c r="J11" s="13">
        <f t="shared" si="0"/>
        <v>24.7230555555556</v>
      </c>
      <c r="K11" s="27">
        <f>Reference!H9</f>
        <v>4948148</v>
      </c>
      <c r="L11" s="28">
        <f>Reference!I9</f>
        <v>1163968</v>
      </c>
      <c r="N11" s="12">
        <f>Test!B9</f>
        <v>0</v>
      </c>
      <c r="O11" s="13">
        <f>Test!C9</f>
        <v>0</v>
      </c>
      <c r="P11" s="13">
        <f>Test!D9</f>
        <v>0</v>
      </c>
      <c r="Q11" s="13">
        <f>Test!E9</f>
        <v>0</v>
      </c>
      <c r="R11" s="13">
        <f>Test!F9</f>
        <v>0</v>
      </c>
      <c r="S11" s="13">
        <f>Test!G9</f>
        <v>0</v>
      </c>
      <c r="T11" s="13">
        <f t="shared" si="1"/>
        <v>0</v>
      </c>
      <c r="U11" s="27">
        <f>Test!H9</f>
        <v>0</v>
      </c>
      <c r="V11" s="28">
        <f>Test!I9</f>
        <v>0</v>
      </c>
      <c r="W11" s="16">
        <f t="shared" si="2"/>
        <v>0</v>
      </c>
      <c r="X11" s="16">
        <f t="shared" si="3"/>
        <v>0</v>
      </c>
      <c r="Y11" s="16">
        <f t="shared" si="4"/>
        <v>0</v>
      </c>
      <c r="Z11" s="25">
        <f t="shared" si="4"/>
        <v>0</v>
      </c>
      <c r="AA11" s="42"/>
      <c r="AB11" s="39" t="e">
        <f>bdrate($D11:$D14,E11:E14,$N11:$N14,O11:O14)</f>
        <v>#VALUE!</v>
      </c>
      <c r="AC11" s="40" t="e">
        <f>bdrate($D11:$D14,F11:F14,$N11:$N14,P11:P14)</f>
        <v>#VALUE!</v>
      </c>
      <c r="AD11" s="40" t="e">
        <f>bdrate($D11:$D14,G11:G14,$N11:$N14,Q11:Q14)</f>
        <v>#VALUE!</v>
      </c>
      <c r="AE11" s="49" t="e">
        <f>bdrateOld($D11:$D14,E11:E14,$N11:$N14,O11:O14)</f>
        <v>#VALUE!</v>
      </c>
      <c r="AF11" s="50" t="e">
        <f>bdrateOld($D11:$D14,F11:F14,$N11:$N14,P11:P14)</f>
        <v>#VALUE!</v>
      </c>
      <c r="AG11" s="52" t="e">
        <f>bdrateOld($D11:$D14,G11:G14,$N11:$N14,Q11:Q14)</f>
        <v>#VALUE!</v>
      </c>
    </row>
    <row r="12" spans="1:33">
      <c r="A12" s="14"/>
      <c r="B12" s="14"/>
      <c r="C12" s="14">
        <v>27</v>
      </c>
      <c r="D12" s="15">
        <f>Reference!B10</f>
        <v>8951.7576</v>
      </c>
      <c r="E12" s="16">
        <f>Reference!C10</f>
        <v>40.3014</v>
      </c>
      <c r="F12" s="16">
        <f>Reference!D10</f>
        <v>41.9034</v>
      </c>
      <c r="G12" s="16">
        <f>Reference!E10</f>
        <v>42.7936</v>
      </c>
      <c r="H12" s="16">
        <f>Reference!F10</f>
        <v>72954</v>
      </c>
      <c r="I12" s="16">
        <f>Reference!G10</f>
        <v>55.467</v>
      </c>
      <c r="J12" s="16">
        <f t="shared" si="0"/>
        <v>20.265</v>
      </c>
      <c r="K12" s="29">
        <f>Reference!H10</f>
        <v>4888464</v>
      </c>
      <c r="L12" s="30">
        <f>Reference!I10</f>
        <v>1121428</v>
      </c>
      <c r="N12" s="15">
        <f>Test!B10</f>
        <v>0</v>
      </c>
      <c r="O12" s="16">
        <f>Test!C10</f>
        <v>0</v>
      </c>
      <c r="P12" s="16">
        <f>Test!D10</f>
        <v>0</v>
      </c>
      <c r="Q12" s="16">
        <f>Test!E10</f>
        <v>0</v>
      </c>
      <c r="R12" s="16">
        <f>Test!F10</f>
        <v>0</v>
      </c>
      <c r="S12" s="16">
        <f>Test!G10</f>
        <v>0</v>
      </c>
      <c r="T12" s="16">
        <f t="shared" si="1"/>
        <v>0</v>
      </c>
      <c r="U12" s="29">
        <f>Test!H10</f>
        <v>0</v>
      </c>
      <c r="V12" s="30">
        <f>Test!I10</f>
        <v>0</v>
      </c>
      <c r="W12" s="16">
        <f t="shared" si="2"/>
        <v>0</v>
      </c>
      <c r="X12" s="16">
        <f t="shared" si="3"/>
        <v>0</v>
      </c>
      <c r="Y12" s="16">
        <f t="shared" si="4"/>
        <v>0</v>
      </c>
      <c r="Z12" s="25">
        <f t="shared" si="4"/>
        <v>0</v>
      </c>
      <c r="AA12" s="42"/>
      <c r="AB12" s="43"/>
      <c r="AC12" s="44"/>
      <c r="AD12" s="44"/>
      <c r="AE12" s="43"/>
      <c r="AF12" s="44"/>
      <c r="AG12" s="45"/>
    </row>
    <row r="13" spans="1:33">
      <c r="A13" s="14"/>
      <c r="B13" s="14"/>
      <c r="C13" s="14">
        <v>32</v>
      </c>
      <c r="D13" s="15">
        <f>Reference!B11</f>
        <v>2700.42</v>
      </c>
      <c r="E13" s="16">
        <f>Reference!C11</f>
        <v>37.6371</v>
      </c>
      <c r="F13" s="16">
        <f>Reference!D11</f>
        <v>38.2698</v>
      </c>
      <c r="G13" s="16">
        <f>Reference!E11</f>
        <v>41.3935</v>
      </c>
      <c r="H13" s="16">
        <f>Reference!F11</f>
        <v>43912</v>
      </c>
      <c r="I13" s="16">
        <f>Reference!G11</f>
        <v>47.484</v>
      </c>
      <c r="J13" s="16">
        <f t="shared" si="0"/>
        <v>12.1977777777778</v>
      </c>
      <c r="K13" s="29">
        <f>Reference!H11</f>
        <v>4821612</v>
      </c>
      <c r="L13" s="30">
        <f>Reference!I11</f>
        <v>979456</v>
      </c>
      <c r="N13" s="15">
        <f>Test!B11</f>
        <v>0</v>
      </c>
      <c r="O13" s="16">
        <f>Test!C11</f>
        <v>0</v>
      </c>
      <c r="P13" s="16">
        <f>Test!D11</f>
        <v>0</v>
      </c>
      <c r="Q13" s="16">
        <f>Test!E11</f>
        <v>0</v>
      </c>
      <c r="R13" s="16">
        <f>Test!F11</f>
        <v>0</v>
      </c>
      <c r="S13" s="16">
        <f>Test!G11</f>
        <v>0</v>
      </c>
      <c r="T13" s="16">
        <f t="shared" si="1"/>
        <v>0</v>
      </c>
      <c r="U13" s="29">
        <f>Test!H11</f>
        <v>0</v>
      </c>
      <c r="V13" s="30">
        <f>Test!I11</f>
        <v>0</v>
      </c>
      <c r="W13" s="16">
        <f t="shared" si="2"/>
        <v>0</v>
      </c>
      <c r="X13" s="16">
        <f t="shared" si="3"/>
        <v>0</v>
      </c>
      <c r="Y13" s="16">
        <f t="shared" si="4"/>
        <v>0</v>
      </c>
      <c r="Z13" s="25">
        <f t="shared" si="4"/>
        <v>0</v>
      </c>
      <c r="AA13" s="42"/>
      <c r="AB13" s="43"/>
      <c r="AC13" s="44"/>
      <c r="AD13" s="44"/>
      <c r="AE13" s="43"/>
      <c r="AF13" s="44"/>
      <c r="AG13" s="45"/>
    </row>
    <row r="14" ht="12.75" customHeight="1" spans="1:33">
      <c r="A14" s="14"/>
      <c r="B14" s="17"/>
      <c r="C14" s="17">
        <v>37</v>
      </c>
      <c r="D14" s="18">
        <f>Reference!B12</f>
        <v>1367.6076</v>
      </c>
      <c r="E14" s="19">
        <f>Reference!C12</f>
        <v>36.3415</v>
      </c>
      <c r="F14" s="19">
        <f>Reference!D12</f>
        <v>36.4139</v>
      </c>
      <c r="G14" s="19">
        <f>Reference!E12</f>
        <v>39.9236</v>
      </c>
      <c r="H14" s="19">
        <f>Reference!F12</f>
        <v>22089</v>
      </c>
      <c r="I14" s="19">
        <f>Reference!G12</f>
        <v>37.665</v>
      </c>
      <c r="J14" s="19">
        <f t="shared" si="0"/>
        <v>6.13583333333333</v>
      </c>
      <c r="K14" s="29">
        <f>Reference!H12</f>
        <v>4802996</v>
      </c>
      <c r="L14" s="30">
        <f>Reference!I12</f>
        <v>1105164</v>
      </c>
      <c r="N14" s="18">
        <f>Test!B12</f>
        <v>0</v>
      </c>
      <c r="O14" s="19">
        <f>Test!C12</f>
        <v>0</v>
      </c>
      <c r="P14" s="19">
        <f>Test!D12</f>
        <v>0</v>
      </c>
      <c r="Q14" s="19">
        <f>Test!E12</f>
        <v>0</v>
      </c>
      <c r="R14" s="19">
        <f>Test!F12</f>
        <v>0</v>
      </c>
      <c r="S14" s="19">
        <f>Test!G12</f>
        <v>0</v>
      </c>
      <c r="T14" s="19">
        <f t="shared" si="1"/>
        <v>0</v>
      </c>
      <c r="U14" s="29">
        <f>Test!H12</f>
        <v>0</v>
      </c>
      <c r="V14" s="30">
        <f>Test!I12</f>
        <v>0</v>
      </c>
      <c r="W14" s="16">
        <f t="shared" si="2"/>
        <v>0</v>
      </c>
      <c r="X14" s="16">
        <f t="shared" si="3"/>
        <v>0</v>
      </c>
      <c r="Y14" s="16">
        <f t="shared" si="4"/>
        <v>0</v>
      </c>
      <c r="Z14" s="25">
        <f t="shared" si="4"/>
        <v>0</v>
      </c>
      <c r="AA14" s="42"/>
      <c r="AB14" s="46"/>
      <c r="AC14" s="47"/>
      <c r="AD14" s="47"/>
      <c r="AE14" s="46"/>
      <c r="AF14" s="47"/>
      <c r="AG14" s="48"/>
    </row>
    <row r="15" spans="1:33">
      <c r="A15" s="11" t="s">
        <v>21</v>
      </c>
      <c r="B15" s="11" t="s">
        <v>110</v>
      </c>
      <c r="C15" s="11">
        <v>22</v>
      </c>
      <c r="D15" s="12">
        <f>Reference!B13</f>
        <v>34092.2211</v>
      </c>
      <c r="E15" s="13">
        <f>Reference!C13</f>
        <v>42.8504</v>
      </c>
      <c r="F15" s="13">
        <f>Reference!D13</f>
        <v>42.7487</v>
      </c>
      <c r="G15" s="13">
        <f>Reference!E13</f>
        <v>44.5862</v>
      </c>
      <c r="H15" s="13">
        <f>Reference!F13</f>
        <v>102965</v>
      </c>
      <c r="I15" s="13">
        <f>Reference!G13</f>
        <v>67.242</v>
      </c>
      <c r="J15" s="13">
        <f t="shared" si="0"/>
        <v>28.6013888888889</v>
      </c>
      <c r="K15" s="27">
        <f>Reference!H13</f>
        <v>5020032</v>
      </c>
      <c r="L15" s="28">
        <f>Reference!I13</f>
        <v>1282888</v>
      </c>
      <c r="N15" s="12">
        <f>Test!B13</f>
        <v>0</v>
      </c>
      <c r="O15" s="13">
        <f>Test!C13</f>
        <v>0</v>
      </c>
      <c r="P15" s="13">
        <f>Test!D13</f>
        <v>0</v>
      </c>
      <c r="Q15" s="13">
        <f>Test!E13</f>
        <v>0</v>
      </c>
      <c r="R15" s="13">
        <f>Test!F13</f>
        <v>0</v>
      </c>
      <c r="S15" s="13">
        <f>Test!G13</f>
        <v>0</v>
      </c>
      <c r="T15" s="13">
        <f t="shared" si="1"/>
        <v>0</v>
      </c>
      <c r="U15" s="27">
        <f>Test!H13</f>
        <v>0</v>
      </c>
      <c r="V15" s="28">
        <f>Test!I13</f>
        <v>0</v>
      </c>
      <c r="W15" s="13">
        <f t="shared" si="2"/>
        <v>0</v>
      </c>
      <c r="X15" s="13">
        <f t="shared" si="3"/>
        <v>0</v>
      </c>
      <c r="Y15" s="13">
        <f t="shared" si="4"/>
        <v>0</v>
      </c>
      <c r="Z15" s="24">
        <f t="shared" si="4"/>
        <v>0</v>
      </c>
      <c r="AA15" s="38"/>
      <c r="AB15" s="39" t="e">
        <f>bdrate($D15:$D18,E15:E18,$N15:$N18,O15:O18)</f>
        <v>#VALUE!</v>
      </c>
      <c r="AC15" s="40" t="e">
        <f>bdrate($D15:$D18,F15:F18,$N15:$N18,P15:P18)</f>
        <v>#VALUE!</v>
      </c>
      <c r="AD15" s="41" t="e">
        <f>bdrate($D15:$D18,G15:G18,$N15:$N18,Q15:Q18)</f>
        <v>#VALUE!</v>
      </c>
      <c r="AE15" s="39" t="e">
        <f>bdrateOld($D15:$D18,E15:E18,$N15:$N18,O15:O18)</f>
        <v>#VALUE!</v>
      </c>
      <c r="AF15" s="40" t="e">
        <f>bdrateOld($D15:$D18,F15:F18,$N15:$N18,P15:P18)</f>
        <v>#VALUE!</v>
      </c>
      <c r="AG15" s="41" t="e">
        <f>bdrateOld($D15:$D18,G15:G18,$N15:$N18,Q15:Q18)</f>
        <v>#VALUE!</v>
      </c>
    </row>
    <row r="16" spans="1:33">
      <c r="A16" s="14" t="s">
        <v>109</v>
      </c>
      <c r="B16" s="14"/>
      <c r="C16" s="14">
        <v>27</v>
      </c>
      <c r="D16" s="15">
        <f>Reference!B14</f>
        <v>9246.1879</v>
      </c>
      <c r="E16" s="16">
        <f>Reference!C14</f>
        <v>39.8735</v>
      </c>
      <c r="F16" s="16">
        <f>Reference!D14</f>
        <v>41.6257</v>
      </c>
      <c r="G16" s="16">
        <f>Reference!E14</f>
        <v>43.0076</v>
      </c>
      <c r="H16" s="16">
        <f>Reference!F14</f>
        <v>50292</v>
      </c>
      <c r="I16" s="16">
        <f>Reference!G14</f>
        <v>44.909</v>
      </c>
      <c r="J16" s="16">
        <f t="shared" si="0"/>
        <v>13.97</v>
      </c>
      <c r="K16" s="29">
        <f>Reference!H14</f>
        <v>4936232</v>
      </c>
      <c r="L16" s="30">
        <f>Reference!I14</f>
        <v>1200916</v>
      </c>
      <c r="N16" s="15">
        <f>Test!B14</f>
        <v>0</v>
      </c>
      <c r="O16" s="16">
        <f>Test!C14</f>
        <v>0</v>
      </c>
      <c r="P16" s="16">
        <f>Test!D14</f>
        <v>0</v>
      </c>
      <c r="Q16" s="16">
        <f>Test!E14</f>
        <v>0</v>
      </c>
      <c r="R16" s="16">
        <f>Test!F14</f>
        <v>0</v>
      </c>
      <c r="S16" s="16">
        <f>Test!G14</f>
        <v>0</v>
      </c>
      <c r="T16" s="16">
        <f t="shared" si="1"/>
        <v>0</v>
      </c>
      <c r="U16" s="29">
        <f>Test!H14</f>
        <v>0</v>
      </c>
      <c r="V16" s="30">
        <f>Test!I14</f>
        <v>0</v>
      </c>
      <c r="W16" s="16">
        <f t="shared" si="2"/>
        <v>0</v>
      </c>
      <c r="X16" s="16">
        <f t="shared" si="3"/>
        <v>0</v>
      </c>
      <c r="Y16" s="16">
        <f t="shared" si="4"/>
        <v>0</v>
      </c>
      <c r="Z16" s="25">
        <f t="shared" si="4"/>
        <v>0</v>
      </c>
      <c r="AA16" s="42"/>
      <c r="AB16" s="43"/>
      <c r="AC16" s="44"/>
      <c r="AD16" s="45"/>
      <c r="AE16" s="43"/>
      <c r="AF16" s="44"/>
      <c r="AG16" s="45"/>
    </row>
    <row r="17" spans="1:33">
      <c r="A17" s="14"/>
      <c r="B17" s="14"/>
      <c r="C17" s="14">
        <v>32</v>
      </c>
      <c r="D17" s="15">
        <f>Reference!B15</f>
        <v>5298.3095</v>
      </c>
      <c r="E17" s="16">
        <f>Reference!C15</f>
        <v>38.5836</v>
      </c>
      <c r="F17" s="16">
        <f>Reference!D15</f>
        <v>40.6487</v>
      </c>
      <c r="G17" s="16">
        <f>Reference!E15</f>
        <v>41.1153</v>
      </c>
      <c r="H17" s="16">
        <f>Reference!F15</f>
        <v>34563</v>
      </c>
      <c r="I17" s="16">
        <f>Reference!G15</f>
        <v>44.681</v>
      </c>
      <c r="J17" s="16">
        <f t="shared" si="0"/>
        <v>9.60083333333333</v>
      </c>
      <c r="K17" s="29">
        <f>Reference!H15</f>
        <v>4906748</v>
      </c>
      <c r="L17" s="30">
        <f>Reference!I15</f>
        <v>1165496</v>
      </c>
      <c r="N17" s="15">
        <f>Test!B15</f>
        <v>0</v>
      </c>
      <c r="O17" s="16">
        <f>Test!C15</f>
        <v>0</v>
      </c>
      <c r="P17" s="16">
        <f>Test!D15</f>
        <v>0</v>
      </c>
      <c r="Q17" s="16">
        <f>Test!E15</f>
        <v>0</v>
      </c>
      <c r="R17" s="16">
        <f>Test!F15</f>
        <v>0</v>
      </c>
      <c r="S17" s="16">
        <f>Test!G15</f>
        <v>0</v>
      </c>
      <c r="T17" s="16">
        <f t="shared" si="1"/>
        <v>0</v>
      </c>
      <c r="U17" s="29">
        <f>Test!H15</f>
        <v>0</v>
      </c>
      <c r="V17" s="30">
        <f>Test!I15</f>
        <v>0</v>
      </c>
      <c r="W17" s="16">
        <f t="shared" si="2"/>
        <v>0</v>
      </c>
      <c r="X17" s="16">
        <f t="shared" si="3"/>
        <v>0</v>
      </c>
      <c r="Y17" s="16">
        <f t="shared" si="4"/>
        <v>0</v>
      </c>
      <c r="Z17" s="25">
        <f t="shared" si="4"/>
        <v>0</v>
      </c>
      <c r="AA17" s="42"/>
      <c r="AB17" s="43"/>
      <c r="AC17" s="44"/>
      <c r="AD17" s="45"/>
      <c r="AE17" s="43"/>
      <c r="AF17" s="44"/>
      <c r="AG17" s="45"/>
    </row>
    <row r="18" ht="12.75" customHeight="1" spans="1:33">
      <c r="A18" s="14"/>
      <c r="B18" s="17"/>
      <c r="C18" s="17">
        <v>37</v>
      </c>
      <c r="D18" s="18">
        <f>Reference!B16</f>
        <v>3174.4737</v>
      </c>
      <c r="E18" s="19">
        <f>Reference!C16</f>
        <v>36.7862</v>
      </c>
      <c r="F18" s="19">
        <f>Reference!D16</f>
        <v>39.8754</v>
      </c>
      <c r="G18" s="19">
        <f>Reference!E16</f>
        <v>39.7407</v>
      </c>
      <c r="H18" s="19">
        <f>Reference!F16</f>
        <v>21635</v>
      </c>
      <c r="I18" s="19">
        <f>Reference!G16</f>
        <v>41.393</v>
      </c>
      <c r="J18" s="19">
        <f t="shared" si="0"/>
        <v>6.00972222222222</v>
      </c>
      <c r="K18" s="29">
        <f>Reference!H16</f>
        <v>4884984</v>
      </c>
      <c r="L18" s="30">
        <f>Reference!I16</f>
        <v>1121180</v>
      </c>
      <c r="N18" s="18">
        <f>Test!B16</f>
        <v>0</v>
      </c>
      <c r="O18" s="19">
        <f>Test!C16</f>
        <v>0</v>
      </c>
      <c r="P18" s="19">
        <f>Test!D16</f>
        <v>0</v>
      </c>
      <c r="Q18" s="19">
        <f>Test!E16</f>
        <v>0</v>
      </c>
      <c r="R18" s="19">
        <f>Test!F16</f>
        <v>0</v>
      </c>
      <c r="S18" s="19">
        <f>Test!G16</f>
        <v>0</v>
      </c>
      <c r="T18" s="19">
        <f t="shared" si="1"/>
        <v>0</v>
      </c>
      <c r="U18" s="29">
        <f>Test!H16</f>
        <v>0</v>
      </c>
      <c r="V18" s="30">
        <f>Test!I16</f>
        <v>0</v>
      </c>
      <c r="W18" s="16">
        <f t="shared" si="2"/>
        <v>0</v>
      </c>
      <c r="X18" s="16">
        <f t="shared" si="3"/>
        <v>0</v>
      </c>
      <c r="Y18" s="16">
        <f t="shared" si="4"/>
        <v>0</v>
      </c>
      <c r="Z18" s="25">
        <f t="shared" si="4"/>
        <v>0</v>
      </c>
      <c r="AA18" s="42"/>
      <c r="AB18" s="46"/>
      <c r="AC18" s="47"/>
      <c r="AD18" s="48"/>
      <c r="AE18" s="46"/>
      <c r="AF18" s="47"/>
      <c r="AG18" s="48"/>
    </row>
    <row r="19" spans="1:33">
      <c r="A19" s="14"/>
      <c r="B19" s="14" t="s">
        <v>70</v>
      </c>
      <c r="C19" s="11">
        <v>22</v>
      </c>
      <c r="D19" s="12">
        <f>Reference!B17</f>
        <v>58224.66</v>
      </c>
      <c r="E19" s="13">
        <f>Reference!C17</f>
        <v>41.9399</v>
      </c>
      <c r="F19" s="13">
        <f>Reference!D17</f>
        <v>46.5263</v>
      </c>
      <c r="G19" s="13">
        <f>Reference!E17</f>
        <v>44.4771</v>
      </c>
      <c r="H19" s="13">
        <f>Reference!F17</f>
        <v>129590</v>
      </c>
      <c r="I19" s="13">
        <f>Reference!G17</f>
        <v>80.703</v>
      </c>
      <c r="J19" s="13">
        <f t="shared" si="0"/>
        <v>35.9972222222222</v>
      </c>
      <c r="K19" s="27">
        <f>Reference!H17</f>
        <v>5105736</v>
      </c>
      <c r="L19" s="28">
        <f>Reference!I17</f>
        <v>1038020</v>
      </c>
      <c r="N19" s="12">
        <f>Test!B17</f>
        <v>0</v>
      </c>
      <c r="O19" s="13">
        <f>Test!C17</f>
        <v>0</v>
      </c>
      <c r="P19" s="13">
        <f>Test!D17</f>
        <v>0</v>
      </c>
      <c r="Q19" s="13">
        <f>Test!E17</f>
        <v>0</v>
      </c>
      <c r="R19" s="13">
        <f>Test!F17</f>
        <v>0</v>
      </c>
      <c r="S19" s="13">
        <f>Test!G17</f>
        <v>0</v>
      </c>
      <c r="T19" s="13">
        <f t="shared" si="1"/>
        <v>0</v>
      </c>
      <c r="U19" s="27">
        <f>Test!H17</f>
        <v>0</v>
      </c>
      <c r="V19" s="28">
        <f>Test!I17</f>
        <v>0</v>
      </c>
      <c r="W19" s="16">
        <f t="shared" si="2"/>
        <v>0</v>
      </c>
      <c r="X19" s="16">
        <f t="shared" si="3"/>
        <v>0</v>
      </c>
      <c r="Y19" s="16">
        <f t="shared" si="4"/>
        <v>0</v>
      </c>
      <c r="Z19" s="25">
        <f t="shared" si="4"/>
        <v>0</v>
      </c>
      <c r="AA19" s="42"/>
      <c r="AB19" s="39" t="e">
        <f>bdrate($D19:$D22,E19:E22,$N19:$N22,O19:O22)</f>
        <v>#VALUE!</v>
      </c>
      <c r="AC19" s="40" t="e">
        <f>bdrate($D19:$D22,F19:F22,$N19:$N22,P19:P22)</f>
        <v>#VALUE!</v>
      </c>
      <c r="AD19" s="40" t="e">
        <f>bdrate($D19:$D22,G19:G22,$N19:$N22,Q19:Q22)</f>
        <v>#VALUE!</v>
      </c>
      <c r="AE19" s="49" t="e">
        <f>bdrateOld($D19:$D22,E19:E22,$N19:$N22,O19:O22)</f>
        <v>#VALUE!</v>
      </c>
      <c r="AF19" s="50" t="e">
        <f>bdrateOld($D19:$D22,F19:F22,$N19:$N22,P19:P22)</f>
        <v>#VALUE!</v>
      </c>
      <c r="AG19" s="52" t="e">
        <f>bdrateOld($D19:$D22,G19:G22,$N19:$N22,Q19:Q22)</f>
        <v>#VALUE!</v>
      </c>
    </row>
    <row r="20" spans="1:33">
      <c r="A20" s="14"/>
      <c r="B20" s="14"/>
      <c r="C20" s="14">
        <v>27</v>
      </c>
      <c r="D20" s="15">
        <f>Reference!B18</f>
        <v>9069.4358</v>
      </c>
      <c r="E20" s="16">
        <f>Reference!C18</f>
        <v>37.72</v>
      </c>
      <c r="F20" s="16">
        <f>Reference!D18</f>
        <v>45.2595</v>
      </c>
      <c r="G20" s="16">
        <f>Reference!E18</f>
        <v>43.1268</v>
      </c>
      <c r="H20" s="16">
        <f>Reference!F18</f>
        <v>62870</v>
      </c>
      <c r="I20" s="16">
        <f>Reference!G18</f>
        <v>52.677</v>
      </c>
      <c r="J20" s="16">
        <f t="shared" si="0"/>
        <v>17.4638888888889</v>
      </c>
      <c r="K20" s="29">
        <f>Reference!H18</f>
        <v>4973440</v>
      </c>
      <c r="L20" s="30">
        <f>Reference!I18</f>
        <v>964752</v>
      </c>
      <c r="N20" s="15">
        <f>Test!B18</f>
        <v>0</v>
      </c>
      <c r="O20" s="16">
        <f>Test!C18</f>
        <v>0</v>
      </c>
      <c r="P20" s="16">
        <f>Test!D18</f>
        <v>0</v>
      </c>
      <c r="Q20" s="16">
        <f>Test!E18</f>
        <v>0</v>
      </c>
      <c r="R20" s="16">
        <f>Test!F18</f>
        <v>0</v>
      </c>
      <c r="S20" s="16">
        <f>Test!G18</f>
        <v>0</v>
      </c>
      <c r="T20" s="16">
        <f t="shared" si="1"/>
        <v>0</v>
      </c>
      <c r="U20" s="29">
        <f>Test!H18</f>
        <v>0</v>
      </c>
      <c r="V20" s="30">
        <f>Test!I18</f>
        <v>0</v>
      </c>
      <c r="W20" s="16">
        <f t="shared" si="2"/>
        <v>0</v>
      </c>
      <c r="X20" s="16">
        <f t="shared" si="3"/>
        <v>0</v>
      </c>
      <c r="Y20" s="16">
        <f t="shared" si="4"/>
        <v>0</v>
      </c>
      <c r="Z20" s="25">
        <f t="shared" si="4"/>
        <v>0</v>
      </c>
      <c r="AA20" s="42"/>
      <c r="AB20" s="43"/>
      <c r="AC20" s="44"/>
      <c r="AD20" s="44"/>
      <c r="AE20" s="43"/>
      <c r="AF20" s="44"/>
      <c r="AG20" s="45"/>
    </row>
    <row r="21" spans="1:33">
      <c r="A21" s="14"/>
      <c r="B21" s="14"/>
      <c r="C21" s="14">
        <v>32</v>
      </c>
      <c r="D21" s="15">
        <f>Reference!B19</f>
        <v>4894.3437</v>
      </c>
      <c r="E21" s="16">
        <f>Reference!C19</f>
        <v>36.7466</v>
      </c>
      <c r="F21" s="16">
        <f>Reference!D19</f>
        <v>43.8614</v>
      </c>
      <c r="G21" s="16">
        <f>Reference!E19</f>
        <v>41.6923</v>
      </c>
      <c r="H21" s="16">
        <f>Reference!F19</f>
        <v>34718</v>
      </c>
      <c r="I21" s="16">
        <f>Reference!G19</f>
        <v>45.165</v>
      </c>
      <c r="J21" s="16">
        <f t="shared" si="0"/>
        <v>9.64388888888889</v>
      </c>
      <c r="K21" s="29">
        <f>Reference!H19</f>
        <v>4934068</v>
      </c>
      <c r="L21" s="30">
        <f>Reference!I19</f>
        <v>915036</v>
      </c>
      <c r="N21" s="15">
        <f>Test!B19</f>
        <v>0</v>
      </c>
      <c r="O21" s="16">
        <f>Test!C19</f>
        <v>0</v>
      </c>
      <c r="P21" s="16">
        <f>Test!D19</f>
        <v>0</v>
      </c>
      <c r="Q21" s="16">
        <f>Test!E19</f>
        <v>0</v>
      </c>
      <c r="R21" s="16">
        <f>Test!F19</f>
        <v>0</v>
      </c>
      <c r="S21" s="16">
        <f>Test!G19</f>
        <v>0</v>
      </c>
      <c r="T21" s="16">
        <f t="shared" si="1"/>
        <v>0</v>
      </c>
      <c r="U21" s="29">
        <f>Test!H19</f>
        <v>0</v>
      </c>
      <c r="V21" s="30">
        <f>Test!I19</f>
        <v>0</v>
      </c>
      <c r="W21" s="16">
        <f t="shared" si="2"/>
        <v>0</v>
      </c>
      <c r="X21" s="16">
        <f t="shared" si="3"/>
        <v>0</v>
      </c>
      <c r="Y21" s="16">
        <f t="shared" si="4"/>
        <v>0</v>
      </c>
      <c r="Z21" s="25">
        <f t="shared" si="4"/>
        <v>0</v>
      </c>
      <c r="AA21" s="42"/>
      <c r="AB21" s="43"/>
      <c r="AC21" s="44"/>
      <c r="AD21" s="44"/>
      <c r="AE21" s="43"/>
      <c r="AF21" s="44"/>
      <c r="AG21" s="45"/>
    </row>
    <row r="22" ht="12.75" customHeight="1" spans="1:33">
      <c r="A22" s="14"/>
      <c r="B22" s="17"/>
      <c r="C22" s="17">
        <v>37</v>
      </c>
      <c r="D22" s="18">
        <f>Reference!B20</f>
        <v>2743.6532</v>
      </c>
      <c r="E22" s="19">
        <f>Reference!C20</f>
        <v>35.3302</v>
      </c>
      <c r="F22" s="19">
        <f>Reference!D20</f>
        <v>42.8387</v>
      </c>
      <c r="G22" s="19">
        <f>Reference!E20</f>
        <v>40.5271</v>
      </c>
      <c r="H22" s="19">
        <f>Reference!F20</f>
        <v>20871</v>
      </c>
      <c r="I22" s="19">
        <f>Reference!G20</f>
        <v>42.347</v>
      </c>
      <c r="J22" s="19">
        <f t="shared" si="0"/>
        <v>5.7975</v>
      </c>
      <c r="K22" s="29">
        <f>Reference!H20</f>
        <v>4910224</v>
      </c>
      <c r="L22" s="30">
        <f>Reference!I20</f>
        <v>905568</v>
      </c>
      <c r="N22" s="18">
        <f>Test!B20</f>
        <v>0</v>
      </c>
      <c r="O22" s="19">
        <f>Test!C20</f>
        <v>0</v>
      </c>
      <c r="P22" s="19">
        <f>Test!D20</f>
        <v>0</v>
      </c>
      <c r="Q22" s="19">
        <f>Test!E20</f>
        <v>0</v>
      </c>
      <c r="R22" s="19">
        <f>Test!F20</f>
        <v>0</v>
      </c>
      <c r="S22" s="19">
        <f>Test!G20</f>
        <v>0</v>
      </c>
      <c r="T22" s="19">
        <f t="shared" si="1"/>
        <v>0</v>
      </c>
      <c r="U22" s="29">
        <f>Test!H20</f>
        <v>0</v>
      </c>
      <c r="V22" s="30">
        <f>Test!I20</f>
        <v>0</v>
      </c>
      <c r="W22" s="16">
        <f t="shared" si="2"/>
        <v>0</v>
      </c>
      <c r="X22" s="16">
        <f t="shared" si="3"/>
        <v>0</v>
      </c>
      <c r="Y22" s="16">
        <f t="shared" si="4"/>
        <v>0</v>
      </c>
      <c r="Z22" s="25">
        <f t="shared" si="4"/>
        <v>0</v>
      </c>
      <c r="AA22" s="42"/>
      <c r="AB22" s="46"/>
      <c r="AC22" s="47"/>
      <c r="AD22" s="47"/>
      <c r="AE22" s="46"/>
      <c r="AF22" s="47"/>
      <c r="AG22" s="48"/>
    </row>
    <row r="23" spans="1:33">
      <c r="A23" s="14"/>
      <c r="B23" s="14" t="s">
        <v>71</v>
      </c>
      <c r="C23" s="11">
        <v>22</v>
      </c>
      <c r="D23" s="12">
        <f>Reference!B21</f>
        <v>40549.1158</v>
      </c>
      <c r="E23" s="13">
        <f>Reference!C21</f>
        <v>47.4152</v>
      </c>
      <c r="F23" s="13">
        <f>Reference!D21</f>
        <v>40.7771</v>
      </c>
      <c r="G23" s="13">
        <f>Reference!E21</f>
        <v>41.3398</v>
      </c>
      <c r="H23" s="13">
        <f>Reference!F21</f>
        <v>101790</v>
      </c>
      <c r="I23" s="13">
        <f>Reference!G21</f>
        <v>66.34</v>
      </c>
      <c r="J23" s="13">
        <f t="shared" si="0"/>
        <v>28.275</v>
      </c>
      <c r="K23" s="27">
        <f>Reference!H21</f>
        <v>5026356</v>
      </c>
      <c r="L23" s="28">
        <f>Reference!I21</f>
        <v>1010972</v>
      </c>
      <c r="N23" s="12">
        <f>Test!B21</f>
        <v>0</v>
      </c>
      <c r="O23" s="13">
        <f>Test!C21</f>
        <v>0</v>
      </c>
      <c r="P23" s="13">
        <f>Test!D21</f>
        <v>0</v>
      </c>
      <c r="Q23" s="13">
        <f>Test!E21</f>
        <v>0</v>
      </c>
      <c r="R23" s="13">
        <f>Test!F21</f>
        <v>0</v>
      </c>
      <c r="S23" s="13">
        <f>Test!G21</f>
        <v>0</v>
      </c>
      <c r="T23" s="13">
        <f t="shared" si="1"/>
        <v>0</v>
      </c>
      <c r="U23" s="27">
        <f>Test!H21</f>
        <v>0</v>
      </c>
      <c r="V23" s="28">
        <f>Test!I21</f>
        <v>0</v>
      </c>
      <c r="W23" s="16">
        <f t="shared" si="2"/>
        <v>0</v>
      </c>
      <c r="X23" s="16">
        <f t="shared" si="3"/>
        <v>0</v>
      </c>
      <c r="Y23" s="16">
        <f t="shared" si="4"/>
        <v>0</v>
      </c>
      <c r="Z23" s="25">
        <f t="shared" si="4"/>
        <v>0</v>
      </c>
      <c r="AA23" s="42"/>
      <c r="AB23" s="39" t="e">
        <f>bdrate($D23:$D26,E23:E26,$N23:$N26,O23:O26)</f>
        <v>#VALUE!</v>
      </c>
      <c r="AC23" s="40" t="e">
        <f>bdrate($D23:$D26,F23:F26,$N23:$N26,P23:P26)</f>
        <v>#VALUE!</v>
      </c>
      <c r="AD23" s="40" t="e">
        <f>bdrate($D23:$D26,G23:G26,$N23:$N26,Q23:Q26)</f>
        <v>#VALUE!</v>
      </c>
      <c r="AE23" s="49" t="e">
        <f>bdrateOld($D23:$D26,E23:E26,$N23:$N26,O23:O26)</f>
        <v>#VALUE!</v>
      </c>
      <c r="AF23" s="50" t="e">
        <f>bdrateOld($D23:$D26,F23:F26,$N23:$N26,P23:P26)</f>
        <v>#VALUE!</v>
      </c>
      <c r="AG23" s="52" t="e">
        <f>bdrateOld($D23:$D26,G23:G26,$N23:$N26,Q23:Q26)</f>
        <v>#VALUE!</v>
      </c>
    </row>
    <row r="24" spans="1:33">
      <c r="A24" s="14"/>
      <c r="B24" s="14"/>
      <c r="C24" s="14">
        <v>27</v>
      </c>
      <c r="D24" s="15">
        <f>Reference!B22</f>
        <v>21537.9882</v>
      </c>
      <c r="E24" s="16">
        <f>Reference!C22</f>
        <v>43.6299</v>
      </c>
      <c r="F24" s="16">
        <f>Reference!D22</f>
        <v>37.0617</v>
      </c>
      <c r="G24" s="16">
        <f>Reference!E22</f>
        <v>38.0515</v>
      </c>
      <c r="H24" s="16">
        <f>Reference!F22</f>
        <v>83367</v>
      </c>
      <c r="I24" s="16">
        <f>Reference!G22</f>
        <v>63.373</v>
      </c>
      <c r="J24" s="16">
        <f t="shared" si="0"/>
        <v>23.1575</v>
      </c>
      <c r="K24" s="29">
        <f>Reference!H22</f>
        <v>4995336</v>
      </c>
      <c r="L24" s="30">
        <f>Reference!I22</f>
        <v>993000</v>
      </c>
      <c r="N24" s="15">
        <f>Test!B22</f>
        <v>0</v>
      </c>
      <c r="O24" s="16">
        <f>Test!C22</f>
        <v>0</v>
      </c>
      <c r="P24" s="16">
        <f>Test!D22</f>
        <v>0</v>
      </c>
      <c r="Q24" s="16">
        <f>Test!E22</f>
        <v>0</v>
      </c>
      <c r="R24" s="16">
        <f>Test!F22</f>
        <v>0</v>
      </c>
      <c r="S24" s="16">
        <f>Test!G22</f>
        <v>0</v>
      </c>
      <c r="T24" s="16">
        <f t="shared" si="1"/>
        <v>0</v>
      </c>
      <c r="U24" s="29">
        <f>Test!H22</f>
        <v>0</v>
      </c>
      <c r="V24" s="30">
        <f>Test!I22</f>
        <v>0</v>
      </c>
      <c r="W24" s="16">
        <f t="shared" si="2"/>
        <v>0</v>
      </c>
      <c r="X24" s="16">
        <f t="shared" si="3"/>
        <v>0</v>
      </c>
      <c r="Y24" s="16">
        <f t="shared" si="4"/>
        <v>0</v>
      </c>
      <c r="Z24" s="25">
        <f t="shared" si="4"/>
        <v>0</v>
      </c>
      <c r="AA24" s="42"/>
      <c r="AB24" s="43"/>
      <c r="AC24" s="44"/>
      <c r="AD24" s="44"/>
      <c r="AE24" s="43"/>
      <c r="AF24" s="44"/>
      <c r="AG24" s="45"/>
    </row>
    <row r="25" spans="1:33">
      <c r="A25" s="14"/>
      <c r="B25" s="14"/>
      <c r="C25" s="14">
        <v>32</v>
      </c>
      <c r="D25" s="15">
        <f>Reference!B23</f>
        <v>11310.9105</v>
      </c>
      <c r="E25" s="16">
        <f>Reference!C23</f>
        <v>39.95</v>
      </c>
      <c r="F25" s="16">
        <f>Reference!D23</f>
        <v>33.9071</v>
      </c>
      <c r="G25" s="16">
        <f>Reference!E23</f>
        <v>35.9276</v>
      </c>
      <c r="H25" s="16">
        <f>Reference!F23</f>
        <v>61054</v>
      </c>
      <c r="I25" s="16">
        <f>Reference!G23</f>
        <v>52.998</v>
      </c>
      <c r="J25" s="16">
        <f t="shared" si="0"/>
        <v>16.9594444444444</v>
      </c>
      <c r="K25" s="29">
        <f>Reference!H23</f>
        <v>4962052</v>
      </c>
      <c r="L25" s="30">
        <f>Reference!I23</f>
        <v>934568</v>
      </c>
      <c r="N25" s="15">
        <f>Test!B23</f>
        <v>0</v>
      </c>
      <c r="O25" s="16">
        <f>Test!C23</f>
        <v>0</v>
      </c>
      <c r="P25" s="16">
        <f>Test!D23</f>
        <v>0</v>
      </c>
      <c r="Q25" s="16">
        <f>Test!E23</f>
        <v>0</v>
      </c>
      <c r="R25" s="16">
        <f>Test!F23</f>
        <v>0</v>
      </c>
      <c r="S25" s="16">
        <f>Test!G23</f>
        <v>0</v>
      </c>
      <c r="T25" s="16">
        <f t="shared" si="1"/>
        <v>0</v>
      </c>
      <c r="U25" s="29">
        <f>Test!H23</f>
        <v>0</v>
      </c>
      <c r="V25" s="30">
        <f>Test!I23</f>
        <v>0</v>
      </c>
      <c r="W25" s="16">
        <f t="shared" si="2"/>
        <v>0</v>
      </c>
      <c r="X25" s="16">
        <f t="shared" si="3"/>
        <v>0</v>
      </c>
      <c r="Y25" s="16">
        <f t="shared" si="4"/>
        <v>0</v>
      </c>
      <c r="Z25" s="25">
        <f t="shared" si="4"/>
        <v>0</v>
      </c>
      <c r="AA25" s="42"/>
      <c r="AB25" s="43"/>
      <c r="AC25" s="44"/>
      <c r="AD25" s="44"/>
      <c r="AE25" s="43"/>
      <c r="AF25" s="44"/>
      <c r="AG25" s="45"/>
    </row>
    <row r="26" ht="12.75" customHeight="1" spans="1:33">
      <c r="A26" s="14"/>
      <c r="B26" s="17"/>
      <c r="C26" s="17">
        <v>37</v>
      </c>
      <c r="D26" s="18">
        <f>Reference!B24</f>
        <v>6158.6566</v>
      </c>
      <c r="E26" s="19">
        <f>Reference!C24</f>
        <v>36.4477</v>
      </c>
      <c r="F26" s="19">
        <f>Reference!D24</f>
        <v>32.1982</v>
      </c>
      <c r="G26" s="19">
        <f>Reference!E24</f>
        <v>34.5145</v>
      </c>
      <c r="H26" s="19">
        <f>Reference!F24</f>
        <v>44941</v>
      </c>
      <c r="I26" s="19">
        <f>Reference!G24</f>
        <v>48.227</v>
      </c>
      <c r="J26" s="19">
        <f t="shared" si="0"/>
        <v>12.4836111111111</v>
      </c>
      <c r="K26" s="29">
        <f>Reference!H24</f>
        <v>4938416</v>
      </c>
      <c r="L26" s="30">
        <f>Reference!I24</f>
        <v>919788</v>
      </c>
      <c r="N26" s="18">
        <f>Test!B24</f>
        <v>0</v>
      </c>
      <c r="O26" s="19">
        <f>Test!C24</f>
        <v>0</v>
      </c>
      <c r="P26" s="19">
        <f>Test!D24</f>
        <v>0</v>
      </c>
      <c r="Q26" s="19">
        <f>Test!E24</f>
        <v>0</v>
      </c>
      <c r="R26" s="19">
        <f>Test!F24</f>
        <v>0</v>
      </c>
      <c r="S26" s="19">
        <f>Test!G24</f>
        <v>0</v>
      </c>
      <c r="T26" s="19">
        <f t="shared" si="1"/>
        <v>0</v>
      </c>
      <c r="U26" s="29">
        <f>Test!H24</f>
        <v>0</v>
      </c>
      <c r="V26" s="30">
        <f>Test!I24</f>
        <v>0</v>
      </c>
      <c r="W26" s="16">
        <f t="shared" si="2"/>
        <v>0</v>
      </c>
      <c r="X26" s="16">
        <f t="shared" si="3"/>
        <v>0</v>
      </c>
      <c r="Y26" s="16">
        <f t="shared" si="4"/>
        <v>0</v>
      </c>
      <c r="Z26" s="25">
        <f t="shared" si="4"/>
        <v>0</v>
      </c>
      <c r="AA26" s="42"/>
      <c r="AB26" s="46"/>
      <c r="AC26" s="47"/>
      <c r="AD26" s="47"/>
      <c r="AE26" s="46"/>
      <c r="AF26" s="47"/>
      <c r="AG26" s="48"/>
    </row>
    <row r="27" spans="1:33">
      <c r="A27" s="11" t="s">
        <v>22</v>
      </c>
      <c r="B27" s="11" t="s">
        <v>72</v>
      </c>
      <c r="C27" s="11">
        <v>22</v>
      </c>
      <c r="D27" s="12">
        <f>Reference!B25</f>
        <v>9979.9896</v>
      </c>
      <c r="E27" s="13">
        <f>Reference!C25</f>
        <v>43.2664</v>
      </c>
      <c r="F27" s="13">
        <f>Reference!D25</f>
        <v>45.7555</v>
      </c>
      <c r="G27" s="13">
        <f>Reference!E25</f>
        <v>46.3871</v>
      </c>
      <c r="H27" s="13">
        <f>Reference!F25</f>
        <v>61865</v>
      </c>
      <c r="I27" s="13">
        <f>Reference!G25</f>
        <v>37.024</v>
      </c>
      <c r="J27" s="13">
        <f t="shared" si="0"/>
        <v>17.1847222222222</v>
      </c>
      <c r="K27" s="27">
        <f>Reference!H25</f>
        <v>3146248</v>
      </c>
      <c r="L27" s="28">
        <f>Reference!I25</f>
        <v>446880</v>
      </c>
      <c r="N27" s="12">
        <f>Test!B25</f>
        <v>0</v>
      </c>
      <c r="O27" s="13">
        <f>Test!C25</f>
        <v>0</v>
      </c>
      <c r="P27" s="13">
        <f>Test!D25</f>
        <v>0</v>
      </c>
      <c r="Q27" s="13">
        <f>Test!E25</f>
        <v>0</v>
      </c>
      <c r="R27" s="13">
        <f>Test!F25</f>
        <v>0</v>
      </c>
      <c r="S27" s="13">
        <f>Test!G25</f>
        <v>0</v>
      </c>
      <c r="T27" s="13">
        <f t="shared" si="1"/>
        <v>0</v>
      </c>
      <c r="U27" s="27">
        <f>Test!H25</f>
        <v>0</v>
      </c>
      <c r="V27" s="28">
        <f>Test!I25</f>
        <v>0</v>
      </c>
      <c r="W27" s="13">
        <f t="shared" si="2"/>
        <v>0</v>
      </c>
      <c r="X27" s="13">
        <f t="shared" si="3"/>
        <v>0</v>
      </c>
      <c r="Y27" s="13">
        <f t="shared" si="4"/>
        <v>0</v>
      </c>
      <c r="Z27" s="24">
        <f t="shared" si="4"/>
        <v>0</v>
      </c>
      <c r="AA27" s="38"/>
      <c r="AB27" s="39" t="e">
        <f>bdrate($D27:$D30,E27:E30,$N27:$N30,O27:O30)</f>
        <v>#VALUE!</v>
      </c>
      <c r="AC27" s="40" t="e">
        <f>bdrate($D27:$D30,F27:F30,$N27:$N30,P27:P30)</f>
        <v>#VALUE!</v>
      </c>
      <c r="AD27" s="41" t="e">
        <f>bdrate($D27:$D30,G27:G30,$N27:$N30,Q27:Q30)</f>
        <v>#VALUE!</v>
      </c>
      <c r="AE27" s="39" t="e">
        <f>bdrateOld($D27:$D30,E27:E30,$N27:$N30,O27:O30)</f>
        <v>#VALUE!</v>
      </c>
      <c r="AF27" s="40" t="e">
        <f>bdrateOld($D27:$D30,F27:F30,$N27:$N30,P27:P30)</f>
        <v>#VALUE!</v>
      </c>
      <c r="AG27" s="41" t="e">
        <f>bdrateOld($D27:$D30,G27:G30,$N27:$N30,Q27:Q30)</f>
        <v>#VALUE!</v>
      </c>
    </row>
    <row r="28" spans="1:33">
      <c r="A28" s="14" t="s">
        <v>111</v>
      </c>
      <c r="B28" s="14"/>
      <c r="C28" s="14">
        <v>27</v>
      </c>
      <c r="D28" s="15">
        <f>Reference!B26</f>
        <v>5165.1864</v>
      </c>
      <c r="E28" s="16">
        <f>Reference!C26</f>
        <v>40.5296</v>
      </c>
      <c r="F28" s="16">
        <f>Reference!D26</f>
        <v>43.754</v>
      </c>
      <c r="G28" s="16">
        <f>Reference!E26</f>
        <v>44.5298</v>
      </c>
      <c r="H28" s="16">
        <f>Reference!F26</f>
        <v>42574</v>
      </c>
      <c r="I28" s="16">
        <f>Reference!G26</f>
        <v>32.176</v>
      </c>
      <c r="J28" s="16">
        <f t="shared" si="0"/>
        <v>11.8261111111111</v>
      </c>
      <c r="K28" s="29">
        <f>Reference!H26</f>
        <v>3137232</v>
      </c>
      <c r="L28" s="30">
        <f>Reference!I26</f>
        <v>439516</v>
      </c>
      <c r="N28" s="15">
        <f>Test!B26</f>
        <v>0</v>
      </c>
      <c r="O28" s="16">
        <f>Test!C26</f>
        <v>0</v>
      </c>
      <c r="P28" s="16">
        <f>Test!D26</f>
        <v>0</v>
      </c>
      <c r="Q28" s="16">
        <f>Test!E26</f>
        <v>0</v>
      </c>
      <c r="R28" s="16">
        <f>Test!F26</f>
        <v>0</v>
      </c>
      <c r="S28" s="16">
        <f>Test!G26</f>
        <v>0</v>
      </c>
      <c r="T28" s="16">
        <f t="shared" si="1"/>
        <v>0</v>
      </c>
      <c r="U28" s="29">
        <f>Test!H26</f>
        <v>0</v>
      </c>
      <c r="V28" s="30">
        <f>Test!I26</f>
        <v>0</v>
      </c>
      <c r="W28" s="16">
        <f t="shared" si="2"/>
        <v>0</v>
      </c>
      <c r="X28" s="16">
        <f t="shared" si="3"/>
        <v>0</v>
      </c>
      <c r="Y28" s="16">
        <f t="shared" si="4"/>
        <v>0</v>
      </c>
      <c r="Z28" s="25">
        <f t="shared" si="4"/>
        <v>0</v>
      </c>
      <c r="AA28" s="42"/>
      <c r="AB28" s="43"/>
      <c r="AC28" s="44"/>
      <c r="AD28" s="45"/>
      <c r="AE28" s="43"/>
      <c r="AF28" s="44"/>
      <c r="AG28" s="45"/>
    </row>
    <row r="29" spans="1:33">
      <c r="A29" s="14"/>
      <c r="B29" s="14"/>
      <c r="C29" s="14">
        <v>32</v>
      </c>
      <c r="D29" s="15">
        <f>Reference!B27</f>
        <v>2861.0792</v>
      </c>
      <c r="E29" s="16">
        <f>Reference!C27</f>
        <v>38.1432</v>
      </c>
      <c r="F29" s="16">
        <f>Reference!D27</f>
        <v>41.984</v>
      </c>
      <c r="G29" s="16">
        <f>Reference!E27</f>
        <v>42.5225</v>
      </c>
      <c r="H29" s="16">
        <f>Reference!F27</f>
        <v>27258</v>
      </c>
      <c r="I29" s="16">
        <f>Reference!G27</f>
        <v>25.73</v>
      </c>
      <c r="J29" s="16">
        <f t="shared" si="0"/>
        <v>7.57166666666667</v>
      </c>
      <c r="K29" s="29">
        <f>Reference!H27</f>
        <v>3126840</v>
      </c>
      <c r="L29" s="30">
        <f>Reference!I27</f>
        <v>445296</v>
      </c>
      <c r="N29" s="15">
        <f>Test!B27</f>
        <v>0</v>
      </c>
      <c r="O29" s="16">
        <f>Test!C27</f>
        <v>0</v>
      </c>
      <c r="P29" s="16">
        <f>Test!D27</f>
        <v>0</v>
      </c>
      <c r="Q29" s="16">
        <f>Test!E27</f>
        <v>0</v>
      </c>
      <c r="R29" s="16">
        <f>Test!F27</f>
        <v>0</v>
      </c>
      <c r="S29" s="16">
        <f>Test!G27</f>
        <v>0</v>
      </c>
      <c r="T29" s="16">
        <f t="shared" si="1"/>
        <v>0</v>
      </c>
      <c r="U29" s="29">
        <f>Test!H27</f>
        <v>0</v>
      </c>
      <c r="V29" s="30">
        <f>Test!I27</f>
        <v>0</v>
      </c>
      <c r="W29" s="16">
        <f t="shared" si="2"/>
        <v>0</v>
      </c>
      <c r="X29" s="16">
        <f t="shared" si="3"/>
        <v>0</v>
      </c>
      <c r="Y29" s="16">
        <f t="shared" si="4"/>
        <v>0</v>
      </c>
      <c r="Z29" s="25">
        <f t="shared" si="4"/>
        <v>0</v>
      </c>
      <c r="AA29" s="42"/>
      <c r="AB29" s="43"/>
      <c r="AC29" s="44"/>
      <c r="AD29" s="45"/>
      <c r="AE29" s="43"/>
      <c r="AF29" s="44"/>
      <c r="AG29" s="45"/>
    </row>
    <row r="30" ht="12.75" customHeight="1" spans="1:33">
      <c r="A30" s="14"/>
      <c r="B30" s="17"/>
      <c r="C30" s="17">
        <v>37</v>
      </c>
      <c r="D30" s="18">
        <f>Reference!B28</f>
        <v>1538.1672</v>
      </c>
      <c r="E30" s="19">
        <f>Reference!C28</f>
        <v>35.6523</v>
      </c>
      <c r="F30" s="19">
        <f>Reference!D28</f>
        <v>40.7949</v>
      </c>
      <c r="G30" s="19">
        <f>Reference!E28</f>
        <v>41.341</v>
      </c>
      <c r="H30" s="19">
        <f>Reference!F28</f>
        <v>15992</v>
      </c>
      <c r="I30" s="19">
        <f>Reference!G28</f>
        <v>18.324</v>
      </c>
      <c r="J30" s="19">
        <f t="shared" si="0"/>
        <v>4.44222222222222</v>
      </c>
      <c r="K30" s="29">
        <f>Reference!H28</f>
        <v>3118896</v>
      </c>
      <c r="L30" s="30">
        <f>Reference!I28</f>
        <v>424376</v>
      </c>
      <c r="N30" s="18">
        <f>Test!B28</f>
        <v>0</v>
      </c>
      <c r="O30" s="19">
        <f>Test!C28</f>
        <v>0</v>
      </c>
      <c r="P30" s="19">
        <f>Test!D28</f>
        <v>0</v>
      </c>
      <c r="Q30" s="19">
        <f>Test!E28</f>
        <v>0</v>
      </c>
      <c r="R30" s="19">
        <f>Test!F28</f>
        <v>0</v>
      </c>
      <c r="S30" s="19">
        <f>Test!G28</f>
        <v>0</v>
      </c>
      <c r="T30" s="19">
        <f t="shared" si="1"/>
        <v>0</v>
      </c>
      <c r="U30" s="29">
        <f>Test!H28</f>
        <v>0</v>
      </c>
      <c r="V30" s="30">
        <f>Test!I28</f>
        <v>0</v>
      </c>
      <c r="W30" s="16">
        <f t="shared" si="2"/>
        <v>0</v>
      </c>
      <c r="X30" s="16">
        <f t="shared" si="3"/>
        <v>0</v>
      </c>
      <c r="Y30" s="16">
        <f t="shared" si="4"/>
        <v>0</v>
      </c>
      <c r="Z30" s="25">
        <f t="shared" si="4"/>
        <v>0</v>
      </c>
      <c r="AA30" s="42"/>
      <c r="AB30" s="46"/>
      <c r="AC30" s="47"/>
      <c r="AD30" s="48"/>
      <c r="AE30" s="46"/>
      <c r="AF30" s="47"/>
      <c r="AG30" s="48"/>
    </row>
    <row r="31" spans="1:33">
      <c r="A31" s="14"/>
      <c r="B31" s="11" t="s">
        <v>73</v>
      </c>
      <c r="C31" s="11">
        <v>22</v>
      </c>
      <c r="D31" s="12">
        <f>Reference!B29</f>
        <v>5740.5848</v>
      </c>
      <c r="E31" s="13">
        <f>Reference!C29</f>
        <v>46.5834</v>
      </c>
      <c r="F31" s="13">
        <f>Reference!D29</f>
        <v>49.6866</v>
      </c>
      <c r="G31" s="13">
        <f>Reference!E29</f>
        <v>50.5469</v>
      </c>
      <c r="H31" s="13">
        <f>Reference!F29</f>
        <v>46960</v>
      </c>
      <c r="I31" s="13">
        <f>Reference!G29</f>
        <v>38.657</v>
      </c>
      <c r="J31" s="13">
        <f t="shared" si="0"/>
        <v>13.0444444444444</v>
      </c>
      <c r="K31" s="27">
        <f>Reference!H29</f>
        <v>3142100</v>
      </c>
      <c r="L31" s="28">
        <f>Reference!I29</f>
        <v>448276</v>
      </c>
      <c r="N31" s="12">
        <f>Test!B29</f>
        <v>0</v>
      </c>
      <c r="O31" s="13">
        <f>Test!C29</f>
        <v>0</v>
      </c>
      <c r="P31" s="13">
        <f>Test!D29</f>
        <v>0</v>
      </c>
      <c r="Q31" s="13">
        <f>Test!E29</f>
        <v>0</v>
      </c>
      <c r="R31" s="13">
        <f>Test!F29</f>
        <v>0</v>
      </c>
      <c r="S31" s="13">
        <f>Test!G29</f>
        <v>0</v>
      </c>
      <c r="T31" s="13">
        <f t="shared" si="1"/>
        <v>0</v>
      </c>
      <c r="U31" s="27">
        <f>Test!H29</f>
        <v>0</v>
      </c>
      <c r="V31" s="28">
        <f>Test!I29</f>
        <v>0</v>
      </c>
      <c r="W31" s="16">
        <f t="shared" si="2"/>
        <v>0</v>
      </c>
      <c r="X31" s="16">
        <f t="shared" si="3"/>
        <v>0</v>
      </c>
      <c r="Y31" s="16">
        <f t="shared" si="4"/>
        <v>0</v>
      </c>
      <c r="Z31" s="25">
        <f t="shared" si="4"/>
        <v>0</v>
      </c>
      <c r="AA31" s="42"/>
      <c r="AB31" s="39" t="e">
        <f>bdrate($D31:$D34,E31:E34,$N31:$N34,O31:O34)</f>
        <v>#VALUE!</v>
      </c>
      <c r="AC31" s="40" t="e">
        <f>bdrate($D31:$D34,F31:F34,$N31:$N34,P31:P34)</f>
        <v>#VALUE!</v>
      </c>
      <c r="AD31" s="40" t="e">
        <f>bdrate($D31:$D34,G31:G34,$N31:$N34,Q31:Q34)</f>
        <v>#VALUE!</v>
      </c>
      <c r="AE31" s="49" t="e">
        <f>bdrateOld($D31:$D34,E31:E34,$N31:$N34,O31:O34)</f>
        <v>#VALUE!</v>
      </c>
      <c r="AF31" s="50" t="e">
        <f>bdrateOld($D31:$D34,F31:F34,$N31:$N34,P31:P34)</f>
        <v>#VALUE!</v>
      </c>
      <c r="AG31" s="52" t="e">
        <f>bdrateOld($D31:$D34,G31:G34,$N31:$N34,Q31:Q34)</f>
        <v>#VALUE!</v>
      </c>
    </row>
    <row r="32" spans="1:33">
      <c r="A32" s="14"/>
      <c r="B32" s="14"/>
      <c r="C32" s="14">
        <v>27</v>
      </c>
      <c r="D32" s="15">
        <f>Reference!B30</f>
        <v>3363.3616</v>
      </c>
      <c r="E32" s="16">
        <f>Reference!C30</f>
        <v>43.8451</v>
      </c>
      <c r="F32" s="16">
        <f>Reference!D30</f>
        <v>47.3626</v>
      </c>
      <c r="G32" s="16">
        <f>Reference!E30</f>
        <v>47.7351</v>
      </c>
      <c r="H32" s="16">
        <f>Reference!F30</f>
        <v>32655</v>
      </c>
      <c r="I32" s="16">
        <f>Reference!G30</f>
        <v>34.082</v>
      </c>
      <c r="J32" s="16">
        <f t="shared" si="0"/>
        <v>9.07083333333333</v>
      </c>
      <c r="K32" s="29">
        <f>Reference!H30</f>
        <v>3129664</v>
      </c>
      <c r="L32" s="30">
        <f>Reference!I30</f>
        <v>434984</v>
      </c>
      <c r="N32" s="15">
        <f>Test!B30</f>
        <v>0</v>
      </c>
      <c r="O32" s="16">
        <f>Test!C30</f>
        <v>0</v>
      </c>
      <c r="P32" s="16">
        <f>Test!D30</f>
        <v>0</v>
      </c>
      <c r="Q32" s="16">
        <f>Test!E30</f>
        <v>0</v>
      </c>
      <c r="R32" s="16">
        <f>Test!F30</f>
        <v>0</v>
      </c>
      <c r="S32" s="16">
        <f>Test!G30</f>
        <v>0</v>
      </c>
      <c r="T32" s="16">
        <f t="shared" si="1"/>
        <v>0</v>
      </c>
      <c r="U32" s="29">
        <f>Test!H30</f>
        <v>0</v>
      </c>
      <c r="V32" s="30">
        <f>Test!I30</f>
        <v>0</v>
      </c>
      <c r="W32" s="16">
        <f t="shared" si="2"/>
        <v>0</v>
      </c>
      <c r="X32" s="16">
        <f t="shared" si="3"/>
        <v>0</v>
      </c>
      <c r="Y32" s="16">
        <f t="shared" si="4"/>
        <v>0</v>
      </c>
      <c r="Z32" s="25">
        <f t="shared" si="4"/>
        <v>0</v>
      </c>
      <c r="AA32" s="42"/>
      <c r="AB32" s="43"/>
      <c r="AC32" s="44"/>
      <c r="AD32" s="44"/>
      <c r="AE32" s="43"/>
      <c r="AF32" s="44"/>
      <c r="AG32" s="45"/>
    </row>
    <row r="33" spans="1:33">
      <c r="A33" s="14"/>
      <c r="B33" s="14"/>
      <c r="C33" s="14">
        <v>32</v>
      </c>
      <c r="D33" s="15">
        <f>Reference!B31</f>
        <v>1894.532</v>
      </c>
      <c r="E33" s="16">
        <f>Reference!C31</f>
        <v>40.8306</v>
      </c>
      <c r="F33" s="16">
        <f>Reference!D31</f>
        <v>44.8501</v>
      </c>
      <c r="G33" s="16">
        <f>Reference!E31</f>
        <v>44.7468</v>
      </c>
      <c r="H33" s="16">
        <f>Reference!F31</f>
        <v>18073</v>
      </c>
      <c r="I33" s="16">
        <f>Reference!G31</f>
        <v>23.058</v>
      </c>
      <c r="J33" s="16">
        <f t="shared" si="0"/>
        <v>5.02027777777778</v>
      </c>
      <c r="K33" s="29">
        <f>Reference!H31</f>
        <v>3118780</v>
      </c>
      <c r="L33" s="30">
        <f>Reference!I31</f>
        <v>456880</v>
      </c>
      <c r="N33" s="15">
        <f>Test!B31</f>
        <v>0</v>
      </c>
      <c r="O33" s="16">
        <f>Test!C31</f>
        <v>0</v>
      </c>
      <c r="P33" s="16">
        <f>Test!D31</f>
        <v>0</v>
      </c>
      <c r="Q33" s="16">
        <f>Test!E31</f>
        <v>0</v>
      </c>
      <c r="R33" s="16">
        <f>Test!F31</f>
        <v>0</v>
      </c>
      <c r="S33" s="16">
        <f>Test!G31</f>
        <v>0</v>
      </c>
      <c r="T33" s="16">
        <f t="shared" si="1"/>
        <v>0</v>
      </c>
      <c r="U33" s="29">
        <f>Test!H31</f>
        <v>0</v>
      </c>
      <c r="V33" s="30">
        <f>Test!I31</f>
        <v>0</v>
      </c>
      <c r="W33" s="16">
        <f t="shared" si="2"/>
        <v>0</v>
      </c>
      <c r="X33" s="16">
        <f t="shared" si="3"/>
        <v>0</v>
      </c>
      <c r="Y33" s="16">
        <f t="shared" si="4"/>
        <v>0</v>
      </c>
      <c r="Z33" s="25">
        <f t="shared" si="4"/>
        <v>0</v>
      </c>
      <c r="AA33" s="42"/>
      <c r="AB33" s="43"/>
      <c r="AC33" s="44"/>
      <c r="AD33" s="44"/>
      <c r="AE33" s="43"/>
      <c r="AF33" s="44"/>
      <c r="AG33" s="45"/>
    </row>
    <row r="34" ht="12.75" customHeight="1" spans="1:33">
      <c r="A34" s="14"/>
      <c r="B34" s="17"/>
      <c r="C34" s="17">
        <v>37</v>
      </c>
      <c r="D34" s="18">
        <f>Reference!B32</f>
        <v>1057.8504</v>
      </c>
      <c r="E34" s="19">
        <f>Reference!C32</f>
        <v>37.9689</v>
      </c>
      <c r="F34" s="19">
        <f>Reference!D32</f>
        <v>43.2661</v>
      </c>
      <c r="G34" s="19">
        <f>Reference!E32</f>
        <v>43.2263</v>
      </c>
      <c r="H34" s="19">
        <f>Reference!F32</f>
        <v>10801</v>
      </c>
      <c r="I34" s="19">
        <f>Reference!G32</f>
        <v>15.716</v>
      </c>
      <c r="J34" s="19">
        <f t="shared" si="0"/>
        <v>3.00027777777778</v>
      </c>
      <c r="K34" s="29">
        <f>Reference!H32</f>
        <v>3091716</v>
      </c>
      <c r="L34" s="30">
        <f>Reference!I32</f>
        <v>422944</v>
      </c>
      <c r="N34" s="18">
        <f>Test!B32</f>
        <v>0</v>
      </c>
      <c r="O34" s="19">
        <f>Test!C32</f>
        <v>0</v>
      </c>
      <c r="P34" s="19">
        <f>Test!D32</f>
        <v>0</v>
      </c>
      <c r="Q34" s="19">
        <f>Test!E32</f>
        <v>0</v>
      </c>
      <c r="R34" s="19">
        <f>Test!F32</f>
        <v>0</v>
      </c>
      <c r="S34" s="19">
        <f>Test!G32</f>
        <v>0</v>
      </c>
      <c r="T34" s="19">
        <f t="shared" si="1"/>
        <v>0</v>
      </c>
      <c r="U34" s="29">
        <f>Test!H32</f>
        <v>0</v>
      </c>
      <c r="V34" s="30">
        <f>Test!I32</f>
        <v>0</v>
      </c>
      <c r="W34" s="16">
        <f t="shared" si="2"/>
        <v>0</v>
      </c>
      <c r="X34" s="16">
        <f t="shared" si="3"/>
        <v>0</v>
      </c>
      <c r="Y34" s="16">
        <f t="shared" si="4"/>
        <v>0</v>
      </c>
      <c r="Z34" s="25">
        <f t="shared" si="4"/>
        <v>0</v>
      </c>
      <c r="AA34" s="42"/>
      <c r="AB34" s="46"/>
      <c r="AC34" s="47"/>
      <c r="AD34" s="47"/>
      <c r="AE34" s="46"/>
      <c r="AF34" s="47"/>
      <c r="AG34" s="48"/>
    </row>
    <row r="35" spans="1:33">
      <c r="A35" s="14"/>
      <c r="B35" s="11" t="s">
        <v>74</v>
      </c>
      <c r="C35" s="11">
        <v>22</v>
      </c>
      <c r="D35" s="12">
        <f>Reference!B33</f>
        <v>11835.9611</v>
      </c>
      <c r="E35" s="13">
        <f>Reference!C33</f>
        <v>41.3529</v>
      </c>
      <c r="F35" s="13">
        <f>Reference!D33</f>
        <v>41.7943</v>
      </c>
      <c r="G35" s="13">
        <f>Reference!E33</f>
        <v>45.1309</v>
      </c>
      <c r="H35" s="13">
        <f>Reference!F33</f>
        <v>62131</v>
      </c>
      <c r="I35" s="13">
        <f>Reference!G33</f>
        <v>43.872</v>
      </c>
      <c r="J35" s="13">
        <f t="shared" ref="J35:J66" si="5">H35/3600</f>
        <v>17.2586111111111</v>
      </c>
      <c r="K35" s="27">
        <f>Reference!H33</f>
        <v>3160576</v>
      </c>
      <c r="L35" s="28">
        <f>Reference!I33</f>
        <v>463164</v>
      </c>
      <c r="N35" s="12">
        <f>Test!B33</f>
        <v>0</v>
      </c>
      <c r="O35" s="13">
        <f>Test!C33</f>
        <v>0</v>
      </c>
      <c r="P35" s="13">
        <f>Test!D33</f>
        <v>0</v>
      </c>
      <c r="Q35" s="13">
        <f>Test!E33</f>
        <v>0</v>
      </c>
      <c r="R35" s="13">
        <f>Test!F33</f>
        <v>0</v>
      </c>
      <c r="S35" s="13">
        <f>Test!G33</f>
        <v>0</v>
      </c>
      <c r="T35" s="13">
        <f t="shared" ref="T35:T66" si="6">R35/3600</f>
        <v>0</v>
      </c>
      <c r="U35" s="27">
        <f>Test!H33</f>
        <v>0</v>
      </c>
      <c r="V35" s="28">
        <f>Test!I33</f>
        <v>0</v>
      </c>
      <c r="W35" s="16">
        <f t="shared" ref="W35:W66" si="7">R35/H35</f>
        <v>0</v>
      </c>
      <c r="X35" s="16">
        <f t="shared" ref="X35:X66" si="8">S35/I35</f>
        <v>0</v>
      </c>
      <c r="Y35" s="16">
        <f t="shared" si="4"/>
        <v>0</v>
      </c>
      <c r="Z35" s="25">
        <f t="shared" si="4"/>
        <v>0</v>
      </c>
      <c r="AA35" s="42"/>
      <c r="AB35" s="39" t="e">
        <f>bdrate($D35:$D38,E35:E38,$N35:$N38,O35:O38)</f>
        <v>#VALUE!</v>
      </c>
      <c r="AC35" s="40" t="e">
        <f>bdrate($D35:$D38,F35:F38,$N35:$N38,P35:P38)</f>
        <v>#VALUE!</v>
      </c>
      <c r="AD35" s="40" t="e">
        <f>bdrate($D35:$D38,G35:G38,$N35:$N38,Q35:Q38)</f>
        <v>#VALUE!</v>
      </c>
      <c r="AE35" s="49" t="e">
        <f>bdrateOld($D35:$D38,E35:E38,$N35:$N38,O35:O38)</f>
        <v>#VALUE!</v>
      </c>
      <c r="AF35" s="50" t="e">
        <f>bdrateOld($D35:$D38,F35:F38,$N35:$N38,P35:P38)</f>
        <v>#VALUE!</v>
      </c>
      <c r="AG35" s="52" t="e">
        <f>bdrateOld($D35:$D38,G35:G38,$N35:$N38,Q35:Q38)</f>
        <v>#VALUE!</v>
      </c>
    </row>
    <row r="36" spans="1:33">
      <c r="A36" s="14"/>
      <c r="B36" s="14"/>
      <c r="C36" s="14">
        <v>27</v>
      </c>
      <c r="D36" s="15">
        <f>Reference!B34</f>
        <v>4836.1127</v>
      </c>
      <c r="E36" s="16">
        <f>Reference!C34</f>
        <v>38.3871</v>
      </c>
      <c r="F36" s="16">
        <f>Reference!D34</f>
        <v>39.9582</v>
      </c>
      <c r="G36" s="16">
        <f>Reference!E34</f>
        <v>43.2202</v>
      </c>
      <c r="H36" s="16">
        <f>Reference!F34</f>
        <v>44290</v>
      </c>
      <c r="I36" s="16">
        <f>Reference!G34</f>
        <v>33.231</v>
      </c>
      <c r="J36" s="16">
        <f t="shared" si="5"/>
        <v>12.3027777777778</v>
      </c>
      <c r="K36" s="29">
        <f>Reference!H34</f>
        <v>3136964</v>
      </c>
      <c r="L36" s="30">
        <f>Reference!I34</f>
        <v>451772</v>
      </c>
      <c r="N36" s="15">
        <f>Test!B34</f>
        <v>0</v>
      </c>
      <c r="O36" s="16">
        <f>Test!C34</f>
        <v>0</v>
      </c>
      <c r="P36" s="16">
        <f>Test!D34</f>
        <v>0</v>
      </c>
      <c r="Q36" s="16">
        <f>Test!E34</f>
        <v>0</v>
      </c>
      <c r="R36" s="16">
        <f>Test!F34</f>
        <v>0</v>
      </c>
      <c r="S36" s="16">
        <f>Test!G34</f>
        <v>0</v>
      </c>
      <c r="T36" s="16">
        <f t="shared" si="6"/>
        <v>0</v>
      </c>
      <c r="U36" s="29">
        <f>Test!H34</f>
        <v>0</v>
      </c>
      <c r="V36" s="30">
        <f>Test!I34</f>
        <v>0</v>
      </c>
      <c r="W36" s="16">
        <f t="shared" si="7"/>
        <v>0</v>
      </c>
      <c r="X36" s="16">
        <f t="shared" si="8"/>
        <v>0</v>
      </c>
      <c r="Y36" s="16">
        <f t="shared" si="4"/>
        <v>0</v>
      </c>
      <c r="Z36" s="25">
        <f t="shared" si="4"/>
        <v>0</v>
      </c>
      <c r="AA36" s="42"/>
      <c r="AB36" s="43"/>
      <c r="AC36" s="44"/>
      <c r="AD36" s="44"/>
      <c r="AE36" s="43"/>
      <c r="AF36" s="44"/>
      <c r="AG36" s="45"/>
    </row>
    <row r="37" spans="1:33">
      <c r="A37" s="14"/>
      <c r="B37" s="14"/>
      <c r="C37" s="14">
        <v>32</v>
      </c>
      <c r="D37" s="15">
        <f>Reference!B35</f>
        <v>2576.4476</v>
      </c>
      <c r="E37" s="16">
        <f>Reference!C35</f>
        <v>36.3866</v>
      </c>
      <c r="F37" s="16">
        <f>Reference!D35</f>
        <v>38.8501</v>
      </c>
      <c r="G37" s="16">
        <f>Reference!E35</f>
        <v>40.9091</v>
      </c>
      <c r="H37" s="16">
        <f>Reference!F35</f>
        <v>27260</v>
      </c>
      <c r="I37" s="16">
        <f>Reference!G35</f>
        <v>25.856</v>
      </c>
      <c r="J37" s="16">
        <f t="shared" si="5"/>
        <v>7.57222222222222</v>
      </c>
      <c r="K37" s="29">
        <f>Reference!H35</f>
        <v>3123304</v>
      </c>
      <c r="L37" s="30">
        <f>Reference!I35</f>
        <v>435676</v>
      </c>
      <c r="N37" s="15">
        <f>Test!B35</f>
        <v>0</v>
      </c>
      <c r="O37" s="16">
        <f>Test!C35</f>
        <v>0</v>
      </c>
      <c r="P37" s="16">
        <f>Test!D35</f>
        <v>0</v>
      </c>
      <c r="Q37" s="16">
        <f>Test!E35</f>
        <v>0</v>
      </c>
      <c r="R37" s="16">
        <f>Test!F35</f>
        <v>0</v>
      </c>
      <c r="S37" s="16">
        <f>Test!G35</f>
        <v>0</v>
      </c>
      <c r="T37" s="16">
        <f t="shared" si="6"/>
        <v>0</v>
      </c>
      <c r="U37" s="29">
        <f>Test!H35</f>
        <v>0</v>
      </c>
      <c r="V37" s="30">
        <f>Test!I35</f>
        <v>0</v>
      </c>
      <c r="W37" s="16">
        <f t="shared" si="7"/>
        <v>0</v>
      </c>
      <c r="X37" s="16">
        <f t="shared" si="8"/>
        <v>0</v>
      </c>
      <c r="Y37" s="16">
        <f t="shared" si="4"/>
        <v>0</v>
      </c>
      <c r="Z37" s="25">
        <f t="shared" si="4"/>
        <v>0</v>
      </c>
      <c r="AA37" s="42"/>
      <c r="AB37" s="43"/>
      <c r="AC37" s="44"/>
      <c r="AD37" s="44"/>
      <c r="AE37" s="43"/>
      <c r="AF37" s="44"/>
      <c r="AG37" s="45"/>
    </row>
    <row r="38" ht="12.75" customHeight="1" spans="1:33">
      <c r="A38" s="14"/>
      <c r="B38" s="17"/>
      <c r="C38" s="17">
        <v>37</v>
      </c>
      <c r="D38" s="18">
        <f>Reference!B36</f>
        <v>1399.4571</v>
      </c>
      <c r="E38" s="19">
        <f>Reference!C36</f>
        <v>34.1209</v>
      </c>
      <c r="F38" s="19">
        <f>Reference!D36</f>
        <v>37.8916</v>
      </c>
      <c r="G38" s="19">
        <f>Reference!E36</f>
        <v>39.3297</v>
      </c>
      <c r="H38" s="19">
        <f>Reference!F36</f>
        <v>15997</v>
      </c>
      <c r="I38" s="19">
        <f>Reference!G36</f>
        <v>20.663</v>
      </c>
      <c r="J38" s="19">
        <f t="shared" si="5"/>
        <v>4.44361111111111</v>
      </c>
      <c r="K38" s="29">
        <f>Reference!H36</f>
        <v>3112872</v>
      </c>
      <c r="L38" s="30">
        <f>Reference!I36</f>
        <v>430428</v>
      </c>
      <c r="N38" s="18">
        <f>Test!B36</f>
        <v>0</v>
      </c>
      <c r="O38" s="19">
        <f>Test!C36</f>
        <v>0</v>
      </c>
      <c r="P38" s="19">
        <f>Test!D36</f>
        <v>0</v>
      </c>
      <c r="Q38" s="19">
        <f>Test!E36</f>
        <v>0</v>
      </c>
      <c r="R38" s="19">
        <f>Test!F36</f>
        <v>0</v>
      </c>
      <c r="S38" s="19">
        <f>Test!G36</f>
        <v>0</v>
      </c>
      <c r="T38" s="19">
        <f t="shared" si="6"/>
        <v>0</v>
      </c>
      <c r="U38" s="29">
        <f>Test!H36</f>
        <v>0</v>
      </c>
      <c r="V38" s="30">
        <f>Test!I36</f>
        <v>0</v>
      </c>
      <c r="W38" s="16">
        <f t="shared" si="7"/>
        <v>0</v>
      </c>
      <c r="X38" s="16">
        <f t="shared" si="8"/>
        <v>0</v>
      </c>
      <c r="Y38" s="16">
        <f t="shared" si="4"/>
        <v>0</v>
      </c>
      <c r="Z38" s="25">
        <f t="shared" si="4"/>
        <v>0</v>
      </c>
      <c r="AA38" s="42"/>
      <c r="AB38" s="46"/>
      <c r="AC38" s="47"/>
      <c r="AD38" s="47"/>
      <c r="AE38" s="46"/>
      <c r="AF38" s="47"/>
      <c r="AG38" s="48"/>
    </row>
    <row r="39" spans="1:33">
      <c r="A39" s="14"/>
      <c r="B39" s="11" t="s">
        <v>79</v>
      </c>
      <c r="C39" s="11">
        <v>22</v>
      </c>
      <c r="D39" s="12">
        <f>Reference!B37</f>
        <v>8467.5095</v>
      </c>
      <c r="E39" s="13">
        <f>Reference!C37</f>
        <v>41.9702</v>
      </c>
      <c r="F39" s="13">
        <f>Reference!D37</f>
        <v>45.0935</v>
      </c>
      <c r="G39" s="13">
        <f>Reference!E37</f>
        <v>47.32</v>
      </c>
      <c r="H39" s="13">
        <f>Reference!F37</f>
        <v>48830</v>
      </c>
      <c r="I39" s="13">
        <f>Reference!G37</f>
        <v>39.107</v>
      </c>
      <c r="J39" s="13">
        <f t="shared" si="5"/>
        <v>13.5638888888889</v>
      </c>
      <c r="K39" s="27">
        <f>Reference!H37</f>
        <v>3170180</v>
      </c>
      <c r="L39" s="28">
        <f>Reference!I37</f>
        <v>464588</v>
      </c>
      <c r="N39" s="12">
        <f>Test!B37</f>
        <v>0</v>
      </c>
      <c r="O39" s="13">
        <f>Test!C37</f>
        <v>0</v>
      </c>
      <c r="P39" s="13">
        <f>Test!D37</f>
        <v>0</v>
      </c>
      <c r="Q39" s="13">
        <f>Test!E37</f>
        <v>0</v>
      </c>
      <c r="R39" s="13">
        <f>Test!F37</f>
        <v>0</v>
      </c>
      <c r="S39" s="13">
        <f>Test!G37</f>
        <v>0</v>
      </c>
      <c r="T39" s="13">
        <f t="shared" si="6"/>
        <v>0</v>
      </c>
      <c r="U39" s="27">
        <f>Test!H37</f>
        <v>0</v>
      </c>
      <c r="V39" s="28">
        <f>Test!I37</f>
        <v>0</v>
      </c>
      <c r="W39" s="16">
        <f t="shared" si="7"/>
        <v>0</v>
      </c>
      <c r="X39" s="16">
        <f t="shared" si="8"/>
        <v>0</v>
      </c>
      <c r="Y39" s="16">
        <f t="shared" si="4"/>
        <v>0</v>
      </c>
      <c r="Z39" s="25">
        <f t="shared" si="4"/>
        <v>0</v>
      </c>
      <c r="AA39" s="42"/>
      <c r="AB39" s="39" t="e">
        <f>bdrate($D39:$D42,E39:E42,$N39:$N42,O39:O42)</f>
        <v>#VALUE!</v>
      </c>
      <c r="AC39" s="40" t="e">
        <f>bdrate($D39:$D42,F39:F42,$N39:$N42,P39:P42)</f>
        <v>#VALUE!</v>
      </c>
      <c r="AD39" s="40" t="e">
        <f>bdrate($D39:$D42,G39:G42,$N39:$N42,Q39:Q42)</f>
        <v>#VALUE!</v>
      </c>
      <c r="AE39" s="49" t="e">
        <f>bdrateOld($D39:$D42,E39:E42,$N39:$N42,O39:O42)</f>
        <v>#VALUE!</v>
      </c>
      <c r="AF39" s="50" t="e">
        <f>bdrateOld($D39:$D42,F39:F42,$N39:$N42,P39:P42)</f>
        <v>#VALUE!</v>
      </c>
      <c r="AG39" s="52" t="e">
        <f>bdrateOld($D39:$D42,G39:G42,$N39:$N42,Q39:Q42)</f>
        <v>#VALUE!</v>
      </c>
    </row>
    <row r="40" spans="1:33">
      <c r="A40" s="14"/>
      <c r="B40" s="14"/>
      <c r="C40" s="14">
        <v>27</v>
      </c>
      <c r="D40" s="15">
        <f>Reference!B38</f>
        <v>3041.8087</v>
      </c>
      <c r="E40" s="16">
        <f>Reference!C38</f>
        <v>39.2943</v>
      </c>
      <c r="F40" s="16">
        <f>Reference!D38</f>
        <v>43.886</v>
      </c>
      <c r="G40" s="16">
        <f>Reference!E38</f>
        <v>45.3429</v>
      </c>
      <c r="H40" s="16">
        <f>Reference!F38</f>
        <v>30252</v>
      </c>
      <c r="I40" s="16">
        <f>Reference!G38</f>
        <v>27.696</v>
      </c>
      <c r="J40" s="16">
        <f t="shared" si="5"/>
        <v>8.40333333333333</v>
      </c>
      <c r="K40" s="29">
        <f>Reference!H38</f>
        <v>3136940</v>
      </c>
      <c r="L40" s="30">
        <f>Reference!I38</f>
        <v>440700</v>
      </c>
      <c r="N40" s="15">
        <f>Test!B38</f>
        <v>0</v>
      </c>
      <c r="O40" s="16">
        <f>Test!C38</f>
        <v>0</v>
      </c>
      <c r="P40" s="16">
        <f>Test!D38</f>
        <v>0</v>
      </c>
      <c r="Q40" s="16">
        <f>Test!E38</f>
        <v>0</v>
      </c>
      <c r="R40" s="16">
        <f>Test!F38</f>
        <v>0</v>
      </c>
      <c r="S40" s="16">
        <f>Test!G38</f>
        <v>0</v>
      </c>
      <c r="T40" s="16">
        <f t="shared" si="6"/>
        <v>0</v>
      </c>
      <c r="U40" s="29">
        <f>Test!H38</f>
        <v>0</v>
      </c>
      <c r="V40" s="30">
        <f>Test!I38</f>
        <v>0</v>
      </c>
      <c r="W40" s="16">
        <f t="shared" si="7"/>
        <v>0</v>
      </c>
      <c r="X40" s="16">
        <f t="shared" si="8"/>
        <v>0</v>
      </c>
      <c r="Y40" s="16">
        <f t="shared" si="4"/>
        <v>0</v>
      </c>
      <c r="Z40" s="25">
        <f t="shared" si="4"/>
        <v>0</v>
      </c>
      <c r="AA40" s="42"/>
      <c r="AB40" s="43"/>
      <c r="AC40" s="44"/>
      <c r="AD40" s="44"/>
      <c r="AE40" s="43"/>
      <c r="AF40" s="44"/>
      <c r="AG40" s="45"/>
    </row>
    <row r="41" spans="1:33">
      <c r="A41" s="14"/>
      <c r="B41" s="14"/>
      <c r="C41" s="14">
        <v>32</v>
      </c>
      <c r="D41" s="15">
        <f>Reference!B39</f>
        <v>1501.0968</v>
      </c>
      <c r="E41" s="16">
        <f>Reference!C39</f>
        <v>37.6982</v>
      </c>
      <c r="F41" s="16">
        <f>Reference!D39</f>
        <v>42.3116</v>
      </c>
      <c r="G41" s="16">
        <f>Reference!E39</f>
        <v>42.8976</v>
      </c>
      <c r="H41" s="16">
        <f>Reference!F39</f>
        <v>18198</v>
      </c>
      <c r="I41" s="16">
        <f>Reference!G39</f>
        <v>23.944</v>
      </c>
      <c r="J41" s="16">
        <f t="shared" si="5"/>
        <v>5.055</v>
      </c>
      <c r="K41" s="29">
        <f>Reference!H39</f>
        <v>3119288</v>
      </c>
      <c r="L41" s="30">
        <f>Reference!I39</f>
        <v>430424</v>
      </c>
      <c r="N41" s="15">
        <f>Test!B39</f>
        <v>0</v>
      </c>
      <c r="O41" s="16">
        <f>Test!C39</f>
        <v>0</v>
      </c>
      <c r="P41" s="16">
        <f>Test!D39</f>
        <v>0</v>
      </c>
      <c r="Q41" s="16">
        <f>Test!E39</f>
        <v>0</v>
      </c>
      <c r="R41" s="16">
        <f>Test!F39</f>
        <v>0</v>
      </c>
      <c r="S41" s="16">
        <f>Test!G39</f>
        <v>0</v>
      </c>
      <c r="T41" s="16">
        <f t="shared" si="6"/>
        <v>0</v>
      </c>
      <c r="U41" s="29">
        <f>Test!H39</f>
        <v>0</v>
      </c>
      <c r="V41" s="30">
        <f>Test!I39</f>
        <v>0</v>
      </c>
      <c r="W41" s="16">
        <f t="shared" si="7"/>
        <v>0</v>
      </c>
      <c r="X41" s="16">
        <f t="shared" si="8"/>
        <v>0</v>
      </c>
      <c r="Y41" s="16">
        <f t="shared" si="4"/>
        <v>0</v>
      </c>
      <c r="Z41" s="25">
        <f t="shared" si="4"/>
        <v>0</v>
      </c>
      <c r="AA41" s="42"/>
      <c r="AB41" s="43"/>
      <c r="AC41" s="44"/>
      <c r="AD41" s="44"/>
      <c r="AE41" s="43"/>
      <c r="AF41" s="44"/>
      <c r="AG41" s="45"/>
    </row>
    <row r="42" ht="12.75" customHeight="1" spans="1:33">
      <c r="A42" s="14"/>
      <c r="B42" s="17"/>
      <c r="C42" s="17">
        <v>37</v>
      </c>
      <c r="D42" s="18">
        <f>Reference!B40</f>
        <v>847.6214</v>
      </c>
      <c r="E42" s="19">
        <f>Reference!C40</f>
        <v>35.9884</v>
      </c>
      <c r="F42" s="19">
        <f>Reference!D40</f>
        <v>41.192</v>
      </c>
      <c r="G42" s="19">
        <f>Reference!E40</f>
        <v>41.2549</v>
      </c>
      <c r="H42" s="19">
        <f>Reference!F40</f>
        <v>11076</v>
      </c>
      <c r="I42" s="19">
        <f>Reference!G40</f>
        <v>21.402</v>
      </c>
      <c r="J42" s="19">
        <f t="shared" si="5"/>
        <v>3.07666666666667</v>
      </c>
      <c r="K42" s="29">
        <f>Reference!H40</f>
        <v>3109568</v>
      </c>
      <c r="L42" s="30">
        <f>Reference!I40</f>
        <v>425196</v>
      </c>
      <c r="N42" s="18">
        <f>Test!B40</f>
        <v>0</v>
      </c>
      <c r="O42" s="19">
        <f>Test!C40</f>
        <v>0</v>
      </c>
      <c r="P42" s="19">
        <f>Test!D40</f>
        <v>0</v>
      </c>
      <c r="Q42" s="19">
        <f>Test!E40</f>
        <v>0</v>
      </c>
      <c r="R42" s="19">
        <f>Test!F40</f>
        <v>0</v>
      </c>
      <c r="S42" s="19">
        <f>Test!G40</f>
        <v>0</v>
      </c>
      <c r="T42" s="19">
        <f t="shared" si="6"/>
        <v>0</v>
      </c>
      <c r="U42" s="29">
        <f>Test!H40</f>
        <v>0</v>
      </c>
      <c r="V42" s="30">
        <f>Test!I40</f>
        <v>0</v>
      </c>
      <c r="W42" s="16">
        <f t="shared" si="7"/>
        <v>0</v>
      </c>
      <c r="X42" s="16">
        <f t="shared" si="8"/>
        <v>0</v>
      </c>
      <c r="Y42" s="16">
        <f t="shared" si="4"/>
        <v>0</v>
      </c>
      <c r="Z42" s="25">
        <f t="shared" si="4"/>
        <v>0</v>
      </c>
      <c r="AA42" s="42"/>
      <c r="AB42" s="46"/>
      <c r="AC42" s="47"/>
      <c r="AD42" s="47"/>
      <c r="AE42" s="46"/>
      <c r="AF42" s="47"/>
      <c r="AG42" s="48"/>
    </row>
    <row r="43" spans="1:33">
      <c r="A43" s="14"/>
      <c r="B43" s="11" t="s">
        <v>80</v>
      </c>
      <c r="C43" s="11">
        <v>22</v>
      </c>
      <c r="D43" s="12">
        <f>Reference!B41</f>
        <v>20481.1912</v>
      </c>
      <c r="E43" s="13">
        <f>Reference!C41</f>
        <v>42.8423</v>
      </c>
      <c r="F43" s="13">
        <f>Reference!D41</f>
        <v>43.3198</v>
      </c>
      <c r="G43" s="13">
        <f>Reference!E41</f>
        <v>45.373</v>
      </c>
      <c r="H43" s="13">
        <f>Reference!F41</f>
        <v>55221</v>
      </c>
      <c r="I43" s="13">
        <f>Reference!G41</f>
        <v>60.439</v>
      </c>
      <c r="J43" s="13">
        <f t="shared" si="5"/>
        <v>15.3391666666667</v>
      </c>
      <c r="K43" s="27">
        <f>Reference!H41</f>
        <v>3192788</v>
      </c>
      <c r="L43" s="28">
        <f>Reference!I41</f>
        <v>478124</v>
      </c>
      <c r="N43" s="12">
        <f>Test!B41</f>
        <v>0</v>
      </c>
      <c r="O43" s="13">
        <f>Test!C41</f>
        <v>0</v>
      </c>
      <c r="P43" s="13">
        <f>Test!D41</f>
        <v>0</v>
      </c>
      <c r="Q43" s="13">
        <f>Test!E41</f>
        <v>0</v>
      </c>
      <c r="R43" s="13">
        <f>Test!F41</f>
        <v>0</v>
      </c>
      <c r="S43" s="13">
        <f>Test!G41</f>
        <v>0</v>
      </c>
      <c r="T43" s="13">
        <f t="shared" si="6"/>
        <v>0</v>
      </c>
      <c r="U43" s="27">
        <f>Test!H41</f>
        <v>0</v>
      </c>
      <c r="V43" s="28">
        <f>Test!I41</f>
        <v>0</v>
      </c>
      <c r="W43" s="16">
        <f t="shared" si="7"/>
        <v>0</v>
      </c>
      <c r="X43" s="16">
        <f t="shared" si="8"/>
        <v>0</v>
      </c>
      <c r="Y43" s="16">
        <f t="shared" si="4"/>
        <v>0</v>
      </c>
      <c r="Z43" s="25">
        <f t="shared" si="4"/>
        <v>0</v>
      </c>
      <c r="AA43" s="42"/>
      <c r="AB43" s="39" t="e">
        <f>bdrate($D43:$D46,E43:E46,$N43:$N46,O43:O46)</f>
        <v>#VALUE!</v>
      </c>
      <c r="AC43" s="40" t="e">
        <f>bdrate($D43:$D46,F43:F46,$N43:$N46,P43:P46)</f>
        <v>#VALUE!</v>
      </c>
      <c r="AD43" s="40" t="e">
        <f>bdrate($D43:$D46,G43:G46,$N43:$N46,Q43:Q46)</f>
        <v>#VALUE!</v>
      </c>
      <c r="AE43" s="49" t="e">
        <f>bdrateOld($D43:$D46,E43:E46,$N43:$N46,O43:O46)</f>
        <v>#VALUE!</v>
      </c>
      <c r="AF43" s="50" t="e">
        <f>bdrateOld($D43:$D46,F43:F46,$N43:$N46,P43:P46)</f>
        <v>#VALUE!</v>
      </c>
      <c r="AG43" s="52" t="e">
        <f>bdrateOld($D43:$D46,G43:G46,$N43:$N46,Q43:Q46)</f>
        <v>#VALUE!</v>
      </c>
    </row>
    <row r="44" spans="1:33">
      <c r="A44" s="14"/>
      <c r="B44" s="14"/>
      <c r="C44" s="14">
        <v>27</v>
      </c>
      <c r="D44" s="15">
        <f>Reference!B42</f>
        <v>7290.976</v>
      </c>
      <c r="E44" s="16">
        <f>Reference!C42</f>
        <v>37.1443</v>
      </c>
      <c r="F44" s="16">
        <f>Reference!D42</f>
        <v>41.9003</v>
      </c>
      <c r="G44" s="16">
        <f>Reference!E42</f>
        <v>44.2199</v>
      </c>
      <c r="H44" s="16">
        <f>Reference!F42</f>
        <v>53370</v>
      </c>
      <c r="I44" s="16">
        <f>Reference!G42</f>
        <v>40.742</v>
      </c>
      <c r="J44" s="16">
        <f t="shared" si="5"/>
        <v>14.825</v>
      </c>
      <c r="K44" s="29">
        <f>Reference!H42</f>
        <v>3155980</v>
      </c>
      <c r="L44" s="30">
        <f>Reference!I42</f>
        <v>450596</v>
      </c>
      <c r="N44" s="15">
        <f>Test!B42</f>
        <v>0</v>
      </c>
      <c r="O44" s="16">
        <f>Test!C42</f>
        <v>0</v>
      </c>
      <c r="P44" s="16">
        <f>Test!D42</f>
        <v>0</v>
      </c>
      <c r="Q44" s="16">
        <f>Test!E42</f>
        <v>0</v>
      </c>
      <c r="R44" s="16">
        <f>Test!F42</f>
        <v>0</v>
      </c>
      <c r="S44" s="16">
        <f>Test!G42</f>
        <v>0</v>
      </c>
      <c r="T44" s="16">
        <f t="shared" si="6"/>
        <v>0</v>
      </c>
      <c r="U44" s="29">
        <f>Test!H42</f>
        <v>0</v>
      </c>
      <c r="V44" s="30">
        <f>Test!I42</f>
        <v>0</v>
      </c>
      <c r="W44" s="16">
        <f t="shared" si="7"/>
        <v>0</v>
      </c>
      <c r="X44" s="16">
        <f t="shared" si="8"/>
        <v>0</v>
      </c>
      <c r="Y44" s="16">
        <f t="shared" si="4"/>
        <v>0</v>
      </c>
      <c r="Z44" s="25">
        <f t="shared" si="4"/>
        <v>0</v>
      </c>
      <c r="AA44" s="42"/>
      <c r="AB44" s="43"/>
      <c r="AC44" s="44"/>
      <c r="AD44" s="44"/>
      <c r="AE44" s="43"/>
      <c r="AF44" s="44"/>
      <c r="AG44" s="45"/>
    </row>
    <row r="45" spans="1:33">
      <c r="A45" s="14"/>
      <c r="B45" s="14"/>
      <c r="C45" s="14">
        <v>32</v>
      </c>
      <c r="D45" s="15">
        <f>Reference!B43</f>
        <v>3569.0552</v>
      </c>
      <c r="E45" s="16">
        <f>Reference!C43</f>
        <v>34.9196</v>
      </c>
      <c r="F45" s="16">
        <f>Reference!D43</f>
        <v>40.4169</v>
      </c>
      <c r="G45" s="16">
        <f>Reference!E43</f>
        <v>42.8773</v>
      </c>
      <c r="H45" s="16">
        <f>Reference!F43</f>
        <v>36437</v>
      </c>
      <c r="I45" s="16">
        <f>Reference!G43</f>
        <v>33.064</v>
      </c>
      <c r="J45" s="16">
        <f t="shared" si="5"/>
        <v>10.1213888888889</v>
      </c>
      <c r="K45" s="29">
        <f>Reference!H43</f>
        <v>3140704</v>
      </c>
      <c r="L45" s="30">
        <f>Reference!I43</f>
        <v>444080</v>
      </c>
      <c r="N45" s="15">
        <f>Test!B43</f>
        <v>0</v>
      </c>
      <c r="O45" s="16">
        <f>Test!C43</f>
        <v>0</v>
      </c>
      <c r="P45" s="16">
        <f>Test!D43</f>
        <v>0</v>
      </c>
      <c r="Q45" s="16">
        <f>Test!E43</f>
        <v>0</v>
      </c>
      <c r="R45" s="16">
        <f>Test!F43</f>
        <v>0</v>
      </c>
      <c r="S45" s="16">
        <f>Test!G43</f>
        <v>0</v>
      </c>
      <c r="T45" s="16">
        <f t="shared" si="6"/>
        <v>0</v>
      </c>
      <c r="U45" s="29">
        <f>Test!H43</f>
        <v>0</v>
      </c>
      <c r="V45" s="30">
        <f>Test!I43</f>
        <v>0</v>
      </c>
      <c r="W45" s="16">
        <f t="shared" si="7"/>
        <v>0</v>
      </c>
      <c r="X45" s="16">
        <f t="shared" si="8"/>
        <v>0</v>
      </c>
      <c r="Y45" s="16">
        <f t="shared" si="4"/>
        <v>0</v>
      </c>
      <c r="Z45" s="25">
        <f t="shared" si="4"/>
        <v>0</v>
      </c>
      <c r="AA45" s="42"/>
      <c r="AB45" s="43"/>
      <c r="AC45" s="44"/>
      <c r="AD45" s="44"/>
      <c r="AE45" s="43"/>
      <c r="AF45" s="44"/>
      <c r="AG45" s="45"/>
    </row>
    <row r="46" ht="12.75" customHeight="1" spans="1:33">
      <c r="A46" s="17"/>
      <c r="B46" s="17"/>
      <c r="C46" s="17">
        <v>37</v>
      </c>
      <c r="D46" s="18">
        <f>Reference!B44</f>
        <v>1893.9376</v>
      </c>
      <c r="E46" s="19">
        <f>Reference!C44</f>
        <v>32.7775</v>
      </c>
      <c r="F46" s="19">
        <f>Reference!D44</f>
        <v>39.312</v>
      </c>
      <c r="G46" s="19">
        <f>Reference!E44</f>
        <v>41.8131</v>
      </c>
      <c r="H46" s="19">
        <f>Reference!F44</f>
        <v>21536</v>
      </c>
      <c r="I46" s="19">
        <f>Reference!G44</f>
        <v>25.222</v>
      </c>
      <c r="J46" s="19">
        <f t="shared" si="5"/>
        <v>5.98222222222222</v>
      </c>
      <c r="K46" s="29">
        <f>Reference!H44</f>
        <v>3123272</v>
      </c>
      <c r="L46" s="30">
        <f>Reference!I44</f>
        <v>428868</v>
      </c>
      <c r="N46" s="18">
        <f>Test!B44</f>
        <v>0</v>
      </c>
      <c r="O46" s="19">
        <f>Test!C44</f>
        <v>0</v>
      </c>
      <c r="P46" s="19">
        <f>Test!D44</f>
        <v>0</v>
      </c>
      <c r="Q46" s="19">
        <f>Test!E44</f>
        <v>0</v>
      </c>
      <c r="R46" s="19">
        <f>Test!F44</f>
        <v>0</v>
      </c>
      <c r="S46" s="19">
        <f>Test!G44</f>
        <v>0</v>
      </c>
      <c r="T46" s="19">
        <f t="shared" si="6"/>
        <v>0</v>
      </c>
      <c r="U46" s="29">
        <f>Test!H44</f>
        <v>0</v>
      </c>
      <c r="V46" s="30">
        <f>Test!I44</f>
        <v>0</v>
      </c>
      <c r="W46" s="16">
        <f t="shared" si="7"/>
        <v>0</v>
      </c>
      <c r="X46" s="16">
        <f t="shared" si="8"/>
        <v>0</v>
      </c>
      <c r="Y46" s="16">
        <f t="shared" si="4"/>
        <v>0</v>
      </c>
      <c r="Z46" s="25">
        <f t="shared" si="4"/>
        <v>0</v>
      </c>
      <c r="AA46" s="42"/>
      <c r="AB46" s="46"/>
      <c r="AC46" s="47"/>
      <c r="AD46" s="47"/>
      <c r="AE46" s="46"/>
      <c r="AF46" s="47"/>
      <c r="AG46" s="48"/>
    </row>
    <row r="47" spans="1:33">
      <c r="A47" s="11" t="s">
        <v>23</v>
      </c>
      <c r="B47" s="11" t="s">
        <v>81</v>
      </c>
      <c r="C47" s="11">
        <v>22</v>
      </c>
      <c r="D47" s="12">
        <f>Reference!B45</f>
        <v>2067.0365</v>
      </c>
      <c r="E47" s="13">
        <f>Reference!C45</f>
        <v>43.1818</v>
      </c>
      <c r="F47" s="13">
        <f>Reference!D45</f>
        <v>45.1927</v>
      </c>
      <c r="G47" s="13">
        <f>Reference!E45</f>
        <v>46.5623</v>
      </c>
      <c r="H47" s="13">
        <f>Reference!F45</f>
        <v>9375</v>
      </c>
      <c r="I47" s="13">
        <f>Reference!G45</f>
        <v>9.38</v>
      </c>
      <c r="J47" s="13">
        <f t="shared" si="5"/>
        <v>2.60416666666667</v>
      </c>
      <c r="K47" s="27">
        <f>Reference!H45</f>
        <v>1349168</v>
      </c>
      <c r="L47" s="28">
        <f>Reference!I45</f>
        <v>303280</v>
      </c>
      <c r="N47" s="12">
        <f>Test!B45</f>
        <v>0</v>
      </c>
      <c r="O47" s="13">
        <f>Test!C45</f>
        <v>0</v>
      </c>
      <c r="P47" s="13">
        <f>Test!D45</f>
        <v>0</v>
      </c>
      <c r="Q47" s="13">
        <f>Test!E45</f>
        <v>0</v>
      </c>
      <c r="R47" s="13">
        <f>Test!F45</f>
        <v>0</v>
      </c>
      <c r="S47" s="13">
        <f>Test!G45</f>
        <v>0</v>
      </c>
      <c r="T47" s="13">
        <f t="shared" si="6"/>
        <v>0</v>
      </c>
      <c r="U47" s="27">
        <f>Test!H45</f>
        <v>0</v>
      </c>
      <c r="V47" s="28">
        <f>Test!I45</f>
        <v>0</v>
      </c>
      <c r="W47" s="13">
        <f t="shared" si="7"/>
        <v>0</v>
      </c>
      <c r="X47" s="13">
        <f t="shared" si="8"/>
        <v>0</v>
      </c>
      <c r="Y47" s="13">
        <f t="shared" si="4"/>
        <v>0</v>
      </c>
      <c r="Z47" s="24">
        <f t="shared" si="4"/>
        <v>0</v>
      </c>
      <c r="AA47" s="38"/>
      <c r="AB47" s="39" t="e">
        <f>bdrate($D47:$D50,E47:E50,$N47:$N50,O47:O50)</f>
        <v>#VALUE!</v>
      </c>
      <c r="AC47" s="40" t="e">
        <f>bdrate($D47:$D50,F47:F50,$N47:$N50,P47:P50)</f>
        <v>#VALUE!</v>
      </c>
      <c r="AD47" s="41" t="e">
        <f>bdrate($D47:$D50,G47:G50,$N47:$N50,Q47:Q50)</f>
        <v>#VALUE!</v>
      </c>
      <c r="AE47" s="39" t="e">
        <f>bdrateOld($D47:$D50,E47:E50,$N47:$N50,O47:O50)</f>
        <v>#VALUE!</v>
      </c>
      <c r="AF47" s="40" t="e">
        <f>bdrateOld($D47:$D50,F47:F50,$N47:$N50,P47:P50)</f>
        <v>#VALUE!</v>
      </c>
      <c r="AG47" s="41" t="e">
        <f>bdrateOld($D47:$D50,G47:G50,$N47:$N50,Q47:Q50)</f>
        <v>#VALUE!</v>
      </c>
    </row>
    <row r="48" spans="1:33">
      <c r="A48" s="14" t="s">
        <v>112</v>
      </c>
      <c r="B48" s="14"/>
      <c r="C48" s="14">
        <v>27</v>
      </c>
      <c r="D48" s="15">
        <f>Reference!B46</f>
        <v>1117.2024</v>
      </c>
      <c r="E48" s="16">
        <f>Reference!C46</f>
        <v>40.0735</v>
      </c>
      <c r="F48" s="16">
        <f>Reference!D46</f>
        <v>42.7726</v>
      </c>
      <c r="G48" s="16">
        <f>Reference!E46</f>
        <v>43.7337</v>
      </c>
      <c r="H48" s="16">
        <f>Reference!F46</f>
        <v>7964</v>
      </c>
      <c r="I48" s="16">
        <f>Reference!G46</f>
        <v>7.459</v>
      </c>
      <c r="J48" s="16">
        <f t="shared" si="5"/>
        <v>2.21222222222222</v>
      </c>
      <c r="K48" s="29">
        <f>Reference!H46</f>
        <v>1341592</v>
      </c>
      <c r="L48" s="30">
        <f>Reference!I46</f>
        <v>297468</v>
      </c>
      <c r="N48" s="15">
        <f>Test!B46</f>
        <v>0</v>
      </c>
      <c r="O48" s="16">
        <f>Test!C46</f>
        <v>0</v>
      </c>
      <c r="P48" s="16">
        <f>Test!D46</f>
        <v>0</v>
      </c>
      <c r="Q48" s="16">
        <f>Test!E46</f>
        <v>0</v>
      </c>
      <c r="R48" s="16">
        <f>Test!F46</f>
        <v>0</v>
      </c>
      <c r="S48" s="16">
        <f>Test!G46</f>
        <v>0</v>
      </c>
      <c r="T48" s="16">
        <f t="shared" si="6"/>
        <v>0</v>
      </c>
      <c r="U48" s="29">
        <f>Test!H46</f>
        <v>0</v>
      </c>
      <c r="V48" s="30">
        <f>Test!I46</f>
        <v>0</v>
      </c>
      <c r="W48" s="16">
        <f t="shared" si="7"/>
        <v>0</v>
      </c>
      <c r="X48" s="16">
        <f t="shared" si="8"/>
        <v>0</v>
      </c>
      <c r="Y48" s="16">
        <f t="shared" si="4"/>
        <v>0</v>
      </c>
      <c r="Z48" s="25">
        <f t="shared" si="4"/>
        <v>0</v>
      </c>
      <c r="AA48" s="42"/>
      <c r="AB48" s="43"/>
      <c r="AC48" s="44"/>
      <c r="AD48" s="45"/>
      <c r="AE48" s="43"/>
      <c r="AF48" s="44"/>
      <c r="AG48" s="45"/>
    </row>
    <row r="49" spans="1:33">
      <c r="A49" s="14"/>
      <c r="B49" s="14"/>
      <c r="C49" s="14">
        <v>32</v>
      </c>
      <c r="D49" s="15">
        <f>Reference!B47</f>
        <v>598.5405</v>
      </c>
      <c r="E49" s="16">
        <f>Reference!C47</f>
        <v>37.1369</v>
      </c>
      <c r="F49" s="16">
        <f>Reference!D47</f>
        <v>40.1526</v>
      </c>
      <c r="G49" s="16">
        <f>Reference!E47</f>
        <v>40.7339</v>
      </c>
      <c r="H49" s="16">
        <f>Reference!F47</f>
        <v>5640</v>
      </c>
      <c r="I49" s="16">
        <f>Reference!G47</f>
        <v>5.988</v>
      </c>
      <c r="J49" s="16">
        <f t="shared" si="5"/>
        <v>1.56666666666667</v>
      </c>
      <c r="K49" s="29">
        <f>Reference!H47</f>
        <v>1335432</v>
      </c>
      <c r="L49" s="30">
        <f>Reference!I47</f>
        <v>293576</v>
      </c>
      <c r="N49" s="15">
        <f>Test!B47</f>
        <v>0</v>
      </c>
      <c r="O49" s="16">
        <f>Test!C47</f>
        <v>0</v>
      </c>
      <c r="P49" s="16">
        <f>Test!D47</f>
        <v>0</v>
      </c>
      <c r="Q49" s="16">
        <f>Test!E47</f>
        <v>0</v>
      </c>
      <c r="R49" s="16">
        <f>Test!F47</f>
        <v>0</v>
      </c>
      <c r="S49" s="16">
        <f>Test!G47</f>
        <v>0</v>
      </c>
      <c r="T49" s="16">
        <f t="shared" si="6"/>
        <v>0</v>
      </c>
      <c r="U49" s="29">
        <f>Test!H47</f>
        <v>0</v>
      </c>
      <c r="V49" s="30">
        <f>Test!I47</f>
        <v>0</v>
      </c>
      <c r="W49" s="16">
        <f t="shared" si="7"/>
        <v>0</v>
      </c>
      <c r="X49" s="16">
        <f t="shared" si="8"/>
        <v>0</v>
      </c>
      <c r="Y49" s="16">
        <f t="shared" si="4"/>
        <v>0</v>
      </c>
      <c r="Z49" s="25">
        <f t="shared" si="4"/>
        <v>0</v>
      </c>
      <c r="AA49" s="42"/>
      <c r="AB49" s="43"/>
      <c r="AC49" s="44"/>
      <c r="AD49" s="45"/>
      <c r="AE49" s="43"/>
      <c r="AF49" s="44"/>
      <c r="AG49" s="45"/>
    </row>
    <row r="50" ht="12.75" customHeight="1" spans="1:33">
      <c r="A50" s="14"/>
      <c r="B50" s="17"/>
      <c r="C50" s="17">
        <v>37</v>
      </c>
      <c r="D50" s="18">
        <f>Reference!B48</f>
        <v>332.1135</v>
      </c>
      <c r="E50" s="19">
        <f>Reference!C48</f>
        <v>34.4182</v>
      </c>
      <c r="F50" s="19">
        <f>Reference!D48</f>
        <v>38.5735</v>
      </c>
      <c r="G50" s="19">
        <f>Reference!E48</f>
        <v>38.8563</v>
      </c>
      <c r="H50" s="19">
        <f>Reference!F48</f>
        <v>3686</v>
      </c>
      <c r="I50" s="19">
        <f>Reference!G48</f>
        <v>5.238</v>
      </c>
      <c r="J50" s="19">
        <f t="shared" si="5"/>
        <v>1.02388888888889</v>
      </c>
      <c r="K50" s="29">
        <f>Reference!H48</f>
        <v>1331368</v>
      </c>
      <c r="L50" s="30">
        <f>Reference!I48</f>
        <v>291204</v>
      </c>
      <c r="N50" s="18">
        <f>Test!B48</f>
        <v>0</v>
      </c>
      <c r="O50" s="19">
        <f>Test!C48</f>
        <v>0</v>
      </c>
      <c r="P50" s="19">
        <f>Test!D48</f>
        <v>0</v>
      </c>
      <c r="Q50" s="19">
        <f>Test!E48</f>
        <v>0</v>
      </c>
      <c r="R50" s="19">
        <f>Test!F48</f>
        <v>0</v>
      </c>
      <c r="S50" s="19">
        <f>Test!G48</f>
        <v>0</v>
      </c>
      <c r="T50" s="19">
        <f t="shared" si="6"/>
        <v>0</v>
      </c>
      <c r="U50" s="29">
        <f>Test!H48</f>
        <v>0</v>
      </c>
      <c r="V50" s="30">
        <f>Test!I48</f>
        <v>0</v>
      </c>
      <c r="W50" s="16">
        <f t="shared" si="7"/>
        <v>0</v>
      </c>
      <c r="X50" s="16">
        <f t="shared" si="8"/>
        <v>0</v>
      </c>
      <c r="Y50" s="16">
        <f t="shared" si="4"/>
        <v>0</v>
      </c>
      <c r="Z50" s="25">
        <f t="shared" si="4"/>
        <v>0</v>
      </c>
      <c r="AA50" s="42"/>
      <c r="AB50" s="46"/>
      <c r="AC50" s="47"/>
      <c r="AD50" s="48"/>
      <c r="AE50" s="46"/>
      <c r="AF50" s="47"/>
      <c r="AG50" s="48"/>
    </row>
    <row r="51" spans="1:33">
      <c r="A51" s="14"/>
      <c r="B51" s="11" t="s">
        <v>82</v>
      </c>
      <c r="C51" s="11">
        <v>22</v>
      </c>
      <c r="D51" s="12">
        <f>Reference!B49</f>
        <v>2561.0136</v>
      </c>
      <c r="E51" s="13">
        <f>Reference!C49</f>
        <v>42.757</v>
      </c>
      <c r="F51" s="13">
        <f>Reference!D49</f>
        <v>45.0116</v>
      </c>
      <c r="G51" s="13">
        <f>Reference!E49</f>
        <v>46.7786</v>
      </c>
      <c r="H51" s="13">
        <f>Reference!F49</f>
        <v>10445</v>
      </c>
      <c r="I51" s="13">
        <f>Reference!G49</f>
        <v>10.41</v>
      </c>
      <c r="J51" s="13">
        <f t="shared" si="5"/>
        <v>2.90138888888889</v>
      </c>
      <c r="K51" s="27">
        <f>Reference!H49</f>
        <v>1348040</v>
      </c>
      <c r="L51" s="28">
        <f>Reference!I49</f>
        <v>305436</v>
      </c>
      <c r="N51" s="12">
        <f>Test!B49</f>
        <v>0</v>
      </c>
      <c r="O51" s="13">
        <f>Test!C49</f>
        <v>0</v>
      </c>
      <c r="P51" s="13">
        <f>Test!D49</f>
        <v>0</v>
      </c>
      <c r="Q51" s="13">
        <f>Test!E49</f>
        <v>0</v>
      </c>
      <c r="R51" s="13">
        <f>Test!F49</f>
        <v>0</v>
      </c>
      <c r="S51" s="13">
        <f>Test!G49</f>
        <v>0</v>
      </c>
      <c r="T51" s="13">
        <f t="shared" si="6"/>
        <v>0</v>
      </c>
      <c r="U51" s="27">
        <f>Test!H49</f>
        <v>0</v>
      </c>
      <c r="V51" s="28">
        <f>Test!I49</f>
        <v>0</v>
      </c>
      <c r="W51" s="16">
        <f t="shared" si="7"/>
        <v>0</v>
      </c>
      <c r="X51" s="16">
        <f t="shared" si="8"/>
        <v>0</v>
      </c>
      <c r="Y51" s="16">
        <f t="shared" si="4"/>
        <v>0</v>
      </c>
      <c r="Z51" s="25">
        <f t="shared" si="4"/>
        <v>0</v>
      </c>
      <c r="AA51" s="42"/>
      <c r="AB51" s="39" t="e">
        <f>bdrate($D51:$D54,E51:E54,$N51:$N54,O51:O54)</f>
        <v>#VALUE!</v>
      </c>
      <c r="AC51" s="40" t="e">
        <f>bdrate($D51:$D54,F51:F54,$N51:$N54,P51:P54)</f>
        <v>#VALUE!</v>
      </c>
      <c r="AD51" s="40" t="e">
        <f>bdrate($D51:$D54,G51:G54,$N51:$N54,Q51:Q54)</f>
        <v>#VALUE!</v>
      </c>
      <c r="AE51" s="49" t="e">
        <f>bdrateOld($D51:$D54,E51:E54,$N51:$N54,O51:O54)</f>
        <v>#VALUE!</v>
      </c>
      <c r="AF51" s="50" t="e">
        <f>bdrateOld($D51:$D54,F51:F54,$N51:$N54,P51:P54)</f>
        <v>#VALUE!</v>
      </c>
      <c r="AG51" s="52" t="e">
        <f>bdrateOld($D51:$D54,G51:G54,$N51:$N54,Q51:Q54)</f>
        <v>#VALUE!</v>
      </c>
    </row>
    <row r="52" spans="1:33">
      <c r="A52" s="14"/>
      <c r="B52" s="14"/>
      <c r="C52" s="14">
        <v>27</v>
      </c>
      <c r="D52" s="15">
        <f>Reference!B50</f>
        <v>1512.3224</v>
      </c>
      <c r="E52" s="16">
        <f>Reference!C50</f>
        <v>40.1108</v>
      </c>
      <c r="F52" s="16">
        <f>Reference!D50</f>
        <v>42.7662</v>
      </c>
      <c r="G52" s="16">
        <f>Reference!E50</f>
        <v>44.1318</v>
      </c>
      <c r="H52" s="16">
        <f>Reference!F50</f>
        <v>8700</v>
      </c>
      <c r="I52" s="16">
        <f>Reference!G50</f>
        <v>8.776</v>
      </c>
      <c r="J52" s="16">
        <f t="shared" si="5"/>
        <v>2.41666666666667</v>
      </c>
      <c r="K52" s="29">
        <f>Reference!H50</f>
        <v>1342936</v>
      </c>
      <c r="L52" s="30">
        <f>Reference!I50</f>
        <v>298612</v>
      </c>
      <c r="N52" s="15">
        <f>Test!B50</f>
        <v>0</v>
      </c>
      <c r="O52" s="16">
        <f>Test!C50</f>
        <v>0</v>
      </c>
      <c r="P52" s="16">
        <f>Test!D50</f>
        <v>0</v>
      </c>
      <c r="Q52" s="16">
        <f>Test!E50</f>
        <v>0</v>
      </c>
      <c r="R52" s="16">
        <f>Test!F50</f>
        <v>0</v>
      </c>
      <c r="S52" s="16">
        <f>Test!G50</f>
        <v>0</v>
      </c>
      <c r="T52" s="16">
        <f t="shared" si="6"/>
        <v>0</v>
      </c>
      <c r="U52" s="29">
        <f>Test!H50</f>
        <v>0</v>
      </c>
      <c r="V52" s="30">
        <f>Test!I50</f>
        <v>0</v>
      </c>
      <c r="W52" s="16">
        <f t="shared" si="7"/>
        <v>0</v>
      </c>
      <c r="X52" s="16">
        <f t="shared" si="8"/>
        <v>0</v>
      </c>
      <c r="Y52" s="16">
        <f t="shared" si="4"/>
        <v>0</v>
      </c>
      <c r="Z52" s="25">
        <f t="shared" si="4"/>
        <v>0</v>
      </c>
      <c r="AA52" s="42"/>
      <c r="AB52" s="43"/>
      <c r="AC52" s="44"/>
      <c r="AD52" s="44"/>
      <c r="AE52" s="43"/>
      <c r="AF52" s="44"/>
      <c r="AG52" s="45"/>
    </row>
    <row r="53" spans="1:33">
      <c r="A53" s="14"/>
      <c r="B53" s="14"/>
      <c r="C53" s="14">
        <v>32</v>
      </c>
      <c r="D53" s="15">
        <f>Reference!B51</f>
        <v>881.0576</v>
      </c>
      <c r="E53" s="16">
        <f>Reference!C51</f>
        <v>37.2676</v>
      </c>
      <c r="F53" s="16">
        <f>Reference!D51</f>
        <v>40.2346</v>
      </c>
      <c r="G53" s="16">
        <f>Reference!E51</f>
        <v>41.2207</v>
      </c>
      <c r="H53" s="16">
        <f>Reference!F51</f>
        <v>6569</v>
      </c>
      <c r="I53" s="16">
        <f>Reference!G51</f>
        <v>7.2</v>
      </c>
      <c r="J53" s="16">
        <f t="shared" si="5"/>
        <v>1.82472222222222</v>
      </c>
      <c r="K53" s="29">
        <f>Reference!H51</f>
        <v>1338912</v>
      </c>
      <c r="L53" s="30">
        <f>Reference!I51</f>
        <v>296384</v>
      </c>
      <c r="N53" s="15">
        <f>Test!B51</f>
        <v>0</v>
      </c>
      <c r="O53" s="16">
        <f>Test!C51</f>
        <v>0</v>
      </c>
      <c r="P53" s="16">
        <f>Test!D51</f>
        <v>0</v>
      </c>
      <c r="Q53" s="16">
        <f>Test!E51</f>
        <v>0</v>
      </c>
      <c r="R53" s="16">
        <f>Test!F51</f>
        <v>0</v>
      </c>
      <c r="S53" s="16">
        <f>Test!G51</f>
        <v>0</v>
      </c>
      <c r="T53" s="16">
        <f t="shared" si="6"/>
        <v>0</v>
      </c>
      <c r="U53" s="29">
        <f>Test!H51</f>
        <v>0</v>
      </c>
      <c r="V53" s="30">
        <f>Test!I51</f>
        <v>0</v>
      </c>
      <c r="W53" s="16">
        <f t="shared" si="7"/>
        <v>0</v>
      </c>
      <c r="X53" s="16">
        <f t="shared" si="8"/>
        <v>0</v>
      </c>
      <c r="Y53" s="16">
        <f t="shared" si="4"/>
        <v>0</v>
      </c>
      <c r="Z53" s="25">
        <f t="shared" si="4"/>
        <v>0</v>
      </c>
      <c r="AA53" s="42"/>
      <c r="AB53" s="43"/>
      <c r="AC53" s="44"/>
      <c r="AD53" s="44"/>
      <c r="AE53" s="43"/>
      <c r="AF53" s="44"/>
      <c r="AG53" s="45"/>
    </row>
    <row r="54" ht="12.75" customHeight="1" spans="1:33">
      <c r="A54" s="14"/>
      <c r="B54" s="17"/>
      <c r="C54" s="17">
        <v>37</v>
      </c>
      <c r="D54" s="18">
        <f>Reference!B52</f>
        <v>510.2688</v>
      </c>
      <c r="E54" s="19">
        <f>Reference!C52</f>
        <v>34.2969</v>
      </c>
      <c r="F54" s="19">
        <f>Reference!D52</f>
        <v>38.8433</v>
      </c>
      <c r="G54" s="19">
        <f>Reference!E52</f>
        <v>39.7154</v>
      </c>
      <c r="H54" s="19">
        <f>Reference!F52</f>
        <v>4827</v>
      </c>
      <c r="I54" s="19">
        <f>Reference!G52</f>
        <v>6.351</v>
      </c>
      <c r="J54" s="19">
        <f t="shared" si="5"/>
        <v>1.34083333333333</v>
      </c>
      <c r="K54" s="29">
        <f>Reference!H52</f>
        <v>1335296</v>
      </c>
      <c r="L54" s="30">
        <f>Reference!I52</f>
        <v>293300</v>
      </c>
      <c r="N54" s="18">
        <f>Test!B52</f>
        <v>0</v>
      </c>
      <c r="O54" s="19">
        <f>Test!C52</f>
        <v>0</v>
      </c>
      <c r="P54" s="19">
        <f>Test!D52</f>
        <v>0</v>
      </c>
      <c r="Q54" s="19">
        <f>Test!E52</f>
        <v>0</v>
      </c>
      <c r="R54" s="19">
        <f>Test!F52</f>
        <v>0</v>
      </c>
      <c r="S54" s="19">
        <f>Test!G52</f>
        <v>0</v>
      </c>
      <c r="T54" s="19">
        <f t="shared" si="6"/>
        <v>0</v>
      </c>
      <c r="U54" s="29">
        <f>Test!H52</f>
        <v>0</v>
      </c>
      <c r="V54" s="30">
        <f>Test!I52</f>
        <v>0</v>
      </c>
      <c r="W54" s="16">
        <f t="shared" si="7"/>
        <v>0</v>
      </c>
      <c r="X54" s="16">
        <f t="shared" si="8"/>
        <v>0</v>
      </c>
      <c r="Y54" s="16">
        <f t="shared" si="4"/>
        <v>0</v>
      </c>
      <c r="Z54" s="25">
        <f t="shared" si="4"/>
        <v>0</v>
      </c>
      <c r="AA54" s="42"/>
      <c r="AB54" s="46"/>
      <c r="AC54" s="47"/>
      <c r="AD54" s="47"/>
      <c r="AE54" s="46"/>
      <c r="AF54" s="47"/>
      <c r="AG54" s="48"/>
    </row>
    <row r="55" spans="1:33">
      <c r="A55" s="14"/>
      <c r="B55" s="11" t="s">
        <v>113</v>
      </c>
      <c r="C55" s="11">
        <v>22</v>
      </c>
      <c r="D55" s="12">
        <f>Reference!B53</f>
        <v>5026.9357</v>
      </c>
      <c r="E55" s="13">
        <f>Reference!C53</f>
        <v>42.1041</v>
      </c>
      <c r="F55" s="13">
        <f>Reference!D53</f>
        <v>43.657</v>
      </c>
      <c r="G55" s="13">
        <f>Reference!E53</f>
        <v>44.7435</v>
      </c>
      <c r="H55" s="13">
        <f>Reference!F53</f>
        <v>11151</v>
      </c>
      <c r="I55" s="13">
        <f>Reference!G53</f>
        <v>12.961</v>
      </c>
      <c r="J55" s="13">
        <f t="shared" si="5"/>
        <v>3.0975</v>
      </c>
      <c r="K55" s="27">
        <f>Reference!H53</f>
        <v>1356056</v>
      </c>
      <c r="L55" s="28">
        <f>Reference!I53</f>
        <v>318904</v>
      </c>
      <c r="N55" s="12">
        <f>Test!B53</f>
        <v>0</v>
      </c>
      <c r="O55" s="13">
        <f>Test!C53</f>
        <v>0</v>
      </c>
      <c r="P55" s="13">
        <f>Test!D53</f>
        <v>0</v>
      </c>
      <c r="Q55" s="13">
        <f>Test!E53</f>
        <v>0</v>
      </c>
      <c r="R55" s="13">
        <f>Test!F53</f>
        <v>0</v>
      </c>
      <c r="S55" s="13">
        <f>Test!G53</f>
        <v>0</v>
      </c>
      <c r="T55" s="13">
        <f t="shared" si="6"/>
        <v>0</v>
      </c>
      <c r="U55" s="27">
        <f>Test!H53</f>
        <v>0</v>
      </c>
      <c r="V55" s="28">
        <f>Test!I53</f>
        <v>0</v>
      </c>
      <c r="W55" s="16">
        <f t="shared" si="7"/>
        <v>0</v>
      </c>
      <c r="X55" s="16">
        <f t="shared" si="8"/>
        <v>0</v>
      </c>
      <c r="Y55" s="16">
        <f t="shared" si="4"/>
        <v>0</v>
      </c>
      <c r="Z55" s="25">
        <f t="shared" si="4"/>
        <v>0</v>
      </c>
      <c r="AA55" s="42"/>
      <c r="AB55" s="39" t="e">
        <f>bdrate($D55:$D58,E55:E58,$N55:$N58,O55:O58)</f>
        <v>#VALUE!</v>
      </c>
      <c r="AC55" s="40" t="e">
        <f>bdrate($D55:$D58,F55:F58,$N55:$N58,P55:P58)</f>
        <v>#VALUE!</v>
      </c>
      <c r="AD55" s="40" t="e">
        <f>bdrate($D55:$D58,G55:G58,$N55:$N58,Q55:Q58)</f>
        <v>#VALUE!</v>
      </c>
      <c r="AE55" s="49" t="e">
        <f>bdrateOld($D55:$D58,E55:E58,$N55:$N58,O55:O58)</f>
        <v>#VALUE!</v>
      </c>
      <c r="AF55" s="50" t="e">
        <f>bdrateOld($D55:$D58,F55:F58,$N55:$N58,P55:P58)</f>
        <v>#VALUE!</v>
      </c>
      <c r="AG55" s="52" t="e">
        <f>bdrateOld($D55:$D58,G55:G58,$N55:$N58,Q55:Q58)</f>
        <v>#VALUE!</v>
      </c>
    </row>
    <row r="56" spans="1:33">
      <c r="A56" s="14"/>
      <c r="B56" s="14"/>
      <c r="C56" s="14">
        <v>27</v>
      </c>
      <c r="D56" s="15">
        <f>Reference!B54</f>
        <v>3075.6706</v>
      </c>
      <c r="E56" s="16">
        <f>Reference!C54</f>
        <v>37.8567</v>
      </c>
      <c r="F56" s="16">
        <f>Reference!D54</f>
        <v>40.4915</v>
      </c>
      <c r="G56" s="16">
        <f>Reference!E54</f>
        <v>41.3129</v>
      </c>
      <c r="H56" s="16">
        <f>Reference!F54</f>
        <v>10451</v>
      </c>
      <c r="I56" s="16">
        <f>Reference!G54</f>
        <v>10.374</v>
      </c>
      <c r="J56" s="16">
        <f t="shared" si="5"/>
        <v>2.90305555555556</v>
      </c>
      <c r="K56" s="29">
        <f>Reference!H54</f>
        <v>1352668</v>
      </c>
      <c r="L56" s="30">
        <f>Reference!I54</f>
        <v>308944</v>
      </c>
      <c r="N56" s="15">
        <f>Test!B54</f>
        <v>0</v>
      </c>
      <c r="O56" s="16">
        <f>Test!C54</f>
        <v>0</v>
      </c>
      <c r="P56" s="16">
        <f>Test!D54</f>
        <v>0</v>
      </c>
      <c r="Q56" s="16">
        <f>Test!E54</f>
        <v>0</v>
      </c>
      <c r="R56" s="16">
        <f>Test!F54</f>
        <v>0</v>
      </c>
      <c r="S56" s="16">
        <f>Test!G54</f>
        <v>0</v>
      </c>
      <c r="T56" s="16">
        <f t="shared" si="6"/>
        <v>0</v>
      </c>
      <c r="U56" s="29">
        <f>Test!H54</f>
        <v>0</v>
      </c>
      <c r="V56" s="30">
        <f>Test!I54</f>
        <v>0</v>
      </c>
      <c r="W56" s="16">
        <f t="shared" si="7"/>
        <v>0</v>
      </c>
      <c r="X56" s="16">
        <f t="shared" si="8"/>
        <v>0</v>
      </c>
      <c r="Y56" s="16">
        <f t="shared" si="4"/>
        <v>0</v>
      </c>
      <c r="Z56" s="25">
        <f t="shared" si="4"/>
        <v>0</v>
      </c>
      <c r="AA56" s="42"/>
      <c r="AB56" s="43"/>
      <c r="AC56" s="44"/>
      <c r="AD56" s="44"/>
      <c r="AE56" s="43"/>
      <c r="AF56" s="44"/>
      <c r="AG56" s="45"/>
    </row>
    <row r="57" spans="1:33">
      <c r="A57" s="14"/>
      <c r="B57" s="14"/>
      <c r="C57" s="14">
        <v>32</v>
      </c>
      <c r="D57" s="15">
        <f>Reference!B55</f>
        <v>1802.0889</v>
      </c>
      <c r="E57" s="16">
        <f>Reference!C55</f>
        <v>34.1589</v>
      </c>
      <c r="F57" s="16">
        <f>Reference!D55</f>
        <v>37.5768</v>
      </c>
      <c r="G57" s="16">
        <f>Reference!E55</f>
        <v>38.1543</v>
      </c>
      <c r="H57" s="16">
        <f>Reference!F55</f>
        <v>10833</v>
      </c>
      <c r="I57" s="16">
        <f>Reference!G55</f>
        <v>9.832</v>
      </c>
      <c r="J57" s="16">
        <f t="shared" si="5"/>
        <v>3.00916666666667</v>
      </c>
      <c r="K57" s="29">
        <f>Reference!H55</f>
        <v>1347492</v>
      </c>
      <c r="L57" s="30">
        <f>Reference!I55</f>
        <v>301932</v>
      </c>
      <c r="N57" s="15">
        <f>Test!B55</f>
        <v>0</v>
      </c>
      <c r="O57" s="16">
        <f>Test!C55</f>
        <v>0</v>
      </c>
      <c r="P57" s="16">
        <f>Test!D55</f>
        <v>0</v>
      </c>
      <c r="Q57" s="16">
        <f>Test!E55</f>
        <v>0</v>
      </c>
      <c r="R57" s="16">
        <f>Test!F55</f>
        <v>0</v>
      </c>
      <c r="S57" s="16">
        <f>Test!G55</f>
        <v>0</v>
      </c>
      <c r="T57" s="16">
        <f t="shared" si="6"/>
        <v>0</v>
      </c>
      <c r="U57" s="29">
        <f>Test!H55</f>
        <v>0</v>
      </c>
      <c r="V57" s="30">
        <f>Test!I55</f>
        <v>0</v>
      </c>
      <c r="W57" s="16">
        <f t="shared" si="7"/>
        <v>0</v>
      </c>
      <c r="X57" s="16">
        <f t="shared" si="8"/>
        <v>0</v>
      </c>
      <c r="Y57" s="16">
        <f t="shared" si="4"/>
        <v>0</v>
      </c>
      <c r="Z57" s="25">
        <f t="shared" si="4"/>
        <v>0</v>
      </c>
      <c r="AA57" s="42"/>
      <c r="AB57" s="43"/>
      <c r="AC57" s="44"/>
      <c r="AD57" s="44"/>
      <c r="AE57" s="43"/>
      <c r="AF57" s="44"/>
      <c r="AG57" s="45"/>
    </row>
    <row r="58" ht="12.75" customHeight="1" spans="1:33">
      <c r="A58" s="14"/>
      <c r="B58" s="17"/>
      <c r="C58" s="17">
        <v>37</v>
      </c>
      <c r="D58" s="18">
        <f>Reference!B56</f>
        <v>975.0611</v>
      </c>
      <c r="E58" s="19">
        <f>Reference!C56</f>
        <v>30.5607</v>
      </c>
      <c r="F58" s="19">
        <f>Reference!D56</f>
        <v>36.0084</v>
      </c>
      <c r="G58" s="19">
        <f>Reference!E56</f>
        <v>36.5744</v>
      </c>
      <c r="H58" s="19">
        <f>Reference!F56</f>
        <v>7440</v>
      </c>
      <c r="I58" s="19">
        <f>Reference!G56</f>
        <v>7.036</v>
      </c>
      <c r="J58" s="19">
        <f t="shared" si="5"/>
        <v>2.06666666666667</v>
      </c>
      <c r="K58" s="29">
        <f>Reference!H56</f>
        <v>1341740</v>
      </c>
      <c r="L58" s="30">
        <f>Reference!I56</f>
        <v>298060</v>
      </c>
      <c r="N58" s="18">
        <f>Test!B56</f>
        <v>0</v>
      </c>
      <c r="O58" s="19">
        <f>Test!C56</f>
        <v>0</v>
      </c>
      <c r="P58" s="19">
        <f>Test!D56</f>
        <v>0</v>
      </c>
      <c r="Q58" s="19">
        <f>Test!E56</f>
        <v>0</v>
      </c>
      <c r="R58" s="19">
        <f>Test!F56</f>
        <v>0</v>
      </c>
      <c r="S58" s="19">
        <f>Test!G56</f>
        <v>0</v>
      </c>
      <c r="T58" s="19">
        <f t="shared" si="6"/>
        <v>0</v>
      </c>
      <c r="U58" s="29">
        <f>Test!H56</f>
        <v>0</v>
      </c>
      <c r="V58" s="30">
        <f>Test!I56</f>
        <v>0</v>
      </c>
      <c r="W58" s="16">
        <f t="shared" si="7"/>
        <v>0</v>
      </c>
      <c r="X58" s="16">
        <f t="shared" si="8"/>
        <v>0</v>
      </c>
      <c r="Y58" s="16">
        <f t="shared" si="4"/>
        <v>0</v>
      </c>
      <c r="Z58" s="25">
        <f t="shared" si="4"/>
        <v>0</v>
      </c>
      <c r="AA58" s="42"/>
      <c r="AB58" s="46"/>
      <c r="AC58" s="47"/>
      <c r="AD58" s="47"/>
      <c r="AE58" s="46"/>
      <c r="AF58" s="47"/>
      <c r="AG58" s="48"/>
    </row>
    <row r="59" spans="1:33">
      <c r="A59" s="14"/>
      <c r="B59" s="11" t="s">
        <v>87</v>
      </c>
      <c r="C59" s="11">
        <v>22</v>
      </c>
      <c r="D59" s="12">
        <f>Reference!B57</f>
        <v>1736.5018</v>
      </c>
      <c r="E59" s="13">
        <f>Reference!C57</f>
        <v>43.476</v>
      </c>
      <c r="F59" s="13">
        <f>Reference!D57</f>
        <v>44.226</v>
      </c>
      <c r="G59" s="13">
        <f>Reference!E57</f>
        <v>45.2037</v>
      </c>
      <c r="H59" s="13">
        <f>Reference!F57</f>
        <v>7320</v>
      </c>
      <c r="I59" s="13">
        <f>Reference!G57</f>
        <v>5.91</v>
      </c>
      <c r="J59" s="13">
        <f t="shared" si="5"/>
        <v>2.03333333333333</v>
      </c>
      <c r="K59" s="27">
        <f>Reference!H57</f>
        <v>1343924</v>
      </c>
      <c r="L59" s="28">
        <f>Reference!I57</f>
        <v>299508</v>
      </c>
      <c r="N59" s="12">
        <f>Test!B57</f>
        <v>0</v>
      </c>
      <c r="O59" s="13">
        <f>Test!C57</f>
        <v>0</v>
      </c>
      <c r="P59" s="13">
        <f>Test!D57</f>
        <v>0</v>
      </c>
      <c r="Q59" s="13">
        <f>Test!E57</f>
        <v>0</v>
      </c>
      <c r="R59" s="13">
        <f>Test!F57</f>
        <v>0</v>
      </c>
      <c r="S59" s="13">
        <f>Test!G57</f>
        <v>0</v>
      </c>
      <c r="T59" s="13">
        <f t="shared" si="6"/>
        <v>0</v>
      </c>
      <c r="U59" s="27">
        <f>Test!H57</f>
        <v>0</v>
      </c>
      <c r="V59" s="28">
        <f>Test!I57</f>
        <v>0</v>
      </c>
      <c r="W59" s="16">
        <f t="shared" si="7"/>
        <v>0</v>
      </c>
      <c r="X59" s="16">
        <f t="shared" si="8"/>
        <v>0</v>
      </c>
      <c r="Y59" s="16">
        <f t="shared" si="4"/>
        <v>0</v>
      </c>
      <c r="Z59" s="25">
        <f t="shared" si="4"/>
        <v>0</v>
      </c>
      <c r="AA59" s="42"/>
      <c r="AB59" s="39" t="e">
        <f>bdrate($D59:$D62,E59:E62,$N59:$N62,O59:O62)</f>
        <v>#VALUE!</v>
      </c>
      <c r="AC59" s="40" t="e">
        <f>bdrate($D59:$D62,F59:F62,$N59:$N62,P59:P62)</f>
        <v>#VALUE!</v>
      </c>
      <c r="AD59" s="40" t="e">
        <f>bdrate($D59:$D62,G59:G62,$N59:$N62,Q59:Q62)</f>
        <v>#VALUE!</v>
      </c>
      <c r="AE59" s="49" t="e">
        <f>bdrateOld($D59:$D62,E59:E62,$N59:$N62,O59:O62)</f>
        <v>#VALUE!</v>
      </c>
      <c r="AF59" s="50" t="e">
        <f>bdrateOld($D59:$D62,F59:F62,$N59:$N62,P59:P62)</f>
        <v>#VALUE!</v>
      </c>
      <c r="AG59" s="52" t="e">
        <f>bdrateOld($D59:$D62,G59:G62,$N59:$N62,Q59:Q62)</f>
        <v>#VALUE!</v>
      </c>
    </row>
    <row r="60" spans="1:33">
      <c r="A60" s="14"/>
      <c r="B60" s="14"/>
      <c r="C60" s="14">
        <v>27</v>
      </c>
      <c r="D60" s="15">
        <f>Reference!B58</f>
        <v>1011.0197</v>
      </c>
      <c r="E60" s="16">
        <f>Reference!C58</f>
        <v>40.1029</v>
      </c>
      <c r="F60" s="16">
        <f>Reference!D58</f>
        <v>40.5243</v>
      </c>
      <c r="G60" s="16">
        <f>Reference!E58</f>
        <v>42.353</v>
      </c>
      <c r="H60" s="16">
        <f>Reference!F58</f>
        <v>5580</v>
      </c>
      <c r="I60" s="16">
        <f>Reference!G58</f>
        <v>4.466</v>
      </c>
      <c r="J60" s="16">
        <f t="shared" si="5"/>
        <v>1.55</v>
      </c>
      <c r="K60" s="29">
        <f>Reference!H58</f>
        <v>1340696</v>
      </c>
      <c r="L60" s="30">
        <f>Reference!I58</f>
        <v>297324</v>
      </c>
      <c r="N60" s="15">
        <f>Test!B58</f>
        <v>0</v>
      </c>
      <c r="O60" s="16">
        <f>Test!C58</f>
        <v>0</v>
      </c>
      <c r="P60" s="16">
        <f>Test!D58</f>
        <v>0</v>
      </c>
      <c r="Q60" s="16">
        <f>Test!E58</f>
        <v>0</v>
      </c>
      <c r="R60" s="16">
        <f>Test!F58</f>
        <v>0</v>
      </c>
      <c r="S60" s="16">
        <f>Test!G58</f>
        <v>0</v>
      </c>
      <c r="T60" s="16">
        <f t="shared" si="6"/>
        <v>0</v>
      </c>
      <c r="U60" s="29">
        <f>Test!H58</f>
        <v>0</v>
      </c>
      <c r="V60" s="30">
        <f>Test!I58</f>
        <v>0</v>
      </c>
      <c r="W60" s="16">
        <f t="shared" si="7"/>
        <v>0</v>
      </c>
      <c r="X60" s="16">
        <f t="shared" si="8"/>
        <v>0</v>
      </c>
      <c r="Y60" s="16">
        <f t="shared" si="4"/>
        <v>0</v>
      </c>
      <c r="Z60" s="25">
        <f t="shared" si="4"/>
        <v>0</v>
      </c>
      <c r="AA60" s="42"/>
      <c r="AB60" s="43"/>
      <c r="AC60" s="44"/>
      <c r="AD60" s="44"/>
      <c r="AE60" s="43"/>
      <c r="AF60" s="44"/>
      <c r="AG60" s="45"/>
    </row>
    <row r="61" spans="1:33">
      <c r="A61" s="14"/>
      <c r="B61" s="14"/>
      <c r="C61" s="14">
        <v>32</v>
      </c>
      <c r="D61" s="15">
        <f>Reference!B59</f>
        <v>579.9134</v>
      </c>
      <c r="E61" s="16">
        <f>Reference!C59</f>
        <v>36.8622</v>
      </c>
      <c r="F61" s="16">
        <f>Reference!D59</f>
        <v>37.618</v>
      </c>
      <c r="G61" s="16">
        <f>Reference!E59</f>
        <v>39.9988</v>
      </c>
      <c r="H61" s="16">
        <f>Reference!F59</f>
        <v>4149</v>
      </c>
      <c r="I61" s="16">
        <f>Reference!G59</f>
        <v>3.743</v>
      </c>
      <c r="J61" s="16">
        <f t="shared" si="5"/>
        <v>1.1525</v>
      </c>
      <c r="K61" s="29">
        <f>Reference!H59</f>
        <v>1338216</v>
      </c>
      <c r="L61" s="30">
        <f>Reference!I59</f>
        <v>295584</v>
      </c>
      <c r="N61" s="15">
        <f>Test!B59</f>
        <v>0</v>
      </c>
      <c r="O61" s="16">
        <f>Test!C59</f>
        <v>0</v>
      </c>
      <c r="P61" s="16">
        <f>Test!D59</f>
        <v>0</v>
      </c>
      <c r="Q61" s="16">
        <f>Test!E59</f>
        <v>0</v>
      </c>
      <c r="R61" s="16">
        <f>Test!F59</f>
        <v>0</v>
      </c>
      <c r="S61" s="16">
        <f>Test!G59</f>
        <v>0</v>
      </c>
      <c r="T61" s="16">
        <f t="shared" si="6"/>
        <v>0</v>
      </c>
      <c r="U61" s="29">
        <f>Test!H59</f>
        <v>0</v>
      </c>
      <c r="V61" s="30">
        <f>Test!I59</f>
        <v>0</v>
      </c>
      <c r="W61" s="16">
        <f t="shared" si="7"/>
        <v>0</v>
      </c>
      <c r="X61" s="16">
        <f t="shared" si="8"/>
        <v>0</v>
      </c>
      <c r="Y61" s="16">
        <f t="shared" si="4"/>
        <v>0</v>
      </c>
      <c r="Z61" s="25">
        <f t="shared" si="4"/>
        <v>0</v>
      </c>
      <c r="AA61" s="42"/>
      <c r="AB61" s="43"/>
      <c r="AC61" s="44"/>
      <c r="AD61" s="44"/>
      <c r="AE61" s="43"/>
      <c r="AF61" s="44"/>
      <c r="AG61" s="45"/>
    </row>
    <row r="62" ht="12.75" customHeight="1" spans="1:33">
      <c r="A62" s="17"/>
      <c r="B62" s="17"/>
      <c r="C62" s="17">
        <v>37</v>
      </c>
      <c r="D62" s="18">
        <f>Reference!B60</f>
        <v>303.15</v>
      </c>
      <c r="E62" s="19">
        <f>Reference!C60</f>
        <v>33.4709</v>
      </c>
      <c r="F62" s="19">
        <f>Reference!D60</f>
        <v>36.5351</v>
      </c>
      <c r="G62" s="19">
        <f>Reference!E60</f>
        <v>38.609</v>
      </c>
      <c r="H62" s="19">
        <f>Reference!F60</f>
        <v>3009</v>
      </c>
      <c r="I62" s="19">
        <f>Reference!G60</f>
        <v>3.285</v>
      </c>
      <c r="J62" s="19">
        <f t="shared" si="5"/>
        <v>0.835833333333333</v>
      </c>
      <c r="K62" s="29">
        <f>Reference!H60</f>
        <v>1334764</v>
      </c>
      <c r="L62" s="30">
        <f>Reference!I60</f>
        <v>293948</v>
      </c>
      <c r="N62" s="18">
        <f>Test!B60</f>
        <v>0</v>
      </c>
      <c r="O62" s="19">
        <f>Test!C60</f>
        <v>0</v>
      </c>
      <c r="P62" s="19">
        <f>Test!D60</f>
        <v>0</v>
      </c>
      <c r="Q62" s="19">
        <f>Test!E60</f>
        <v>0</v>
      </c>
      <c r="R62" s="19">
        <f>Test!F60</f>
        <v>0</v>
      </c>
      <c r="S62" s="19">
        <f>Test!G60</f>
        <v>0</v>
      </c>
      <c r="T62" s="19">
        <f t="shared" si="6"/>
        <v>0</v>
      </c>
      <c r="U62" s="29">
        <f>Test!H60</f>
        <v>0</v>
      </c>
      <c r="V62" s="30">
        <f>Test!I60</f>
        <v>0</v>
      </c>
      <c r="W62" s="19">
        <f t="shared" si="7"/>
        <v>0</v>
      </c>
      <c r="X62" s="19">
        <f t="shared" si="8"/>
        <v>0</v>
      </c>
      <c r="Y62" s="19">
        <f t="shared" si="4"/>
        <v>0</v>
      </c>
      <c r="Z62" s="26">
        <f t="shared" si="4"/>
        <v>0</v>
      </c>
      <c r="AA62" s="51"/>
      <c r="AB62" s="46"/>
      <c r="AC62" s="47"/>
      <c r="AD62" s="47"/>
      <c r="AE62" s="46"/>
      <c r="AF62" s="47"/>
      <c r="AG62" s="48"/>
    </row>
    <row r="63" spans="1:33">
      <c r="A63" s="11" t="s">
        <v>27</v>
      </c>
      <c r="B63" s="11" t="s">
        <v>85</v>
      </c>
      <c r="C63" s="11">
        <f>C59</f>
        <v>22</v>
      </c>
      <c r="D63" s="12">
        <f>Reference!B61</f>
        <v>558.6683</v>
      </c>
      <c r="E63" s="13">
        <f>Reference!C61</f>
        <v>44.1144</v>
      </c>
      <c r="F63" s="13">
        <f>Reference!D61</f>
        <v>46.4049</v>
      </c>
      <c r="G63" s="13">
        <f>Reference!E61</f>
        <v>46.3351</v>
      </c>
      <c r="H63" s="13">
        <f>Reference!F61</f>
        <v>2466</v>
      </c>
      <c r="I63" s="13">
        <f>Reference!G61</f>
        <v>2.349</v>
      </c>
      <c r="J63" s="13">
        <f t="shared" si="5"/>
        <v>0.685</v>
      </c>
      <c r="K63" s="27">
        <f>Reference!H61</f>
        <v>998300</v>
      </c>
      <c r="L63" s="28">
        <f>Reference!I61</f>
        <v>266764</v>
      </c>
      <c r="N63" s="12">
        <f>Test!B61</f>
        <v>0</v>
      </c>
      <c r="O63" s="13">
        <f>Test!C61</f>
        <v>0</v>
      </c>
      <c r="P63" s="13">
        <f>Test!D61</f>
        <v>0</v>
      </c>
      <c r="Q63" s="13">
        <f>Test!E61</f>
        <v>0</v>
      </c>
      <c r="R63" s="13">
        <f>Test!F61</f>
        <v>0</v>
      </c>
      <c r="S63" s="13">
        <f>Test!G61</f>
        <v>0</v>
      </c>
      <c r="T63" s="13">
        <f t="shared" si="6"/>
        <v>0</v>
      </c>
      <c r="U63" s="27">
        <f>Test!H61</f>
        <v>0</v>
      </c>
      <c r="V63" s="28">
        <f>Test!I61</f>
        <v>0</v>
      </c>
      <c r="W63" s="13">
        <f t="shared" si="7"/>
        <v>0</v>
      </c>
      <c r="X63" s="13">
        <f t="shared" si="8"/>
        <v>0</v>
      </c>
      <c r="Y63" s="13">
        <f t="shared" si="4"/>
        <v>0</v>
      </c>
      <c r="Z63" s="24">
        <f t="shared" si="4"/>
        <v>0</v>
      </c>
      <c r="AA63" s="38"/>
      <c r="AB63" s="39" t="e">
        <f>bdrate($D63:$D66,E63:E66,$N63:$N66,O63:O66)</f>
        <v>#VALUE!</v>
      </c>
      <c r="AC63" s="40" t="e">
        <f>bdrate($D63:$D66,F63:F66,$N63:$N66,P63:P66)</f>
        <v>#VALUE!</v>
      </c>
      <c r="AD63" s="41" t="e">
        <f>bdrate($D63:$D66,G63:G66,$N63:$N66,Q63:Q66)</f>
        <v>#VALUE!</v>
      </c>
      <c r="AE63" s="39" t="e">
        <f>bdrateOld($D63:$D66,E63:E66,$N63:$N66,O63:O66)</f>
        <v>#VALUE!</v>
      </c>
      <c r="AF63" s="40" t="e">
        <f>bdrateOld($D63:$D66,F63:F66,$N63:$N66,P63:P66)</f>
        <v>#VALUE!</v>
      </c>
      <c r="AG63" s="41" t="e">
        <f>bdrateOld($D63:$D66,G63:G66,$N63:$N66,Q63:Q66)</f>
        <v>#VALUE!</v>
      </c>
    </row>
    <row r="64" spans="1:33">
      <c r="A64" s="14" t="s">
        <v>114</v>
      </c>
      <c r="B64" s="14"/>
      <c r="C64" s="14">
        <f>C60</f>
        <v>27</v>
      </c>
      <c r="D64" s="15">
        <f>Reference!B62</f>
        <v>334.6714</v>
      </c>
      <c r="E64" s="16">
        <f>Reference!C62</f>
        <v>40.6362</v>
      </c>
      <c r="F64" s="16">
        <f>Reference!D62</f>
        <v>43.2487</v>
      </c>
      <c r="G64" s="16">
        <f>Reference!E62</f>
        <v>42.7969</v>
      </c>
      <c r="H64" s="16">
        <f>Reference!F62</f>
        <v>1940</v>
      </c>
      <c r="I64" s="16">
        <f>Reference!G62</f>
        <v>1.959</v>
      </c>
      <c r="J64" s="16">
        <f t="shared" si="5"/>
        <v>0.538888888888889</v>
      </c>
      <c r="K64" s="29">
        <f>Reference!H62</f>
        <v>997056</v>
      </c>
      <c r="L64" s="30">
        <f>Reference!I62</f>
        <v>266040</v>
      </c>
      <c r="N64" s="15">
        <f>Test!B62</f>
        <v>0</v>
      </c>
      <c r="O64" s="16">
        <f>Test!C62</f>
        <v>0</v>
      </c>
      <c r="P64" s="16">
        <f>Test!D62</f>
        <v>0</v>
      </c>
      <c r="Q64" s="16">
        <f>Test!E62</f>
        <v>0</v>
      </c>
      <c r="R64" s="16">
        <f>Test!F62</f>
        <v>0</v>
      </c>
      <c r="S64" s="16">
        <f>Test!G62</f>
        <v>0</v>
      </c>
      <c r="T64" s="16">
        <f t="shared" si="6"/>
        <v>0</v>
      </c>
      <c r="U64" s="29">
        <f>Test!H62</f>
        <v>0</v>
      </c>
      <c r="V64" s="30">
        <f>Test!I62</f>
        <v>0</v>
      </c>
      <c r="W64" s="16">
        <f t="shared" si="7"/>
        <v>0</v>
      </c>
      <c r="X64" s="16">
        <f t="shared" si="8"/>
        <v>0</v>
      </c>
      <c r="Y64" s="16">
        <f t="shared" si="4"/>
        <v>0</v>
      </c>
      <c r="Z64" s="25">
        <f t="shared" si="4"/>
        <v>0</v>
      </c>
      <c r="AA64" s="42"/>
      <c r="AB64" s="43"/>
      <c r="AC64" s="44"/>
      <c r="AD64" s="45"/>
      <c r="AE64" s="43"/>
      <c r="AF64" s="44"/>
      <c r="AG64" s="45"/>
    </row>
    <row r="65" spans="1:33">
      <c r="A65" s="14"/>
      <c r="B65" s="14"/>
      <c r="C65" s="14">
        <f>C61</f>
        <v>32</v>
      </c>
      <c r="D65" s="15">
        <f>Reference!B63</f>
        <v>193.9833</v>
      </c>
      <c r="E65" s="16">
        <f>Reference!C63</f>
        <v>37.3132</v>
      </c>
      <c r="F65" s="16">
        <f>Reference!D63</f>
        <v>39.9662</v>
      </c>
      <c r="G65" s="16">
        <f>Reference!E63</f>
        <v>39.2438</v>
      </c>
      <c r="H65" s="16">
        <f>Reference!F63</f>
        <v>1602</v>
      </c>
      <c r="I65" s="16">
        <f>Reference!G63</f>
        <v>1.762</v>
      </c>
      <c r="J65" s="16">
        <f t="shared" si="5"/>
        <v>0.445</v>
      </c>
      <c r="K65" s="29">
        <f>Reference!H63</f>
        <v>995024</v>
      </c>
      <c r="L65" s="30">
        <f>Reference!I63</f>
        <v>265344</v>
      </c>
      <c r="N65" s="15">
        <f>Test!B63</f>
        <v>0</v>
      </c>
      <c r="O65" s="16">
        <f>Test!C63</f>
        <v>0</v>
      </c>
      <c r="P65" s="16">
        <f>Test!D63</f>
        <v>0</v>
      </c>
      <c r="Q65" s="16">
        <f>Test!E63</f>
        <v>0</v>
      </c>
      <c r="R65" s="16">
        <f>Test!F63</f>
        <v>0</v>
      </c>
      <c r="S65" s="16">
        <f>Test!G63</f>
        <v>0</v>
      </c>
      <c r="T65" s="16">
        <f t="shared" si="6"/>
        <v>0</v>
      </c>
      <c r="U65" s="29">
        <f>Test!H63</f>
        <v>0</v>
      </c>
      <c r="V65" s="30">
        <f>Test!I63</f>
        <v>0</v>
      </c>
      <c r="W65" s="16">
        <f t="shared" si="7"/>
        <v>0</v>
      </c>
      <c r="X65" s="16">
        <f t="shared" si="8"/>
        <v>0</v>
      </c>
      <c r="Y65" s="16">
        <f t="shared" si="4"/>
        <v>0</v>
      </c>
      <c r="Z65" s="25">
        <f t="shared" si="4"/>
        <v>0</v>
      </c>
      <c r="AA65" s="42"/>
      <c r="AB65" s="43"/>
      <c r="AC65" s="44"/>
      <c r="AD65" s="45"/>
      <c r="AE65" s="43"/>
      <c r="AF65" s="44"/>
      <c r="AG65" s="45"/>
    </row>
    <row r="66" ht="12.75" customHeight="1" spans="1:33">
      <c r="A66" s="14"/>
      <c r="B66" s="17"/>
      <c r="C66" s="17">
        <f>C62</f>
        <v>37</v>
      </c>
      <c r="D66" s="18">
        <f>Reference!B64</f>
        <v>111.0119</v>
      </c>
      <c r="E66" s="19">
        <f>Reference!C64</f>
        <v>34.1183</v>
      </c>
      <c r="F66" s="19">
        <f>Reference!D64</f>
        <v>38.2992</v>
      </c>
      <c r="G66" s="19">
        <f>Reference!E64</f>
        <v>37.3484</v>
      </c>
      <c r="H66" s="19">
        <f>Reference!F64</f>
        <v>1038</v>
      </c>
      <c r="I66" s="19">
        <f>Reference!G64</f>
        <v>1.317</v>
      </c>
      <c r="J66" s="19">
        <f t="shared" si="5"/>
        <v>0.288333333333333</v>
      </c>
      <c r="K66" s="29">
        <f>Reference!H64</f>
        <v>993096</v>
      </c>
      <c r="L66" s="30">
        <f>Reference!I64</f>
        <v>264672</v>
      </c>
      <c r="N66" s="18">
        <f>Test!B64</f>
        <v>0</v>
      </c>
      <c r="O66" s="19">
        <f>Test!C64</f>
        <v>0</v>
      </c>
      <c r="P66" s="19">
        <f>Test!D64</f>
        <v>0</v>
      </c>
      <c r="Q66" s="19">
        <f>Test!E64</f>
        <v>0</v>
      </c>
      <c r="R66" s="19">
        <f>Test!F64</f>
        <v>0</v>
      </c>
      <c r="S66" s="19">
        <f>Test!G64</f>
        <v>0</v>
      </c>
      <c r="T66" s="19">
        <f t="shared" si="6"/>
        <v>0</v>
      </c>
      <c r="U66" s="29">
        <f>Test!H64</f>
        <v>0</v>
      </c>
      <c r="V66" s="30">
        <f>Test!I64</f>
        <v>0</v>
      </c>
      <c r="W66" s="16">
        <f t="shared" si="7"/>
        <v>0</v>
      </c>
      <c r="X66" s="16">
        <f t="shared" si="8"/>
        <v>0</v>
      </c>
      <c r="Y66" s="16">
        <f t="shared" si="4"/>
        <v>0</v>
      </c>
      <c r="Z66" s="25">
        <f t="shared" si="4"/>
        <v>0</v>
      </c>
      <c r="AA66" s="42"/>
      <c r="AB66" s="46"/>
      <c r="AC66" s="47"/>
      <c r="AD66" s="48"/>
      <c r="AE66" s="46"/>
      <c r="AF66" s="47"/>
      <c r="AG66" s="48"/>
    </row>
    <row r="67" spans="1:33">
      <c r="A67" s="14"/>
      <c r="B67" s="11" t="s">
        <v>86</v>
      </c>
      <c r="C67" s="11">
        <v>22</v>
      </c>
      <c r="D67" s="12">
        <f>Reference!B65</f>
        <v>1473.216</v>
      </c>
      <c r="E67" s="13">
        <f>Reference!C65</f>
        <v>42.185</v>
      </c>
      <c r="F67" s="13">
        <f>Reference!D65</f>
        <v>44.5057</v>
      </c>
      <c r="G67" s="13">
        <f>Reference!E65</f>
        <v>45.7581</v>
      </c>
      <c r="H67" s="13">
        <f>Reference!F65</f>
        <v>3424</v>
      </c>
      <c r="I67" s="13">
        <f>Reference!G65</f>
        <v>3.587</v>
      </c>
      <c r="J67" s="13">
        <f t="shared" ref="J67:J98" si="9">H67/3600</f>
        <v>0.951111111111111</v>
      </c>
      <c r="K67" s="27">
        <f>Reference!H65</f>
        <v>1000376</v>
      </c>
      <c r="L67" s="28">
        <f>Reference!I65</f>
        <v>268024</v>
      </c>
      <c r="N67" s="12">
        <f>Test!B65</f>
        <v>0</v>
      </c>
      <c r="O67" s="13">
        <f>Test!C65</f>
        <v>0</v>
      </c>
      <c r="P67" s="13">
        <f>Test!D65</f>
        <v>0</v>
      </c>
      <c r="Q67" s="13">
        <f>Test!E65</f>
        <v>0</v>
      </c>
      <c r="R67" s="13">
        <f>Test!F65</f>
        <v>0</v>
      </c>
      <c r="S67" s="13">
        <f>Test!G65</f>
        <v>0</v>
      </c>
      <c r="T67" s="13">
        <f t="shared" ref="T67:T98" si="10">R67/3600</f>
        <v>0</v>
      </c>
      <c r="U67" s="27">
        <f>Test!H65</f>
        <v>0</v>
      </c>
      <c r="V67" s="28">
        <f>Test!I65</f>
        <v>0</v>
      </c>
      <c r="W67" s="16">
        <f t="shared" ref="W67:W98" si="11">R67/H67</f>
        <v>0</v>
      </c>
      <c r="X67" s="16">
        <f t="shared" ref="X67:X98" si="12">S67/I67</f>
        <v>0</v>
      </c>
      <c r="Y67" s="16">
        <f t="shared" si="4"/>
        <v>0</v>
      </c>
      <c r="Z67" s="25">
        <f t="shared" si="4"/>
        <v>0</v>
      </c>
      <c r="AA67" s="42"/>
      <c r="AB67" s="39" t="e">
        <f>bdrate($D67:$D70,E67:E70,$N67:$N70,O67:O70)</f>
        <v>#VALUE!</v>
      </c>
      <c r="AC67" s="40" t="e">
        <f>bdrate($D67:$D70,F67:F70,$N67:$N70,P67:P70)</f>
        <v>#VALUE!</v>
      </c>
      <c r="AD67" s="40" t="e">
        <f>bdrate($D67:$D70,G67:G70,$N67:$N70,Q67:Q70)</f>
        <v>#VALUE!</v>
      </c>
      <c r="AE67" s="49" t="e">
        <f>bdrateOld($D67:$D70,E67:E70,$N67:$N70,O67:O70)</f>
        <v>#VALUE!</v>
      </c>
      <c r="AF67" s="50" t="e">
        <f>bdrateOld($D67:$D70,F67:F70,$N67:$N70,P67:P70)</f>
        <v>#VALUE!</v>
      </c>
      <c r="AG67" s="52" t="e">
        <f>bdrateOld($D67:$D70,G67:G70,$N67:$N70,Q67:Q70)</f>
        <v>#VALUE!</v>
      </c>
    </row>
    <row r="68" spans="1:33">
      <c r="A68" s="14"/>
      <c r="B68" s="14"/>
      <c r="C68" s="14">
        <v>27</v>
      </c>
      <c r="D68" s="15">
        <f>Reference!B66</f>
        <v>941.0984</v>
      </c>
      <c r="E68" s="16">
        <f>Reference!C66</f>
        <v>37.7934</v>
      </c>
      <c r="F68" s="16">
        <f>Reference!D66</f>
        <v>42.0168</v>
      </c>
      <c r="G68" s="16">
        <f>Reference!E66</f>
        <v>43.1378</v>
      </c>
      <c r="H68" s="16">
        <f>Reference!F66</f>
        <v>2880</v>
      </c>
      <c r="I68" s="16">
        <f>Reference!G66</f>
        <v>2.924</v>
      </c>
      <c r="J68" s="16">
        <f t="shared" si="9"/>
        <v>0.8</v>
      </c>
      <c r="K68" s="29">
        <f>Reference!H66</f>
        <v>999208</v>
      </c>
      <c r="L68" s="30">
        <f>Reference!I66</f>
        <v>267104</v>
      </c>
      <c r="N68" s="15">
        <f>Test!B66</f>
        <v>0</v>
      </c>
      <c r="O68" s="16">
        <f>Test!C66</f>
        <v>0</v>
      </c>
      <c r="P68" s="16">
        <f>Test!D66</f>
        <v>0</v>
      </c>
      <c r="Q68" s="16">
        <f>Test!E66</f>
        <v>0</v>
      </c>
      <c r="R68" s="16">
        <f>Test!F66</f>
        <v>0</v>
      </c>
      <c r="S68" s="16">
        <f>Test!G66</f>
        <v>0</v>
      </c>
      <c r="T68" s="16">
        <f t="shared" si="10"/>
        <v>0</v>
      </c>
      <c r="U68" s="29">
        <f>Test!H66</f>
        <v>0</v>
      </c>
      <c r="V68" s="30">
        <f>Test!I66</f>
        <v>0</v>
      </c>
      <c r="W68" s="16">
        <f t="shared" si="11"/>
        <v>0</v>
      </c>
      <c r="X68" s="16">
        <f t="shared" si="12"/>
        <v>0</v>
      </c>
      <c r="Y68" s="16">
        <f t="shared" ref="Y68:Z122" si="13">U68/K68</f>
        <v>0</v>
      </c>
      <c r="Z68" s="25">
        <f t="shared" si="13"/>
        <v>0</v>
      </c>
      <c r="AA68" s="42"/>
      <c r="AB68" s="43"/>
      <c r="AC68" s="44"/>
      <c r="AD68" s="44"/>
      <c r="AE68" s="43"/>
      <c r="AF68" s="44"/>
      <c r="AG68" s="45"/>
    </row>
    <row r="69" spans="1:33">
      <c r="A69" s="14"/>
      <c r="B69" s="14"/>
      <c r="C69" s="14">
        <v>32</v>
      </c>
      <c r="D69" s="15">
        <f>Reference!B67</f>
        <v>565.8936</v>
      </c>
      <c r="E69" s="16">
        <f>Reference!C67</f>
        <v>34.0012</v>
      </c>
      <c r="F69" s="16">
        <f>Reference!D67</f>
        <v>39.5765</v>
      </c>
      <c r="G69" s="16">
        <f>Reference!E67</f>
        <v>40.2863</v>
      </c>
      <c r="H69" s="16">
        <f>Reference!F67</f>
        <v>2448</v>
      </c>
      <c r="I69" s="16">
        <f>Reference!G67</f>
        <v>2.406</v>
      </c>
      <c r="J69" s="16">
        <f t="shared" si="9"/>
        <v>0.68</v>
      </c>
      <c r="K69" s="29">
        <f>Reference!H67</f>
        <v>997684</v>
      </c>
      <c r="L69" s="30">
        <f>Reference!I67</f>
        <v>266216</v>
      </c>
      <c r="N69" s="15">
        <f>Test!B67</f>
        <v>0</v>
      </c>
      <c r="O69" s="16">
        <f>Test!C67</f>
        <v>0</v>
      </c>
      <c r="P69" s="16">
        <f>Test!D67</f>
        <v>0</v>
      </c>
      <c r="Q69" s="16">
        <f>Test!E67</f>
        <v>0</v>
      </c>
      <c r="R69" s="16">
        <f>Test!F67</f>
        <v>0</v>
      </c>
      <c r="S69" s="16">
        <f>Test!G67</f>
        <v>0</v>
      </c>
      <c r="T69" s="16">
        <f t="shared" si="10"/>
        <v>0</v>
      </c>
      <c r="U69" s="29">
        <f>Test!H67</f>
        <v>0</v>
      </c>
      <c r="V69" s="30">
        <f>Test!I67</f>
        <v>0</v>
      </c>
      <c r="W69" s="16">
        <f t="shared" si="11"/>
        <v>0</v>
      </c>
      <c r="X69" s="16">
        <f t="shared" si="12"/>
        <v>0</v>
      </c>
      <c r="Y69" s="16">
        <f t="shared" si="13"/>
        <v>0</v>
      </c>
      <c r="Z69" s="25">
        <f t="shared" si="13"/>
        <v>0</v>
      </c>
      <c r="AA69" s="42"/>
      <c r="AB69" s="43"/>
      <c r="AC69" s="44"/>
      <c r="AD69" s="44"/>
      <c r="AE69" s="43"/>
      <c r="AF69" s="44"/>
      <c r="AG69" s="45"/>
    </row>
    <row r="70" ht="12.75" customHeight="1" spans="1:33">
      <c r="A70" s="14"/>
      <c r="B70" s="17"/>
      <c r="C70" s="17">
        <v>37</v>
      </c>
      <c r="D70" s="18">
        <f>Reference!B68</f>
        <v>335.7696</v>
      </c>
      <c r="E70" s="19">
        <f>Reference!C68</f>
        <v>30.5968</v>
      </c>
      <c r="F70" s="19">
        <f>Reference!D68</f>
        <v>38.166</v>
      </c>
      <c r="G70" s="19">
        <f>Reference!E68</f>
        <v>38.8236</v>
      </c>
      <c r="H70" s="19">
        <f>Reference!F68</f>
        <v>1907</v>
      </c>
      <c r="I70" s="19">
        <f>Reference!G68</f>
        <v>1.993</v>
      </c>
      <c r="J70" s="19">
        <f t="shared" si="9"/>
        <v>0.529722222222222</v>
      </c>
      <c r="K70" s="29">
        <f>Reference!H68</f>
        <v>996032</v>
      </c>
      <c r="L70" s="30">
        <f>Reference!I68</f>
        <v>265612</v>
      </c>
      <c r="N70" s="18">
        <f>Test!B68</f>
        <v>0</v>
      </c>
      <c r="O70" s="19">
        <f>Test!C68</f>
        <v>0</v>
      </c>
      <c r="P70" s="19">
        <f>Test!D68</f>
        <v>0</v>
      </c>
      <c r="Q70" s="19">
        <f>Test!E68</f>
        <v>0</v>
      </c>
      <c r="R70" s="19">
        <f>Test!F68</f>
        <v>0</v>
      </c>
      <c r="S70" s="19">
        <f>Test!G68</f>
        <v>0</v>
      </c>
      <c r="T70" s="19">
        <f t="shared" si="10"/>
        <v>0</v>
      </c>
      <c r="U70" s="29">
        <f>Test!H68</f>
        <v>0</v>
      </c>
      <c r="V70" s="30">
        <f>Test!I68</f>
        <v>0</v>
      </c>
      <c r="W70" s="16">
        <f t="shared" si="11"/>
        <v>0</v>
      </c>
      <c r="X70" s="16">
        <f t="shared" si="12"/>
        <v>0</v>
      </c>
      <c r="Y70" s="16">
        <f t="shared" si="13"/>
        <v>0</v>
      </c>
      <c r="Z70" s="25">
        <f t="shared" si="13"/>
        <v>0</v>
      </c>
      <c r="AA70" s="42"/>
      <c r="AB70" s="46"/>
      <c r="AC70" s="47"/>
      <c r="AD70" s="47"/>
      <c r="AE70" s="46"/>
      <c r="AF70" s="47"/>
      <c r="AG70" s="48"/>
    </row>
    <row r="71" spans="1:33">
      <c r="A71" s="14"/>
      <c r="B71" s="11" t="s">
        <v>58</v>
      </c>
      <c r="C71" s="11">
        <v>22</v>
      </c>
      <c r="D71" s="12">
        <f>Reference!B69</f>
        <v>1307.7889</v>
      </c>
      <c r="E71" s="13">
        <f>Reference!C69</f>
        <v>42.0057</v>
      </c>
      <c r="F71" s="13">
        <f>Reference!D69</f>
        <v>42.9921</v>
      </c>
      <c r="G71" s="13">
        <f>Reference!E69</f>
        <v>43.9113</v>
      </c>
      <c r="H71" s="13">
        <f>Reference!F69</f>
        <v>2866</v>
      </c>
      <c r="I71" s="13">
        <f>Reference!G69</f>
        <v>3.202</v>
      </c>
      <c r="J71" s="13">
        <f t="shared" si="9"/>
        <v>0.796111111111111</v>
      </c>
      <c r="K71" s="27">
        <f>Reference!H69</f>
        <v>1000036</v>
      </c>
      <c r="L71" s="28">
        <f>Reference!I69</f>
        <v>268552</v>
      </c>
      <c r="N71" s="12">
        <f>Test!B69</f>
        <v>0</v>
      </c>
      <c r="O71" s="13">
        <f>Test!C69</f>
        <v>0</v>
      </c>
      <c r="P71" s="13">
        <f>Test!D69</f>
        <v>0</v>
      </c>
      <c r="Q71" s="13">
        <f>Test!E69</f>
        <v>0</v>
      </c>
      <c r="R71" s="13">
        <f>Test!F69</f>
        <v>0</v>
      </c>
      <c r="S71" s="13">
        <f>Test!G69</f>
        <v>0</v>
      </c>
      <c r="T71" s="13">
        <f t="shared" si="10"/>
        <v>0</v>
      </c>
      <c r="U71" s="27">
        <f>Test!H69</f>
        <v>0</v>
      </c>
      <c r="V71" s="28">
        <f>Test!I69</f>
        <v>0</v>
      </c>
      <c r="W71" s="16">
        <f t="shared" si="11"/>
        <v>0</v>
      </c>
      <c r="X71" s="16">
        <f t="shared" si="12"/>
        <v>0</v>
      </c>
      <c r="Y71" s="16">
        <f t="shared" si="13"/>
        <v>0</v>
      </c>
      <c r="Z71" s="25">
        <f t="shared" si="13"/>
        <v>0</v>
      </c>
      <c r="AA71" s="42"/>
      <c r="AB71" s="39" t="e">
        <f>bdrate($D71:$D74,E71:E74,$N71:$N74,O71:O74)</f>
        <v>#VALUE!</v>
      </c>
      <c r="AC71" s="40" t="e">
        <f>bdrate($D71:$D74,F71:F74,$N71:$N74,P71:P74)</f>
        <v>#VALUE!</v>
      </c>
      <c r="AD71" s="40" t="e">
        <f>bdrate($D71:$D74,G71:G74,$N71:$N74,Q71:Q74)</f>
        <v>#VALUE!</v>
      </c>
      <c r="AE71" s="49" t="e">
        <f>bdrateOld($D71:$D74,E71:E74,$N71:$N74,O71:O74)</f>
        <v>#VALUE!</v>
      </c>
      <c r="AF71" s="50" t="e">
        <f>bdrateOld($D71:$D74,F71:F74,$N71:$N74,P71:P74)</f>
        <v>#VALUE!</v>
      </c>
      <c r="AG71" s="52" t="e">
        <f>bdrateOld($D71:$D74,G71:G74,$N71:$N74,Q71:Q74)</f>
        <v>#VALUE!</v>
      </c>
    </row>
    <row r="72" spans="1:33">
      <c r="A72" s="14"/>
      <c r="B72" s="14"/>
      <c r="C72" s="14">
        <v>27</v>
      </c>
      <c r="D72" s="15">
        <f>Reference!B70</f>
        <v>798.4262</v>
      </c>
      <c r="E72" s="16">
        <f>Reference!C70</f>
        <v>37.7942</v>
      </c>
      <c r="F72" s="16">
        <f>Reference!D70</f>
        <v>39.7404</v>
      </c>
      <c r="G72" s="16">
        <f>Reference!E70</f>
        <v>40.312</v>
      </c>
      <c r="H72" s="16">
        <f>Reference!F70</f>
        <v>2959</v>
      </c>
      <c r="I72" s="16">
        <f>Reference!G70</f>
        <v>3.012</v>
      </c>
      <c r="J72" s="16">
        <f t="shared" si="9"/>
        <v>0.821944444444444</v>
      </c>
      <c r="K72" s="29">
        <f>Reference!H70</f>
        <v>999712</v>
      </c>
      <c r="L72" s="30">
        <f>Reference!I70</f>
        <v>267724</v>
      </c>
      <c r="N72" s="15">
        <f>Test!B70</f>
        <v>0</v>
      </c>
      <c r="O72" s="16">
        <f>Test!C70</f>
        <v>0</v>
      </c>
      <c r="P72" s="16">
        <f>Test!D70</f>
        <v>0</v>
      </c>
      <c r="Q72" s="16">
        <f>Test!E70</f>
        <v>0</v>
      </c>
      <c r="R72" s="16">
        <f>Test!F70</f>
        <v>0</v>
      </c>
      <c r="S72" s="16">
        <f>Test!G70</f>
        <v>0</v>
      </c>
      <c r="T72" s="16">
        <f t="shared" si="10"/>
        <v>0</v>
      </c>
      <c r="U72" s="29">
        <f>Test!H70</f>
        <v>0</v>
      </c>
      <c r="V72" s="30">
        <f>Test!I70</f>
        <v>0</v>
      </c>
      <c r="W72" s="16">
        <f t="shared" si="11"/>
        <v>0</v>
      </c>
      <c r="X72" s="16">
        <f t="shared" si="12"/>
        <v>0</v>
      </c>
      <c r="Y72" s="16">
        <f t="shared" si="13"/>
        <v>0</v>
      </c>
      <c r="Z72" s="25">
        <f t="shared" si="13"/>
        <v>0</v>
      </c>
      <c r="AA72" s="42"/>
      <c r="AB72" s="43"/>
      <c r="AC72" s="44"/>
      <c r="AD72" s="44"/>
      <c r="AE72" s="43"/>
      <c r="AF72" s="44"/>
      <c r="AG72" s="45"/>
    </row>
    <row r="73" spans="1:33">
      <c r="A73" s="14"/>
      <c r="B73" s="14"/>
      <c r="C73" s="14">
        <v>32</v>
      </c>
      <c r="D73" s="15">
        <f>Reference!B71</f>
        <v>454.1563</v>
      </c>
      <c r="E73" s="16">
        <f>Reference!C71</f>
        <v>33.9542</v>
      </c>
      <c r="F73" s="16">
        <f>Reference!D71</f>
        <v>36.6326</v>
      </c>
      <c r="G73" s="16">
        <f>Reference!E71</f>
        <v>37.0421</v>
      </c>
      <c r="H73" s="16">
        <f>Reference!F71</f>
        <v>2549</v>
      </c>
      <c r="I73" s="16">
        <f>Reference!G71</f>
        <v>2.435</v>
      </c>
      <c r="J73" s="16">
        <f t="shared" si="9"/>
        <v>0.708055555555556</v>
      </c>
      <c r="K73" s="29">
        <f>Reference!H71</f>
        <v>998104</v>
      </c>
      <c r="L73" s="30">
        <f>Reference!I71</f>
        <v>266456</v>
      </c>
      <c r="N73" s="15">
        <f>Test!B71</f>
        <v>0</v>
      </c>
      <c r="O73" s="16">
        <f>Test!C71</f>
        <v>0</v>
      </c>
      <c r="P73" s="16">
        <f>Test!D71</f>
        <v>0</v>
      </c>
      <c r="Q73" s="16">
        <f>Test!E71</f>
        <v>0</v>
      </c>
      <c r="R73" s="16">
        <f>Test!F71</f>
        <v>0</v>
      </c>
      <c r="S73" s="16">
        <f>Test!G71</f>
        <v>0</v>
      </c>
      <c r="T73" s="16">
        <f t="shared" si="10"/>
        <v>0</v>
      </c>
      <c r="U73" s="29">
        <f>Test!H71</f>
        <v>0</v>
      </c>
      <c r="V73" s="30">
        <f>Test!I71</f>
        <v>0</v>
      </c>
      <c r="W73" s="16">
        <f t="shared" si="11"/>
        <v>0</v>
      </c>
      <c r="X73" s="16">
        <f t="shared" si="12"/>
        <v>0</v>
      </c>
      <c r="Y73" s="16">
        <f t="shared" si="13"/>
        <v>0</v>
      </c>
      <c r="Z73" s="25">
        <f t="shared" si="13"/>
        <v>0</v>
      </c>
      <c r="AA73" s="42"/>
      <c r="AB73" s="43"/>
      <c r="AC73" s="44"/>
      <c r="AD73" s="44"/>
      <c r="AE73" s="43"/>
      <c r="AF73" s="44"/>
      <c r="AG73" s="45"/>
    </row>
    <row r="74" ht="12.75" customHeight="1" spans="1:33">
      <c r="A74" s="14"/>
      <c r="B74" s="17"/>
      <c r="C74" s="17">
        <v>37</v>
      </c>
      <c r="D74" s="18">
        <f>Reference!B72</f>
        <v>237.6794</v>
      </c>
      <c r="E74" s="19">
        <f>Reference!C72</f>
        <v>30.3714</v>
      </c>
      <c r="F74" s="19">
        <f>Reference!D72</f>
        <v>35.1137</v>
      </c>
      <c r="G74" s="19">
        <f>Reference!E72</f>
        <v>35.5212</v>
      </c>
      <c r="H74" s="19">
        <f>Reference!F72</f>
        <v>1860</v>
      </c>
      <c r="I74" s="19">
        <f>Reference!G72</f>
        <v>1.91</v>
      </c>
      <c r="J74" s="19">
        <f t="shared" si="9"/>
        <v>0.516666666666667</v>
      </c>
      <c r="K74" s="29">
        <f>Reference!H72</f>
        <v>995888</v>
      </c>
      <c r="L74" s="30">
        <f>Reference!I72</f>
        <v>265556</v>
      </c>
      <c r="N74" s="18">
        <f>Test!B72</f>
        <v>0</v>
      </c>
      <c r="O74" s="19">
        <f>Test!C72</f>
        <v>0</v>
      </c>
      <c r="P74" s="19">
        <f>Test!D72</f>
        <v>0</v>
      </c>
      <c r="Q74" s="19">
        <f>Test!E72</f>
        <v>0</v>
      </c>
      <c r="R74" s="19">
        <f>Test!F72</f>
        <v>0</v>
      </c>
      <c r="S74" s="19">
        <f>Test!G72</f>
        <v>0</v>
      </c>
      <c r="T74" s="19">
        <f t="shared" si="10"/>
        <v>0</v>
      </c>
      <c r="U74" s="29">
        <f>Test!H72</f>
        <v>0</v>
      </c>
      <c r="V74" s="30">
        <f>Test!I72</f>
        <v>0</v>
      </c>
      <c r="W74" s="16">
        <f t="shared" si="11"/>
        <v>0</v>
      </c>
      <c r="X74" s="16">
        <f t="shared" si="12"/>
        <v>0</v>
      </c>
      <c r="Y74" s="16">
        <f t="shared" si="13"/>
        <v>0</v>
      </c>
      <c r="Z74" s="25">
        <f t="shared" si="13"/>
        <v>0</v>
      </c>
      <c r="AA74" s="42"/>
      <c r="AB74" s="46"/>
      <c r="AC74" s="47"/>
      <c r="AD74" s="47"/>
      <c r="AE74" s="46"/>
      <c r="AF74" s="47"/>
      <c r="AG74" s="48"/>
    </row>
    <row r="75" spans="1:33">
      <c r="A75" s="14"/>
      <c r="B75" s="11" t="s">
        <v>87</v>
      </c>
      <c r="C75" s="11">
        <v>22</v>
      </c>
      <c r="D75" s="12">
        <f>Reference!B73</f>
        <v>500.7979</v>
      </c>
      <c r="E75" s="13">
        <f>Reference!C73</f>
        <v>43.9725</v>
      </c>
      <c r="F75" s="13">
        <f>Reference!D73</f>
        <v>43.9601</v>
      </c>
      <c r="G75" s="13">
        <f>Reference!E73</f>
        <v>44.996</v>
      </c>
      <c r="H75" s="13">
        <f>Reference!F73</f>
        <v>1833</v>
      </c>
      <c r="I75" s="13">
        <f>Reference!G73</f>
        <v>1.622</v>
      </c>
      <c r="J75" s="13">
        <f t="shared" si="9"/>
        <v>0.509166666666667</v>
      </c>
      <c r="K75" s="27">
        <f>Reference!H73</f>
        <v>998680</v>
      </c>
      <c r="L75" s="28">
        <f>Reference!I73</f>
        <v>267196</v>
      </c>
      <c r="N75" s="12">
        <f>Test!B73</f>
        <v>0</v>
      </c>
      <c r="O75" s="13">
        <f>Test!C73</f>
        <v>0</v>
      </c>
      <c r="P75" s="13">
        <f>Test!D73</f>
        <v>0</v>
      </c>
      <c r="Q75" s="13">
        <f>Test!E73</f>
        <v>0</v>
      </c>
      <c r="R75" s="13">
        <f>Test!F73</f>
        <v>0</v>
      </c>
      <c r="S75" s="13">
        <f>Test!G73</f>
        <v>0</v>
      </c>
      <c r="T75" s="13">
        <f t="shared" si="10"/>
        <v>0</v>
      </c>
      <c r="U75" s="27">
        <f>Test!H73</f>
        <v>0</v>
      </c>
      <c r="V75" s="28">
        <f>Test!I73</f>
        <v>0</v>
      </c>
      <c r="W75" s="16">
        <f t="shared" si="11"/>
        <v>0</v>
      </c>
      <c r="X75" s="16">
        <f t="shared" si="12"/>
        <v>0</v>
      </c>
      <c r="Y75" s="16">
        <f t="shared" si="13"/>
        <v>0</v>
      </c>
      <c r="Z75" s="25">
        <f t="shared" si="13"/>
        <v>0</v>
      </c>
      <c r="AA75" s="42"/>
      <c r="AB75" s="39" t="e">
        <f>bdrate($D75:$D78,E75:E78,$N75:$N78,O75:O78)</f>
        <v>#VALUE!</v>
      </c>
      <c r="AC75" s="40" t="e">
        <f>bdrate($D75:$D78,F75:F78,$N75:$N78,P75:P78)</f>
        <v>#VALUE!</v>
      </c>
      <c r="AD75" s="40" t="e">
        <f>bdrate($D75:$D78,G75:G78,$N75:$N78,Q75:Q78)</f>
        <v>#VALUE!</v>
      </c>
      <c r="AE75" s="49" t="e">
        <f>bdrateOld($D75:$D78,E75:E78,$N75:$N78,O75:O78)</f>
        <v>#VALUE!</v>
      </c>
      <c r="AF75" s="50" t="e">
        <f>bdrateOld($D75:$D78,F75:F78,$N75:$N78,P75:P78)</f>
        <v>#VALUE!</v>
      </c>
      <c r="AG75" s="52" t="e">
        <f>bdrateOld($D75:$D78,G75:G78,$N75:$N78,Q75:Q78)</f>
        <v>#VALUE!</v>
      </c>
    </row>
    <row r="76" spans="1:33">
      <c r="A76" s="14"/>
      <c r="B76" s="14"/>
      <c r="C76" s="14">
        <v>27</v>
      </c>
      <c r="D76" s="15">
        <f>Reference!B74</f>
        <v>303.6466</v>
      </c>
      <c r="E76" s="16">
        <f>Reference!C74</f>
        <v>40.0558</v>
      </c>
      <c r="F76" s="16">
        <f>Reference!D74</f>
        <v>40.2336</v>
      </c>
      <c r="G76" s="16">
        <f>Reference!E74</f>
        <v>41.8498</v>
      </c>
      <c r="H76" s="16">
        <f>Reference!F74</f>
        <v>1502</v>
      </c>
      <c r="I76" s="16">
        <f>Reference!G74</f>
        <v>1.303</v>
      </c>
      <c r="J76" s="16">
        <f t="shared" si="9"/>
        <v>0.417222222222222</v>
      </c>
      <c r="K76" s="29">
        <f>Reference!H74</f>
        <v>997560</v>
      </c>
      <c r="L76" s="30">
        <f>Reference!I74</f>
        <v>266368</v>
      </c>
      <c r="N76" s="15">
        <f>Test!B74</f>
        <v>0</v>
      </c>
      <c r="O76" s="16">
        <f>Test!C74</f>
        <v>0</v>
      </c>
      <c r="P76" s="16">
        <f>Test!D74</f>
        <v>0</v>
      </c>
      <c r="Q76" s="16">
        <f>Test!E74</f>
        <v>0</v>
      </c>
      <c r="R76" s="16">
        <f>Test!F74</f>
        <v>0</v>
      </c>
      <c r="S76" s="16">
        <f>Test!G74</f>
        <v>0</v>
      </c>
      <c r="T76" s="16">
        <f t="shared" si="10"/>
        <v>0</v>
      </c>
      <c r="U76" s="29">
        <f>Test!H74</f>
        <v>0</v>
      </c>
      <c r="V76" s="30">
        <f>Test!I74</f>
        <v>0</v>
      </c>
      <c r="W76" s="16">
        <f t="shared" si="11"/>
        <v>0</v>
      </c>
      <c r="X76" s="16">
        <f t="shared" si="12"/>
        <v>0</v>
      </c>
      <c r="Y76" s="16">
        <f t="shared" si="13"/>
        <v>0</v>
      </c>
      <c r="Z76" s="25">
        <f t="shared" si="13"/>
        <v>0</v>
      </c>
      <c r="AA76" s="42"/>
      <c r="AB76" s="43"/>
      <c r="AC76" s="44"/>
      <c r="AD76" s="44"/>
      <c r="AE76" s="43"/>
      <c r="AF76" s="44"/>
      <c r="AG76" s="45"/>
    </row>
    <row r="77" spans="1:33">
      <c r="A77" s="14"/>
      <c r="B77" s="14"/>
      <c r="C77" s="14">
        <v>32</v>
      </c>
      <c r="D77" s="15">
        <f>Reference!B75</f>
        <v>170.6068</v>
      </c>
      <c r="E77" s="16">
        <f>Reference!C75</f>
        <v>36.2247</v>
      </c>
      <c r="F77" s="16">
        <f>Reference!D75</f>
        <v>37.4483</v>
      </c>
      <c r="G77" s="16">
        <f>Reference!E75</f>
        <v>38.7988</v>
      </c>
      <c r="H77" s="16">
        <f>Reference!F75</f>
        <v>1280</v>
      </c>
      <c r="I77" s="16">
        <f>Reference!G75</f>
        <v>1.229</v>
      </c>
      <c r="J77" s="16">
        <f t="shared" si="9"/>
        <v>0.355555555555556</v>
      </c>
      <c r="K77" s="29">
        <f>Reference!H75</f>
        <v>996272</v>
      </c>
      <c r="L77" s="30">
        <f>Reference!I75</f>
        <v>265648</v>
      </c>
      <c r="N77" s="15">
        <f>Test!B75</f>
        <v>0</v>
      </c>
      <c r="O77" s="16">
        <f>Test!C75</f>
        <v>0</v>
      </c>
      <c r="P77" s="16">
        <f>Test!D75</f>
        <v>0</v>
      </c>
      <c r="Q77" s="16">
        <f>Test!E75</f>
        <v>0</v>
      </c>
      <c r="R77" s="16">
        <f>Test!F75</f>
        <v>0</v>
      </c>
      <c r="S77" s="16">
        <f>Test!G75</f>
        <v>0</v>
      </c>
      <c r="T77" s="16">
        <f t="shared" si="10"/>
        <v>0</v>
      </c>
      <c r="U77" s="29">
        <f>Test!H75</f>
        <v>0</v>
      </c>
      <c r="V77" s="30">
        <f>Test!I75</f>
        <v>0</v>
      </c>
      <c r="W77" s="16">
        <f t="shared" si="11"/>
        <v>0</v>
      </c>
      <c r="X77" s="16">
        <f t="shared" si="12"/>
        <v>0</v>
      </c>
      <c r="Y77" s="16">
        <f t="shared" si="13"/>
        <v>0</v>
      </c>
      <c r="Z77" s="25">
        <f t="shared" si="13"/>
        <v>0</v>
      </c>
      <c r="AA77" s="42"/>
      <c r="AB77" s="43"/>
      <c r="AC77" s="44"/>
      <c r="AD77" s="44"/>
      <c r="AE77" s="43"/>
      <c r="AF77" s="44"/>
      <c r="AG77" s="45"/>
    </row>
    <row r="78" ht="12.75" customHeight="1" spans="1:33">
      <c r="A78" s="17"/>
      <c r="B78" s="17"/>
      <c r="C78" s="17">
        <v>37</v>
      </c>
      <c r="D78" s="18">
        <f>Reference!B76</f>
        <v>86.9613</v>
      </c>
      <c r="E78" s="19">
        <f>Reference!C76</f>
        <v>32.6656</v>
      </c>
      <c r="F78" s="19">
        <f>Reference!D76</f>
        <v>36.0183</v>
      </c>
      <c r="G78" s="19">
        <f>Reference!E76</f>
        <v>37.0804</v>
      </c>
      <c r="H78" s="19">
        <f>Reference!F76</f>
        <v>803</v>
      </c>
      <c r="I78" s="19">
        <f>Reference!G76</f>
        <v>0.95</v>
      </c>
      <c r="J78" s="19">
        <f t="shared" si="9"/>
        <v>0.223055555555556</v>
      </c>
      <c r="K78" s="29">
        <f>Reference!H76</f>
        <v>994284</v>
      </c>
      <c r="L78" s="30">
        <f>Reference!I76</f>
        <v>264812</v>
      </c>
      <c r="N78" s="18">
        <f>Test!B76</f>
        <v>0</v>
      </c>
      <c r="O78" s="19">
        <f>Test!C76</f>
        <v>0</v>
      </c>
      <c r="P78" s="19">
        <f>Test!D76</f>
        <v>0</v>
      </c>
      <c r="Q78" s="19">
        <f>Test!E76</f>
        <v>0</v>
      </c>
      <c r="R78" s="19">
        <f>Test!F76</f>
        <v>0</v>
      </c>
      <c r="S78" s="19">
        <f>Test!G76</f>
        <v>0</v>
      </c>
      <c r="T78" s="19">
        <f t="shared" si="10"/>
        <v>0</v>
      </c>
      <c r="U78" s="29">
        <f>Test!H76</f>
        <v>0</v>
      </c>
      <c r="V78" s="30">
        <f>Test!I76</f>
        <v>0</v>
      </c>
      <c r="W78" s="19">
        <f t="shared" si="11"/>
        <v>0</v>
      </c>
      <c r="X78" s="19">
        <f t="shared" si="12"/>
        <v>0</v>
      </c>
      <c r="Y78" s="19">
        <f t="shared" si="13"/>
        <v>0</v>
      </c>
      <c r="Z78" s="26">
        <f t="shared" si="13"/>
        <v>0</v>
      </c>
      <c r="AA78" s="51"/>
      <c r="AB78" s="46"/>
      <c r="AC78" s="47"/>
      <c r="AD78" s="47"/>
      <c r="AE78" s="46"/>
      <c r="AF78" s="47"/>
      <c r="AG78" s="48"/>
    </row>
    <row r="79" spans="1:33">
      <c r="A79" s="11" t="s">
        <v>24</v>
      </c>
      <c r="B79" s="11" t="s">
        <v>88</v>
      </c>
      <c r="C79" s="11">
        <v>22</v>
      </c>
      <c r="D79" s="12">
        <f>Reference!B77</f>
        <v>3142.9896</v>
      </c>
      <c r="E79" s="13">
        <f>Reference!C77</f>
        <v>44.7548</v>
      </c>
      <c r="F79" s="13">
        <f>Reference!D77</f>
        <v>48.1121</v>
      </c>
      <c r="G79" s="13">
        <f>Reference!E77</f>
        <v>49.3585</v>
      </c>
      <c r="H79" s="13">
        <f>Reference!F77</f>
        <v>19756</v>
      </c>
      <c r="I79" s="13">
        <f>Reference!G77</f>
        <v>18.438</v>
      </c>
      <c r="J79" s="13">
        <f t="shared" si="9"/>
        <v>5.48777777777778</v>
      </c>
      <c r="K79" s="27">
        <f>Reference!H77</f>
        <v>1885920</v>
      </c>
      <c r="L79" s="28">
        <f>Reference!I77</f>
        <v>342680</v>
      </c>
      <c r="N79" s="12">
        <f>Test!B77</f>
        <v>0</v>
      </c>
      <c r="O79" s="13">
        <f>Test!C77</f>
        <v>0</v>
      </c>
      <c r="P79" s="13">
        <f>Test!D77</f>
        <v>0</v>
      </c>
      <c r="Q79" s="13">
        <f>Test!E77</f>
        <v>0</v>
      </c>
      <c r="R79" s="13">
        <f>Test!F77</f>
        <v>0</v>
      </c>
      <c r="S79" s="13">
        <f>Test!G77</f>
        <v>0</v>
      </c>
      <c r="T79" s="13">
        <f t="shared" si="10"/>
        <v>0</v>
      </c>
      <c r="U79" s="27">
        <f>Test!H77</f>
        <v>0</v>
      </c>
      <c r="V79" s="28">
        <f>Test!I77</f>
        <v>0</v>
      </c>
      <c r="W79" s="13">
        <f t="shared" si="11"/>
        <v>0</v>
      </c>
      <c r="X79" s="13">
        <f t="shared" si="12"/>
        <v>0</v>
      </c>
      <c r="Y79" s="13">
        <f t="shared" si="13"/>
        <v>0</v>
      </c>
      <c r="Z79" s="24">
        <f t="shared" si="13"/>
        <v>0</v>
      </c>
      <c r="AA79" s="38"/>
      <c r="AB79" s="39" t="e">
        <f>bdrate($D79:$D82,E79:E82,$N79:$N82,O79:O82)</f>
        <v>#VALUE!</v>
      </c>
      <c r="AC79" s="40" t="e">
        <f>bdrate($D79:$D82,F79:F82,$N79:$N82,P79:P82)</f>
        <v>#VALUE!</v>
      </c>
      <c r="AD79" s="41" t="e">
        <f>bdrate($D79:$D82,G79:G82,$N79:$N82,Q79:Q82)</f>
        <v>#VALUE!</v>
      </c>
      <c r="AE79" s="39" t="e">
        <f>bdrateOld($D79:$D82,E79:E82,$N79:$N82,O79:O82)</f>
        <v>#VALUE!</v>
      </c>
      <c r="AF79" s="40" t="e">
        <f>bdrateOld($D79:$D82,F79:F82,$N79:$N82,P79:P82)</f>
        <v>#VALUE!</v>
      </c>
      <c r="AG79" s="41" t="e">
        <f>bdrateOld($D79:$D82,G79:G82,$N79:$N82,Q79:Q82)</f>
        <v>#VALUE!</v>
      </c>
    </row>
    <row r="80" spans="1:33">
      <c r="A80" s="14" t="s">
        <v>115</v>
      </c>
      <c r="B80" s="14"/>
      <c r="C80" s="14">
        <v>27</v>
      </c>
      <c r="D80" s="15">
        <f>Reference!B78</f>
        <v>1891.3624</v>
      </c>
      <c r="E80" s="16">
        <f>Reference!C78</f>
        <v>42.4688</v>
      </c>
      <c r="F80" s="16">
        <f>Reference!D78</f>
        <v>46.0652</v>
      </c>
      <c r="G80" s="16">
        <f>Reference!E78</f>
        <v>47.2225</v>
      </c>
      <c r="H80" s="16">
        <f>Reference!F78</f>
        <v>14424</v>
      </c>
      <c r="I80" s="16">
        <f>Reference!G78</f>
        <v>16.146</v>
      </c>
      <c r="J80" s="16">
        <f t="shared" si="9"/>
        <v>4.00666666666667</v>
      </c>
      <c r="K80" s="29">
        <f>Reference!H78</f>
        <v>1879728</v>
      </c>
      <c r="L80" s="30">
        <f>Reference!I78</f>
        <v>339456</v>
      </c>
      <c r="N80" s="15">
        <f>Test!B78</f>
        <v>0</v>
      </c>
      <c r="O80" s="16">
        <f>Test!C78</f>
        <v>0</v>
      </c>
      <c r="P80" s="16">
        <f>Test!D78</f>
        <v>0</v>
      </c>
      <c r="Q80" s="16">
        <f>Test!E78</f>
        <v>0</v>
      </c>
      <c r="R80" s="16">
        <f>Test!F78</f>
        <v>0</v>
      </c>
      <c r="S80" s="16">
        <f>Test!G78</f>
        <v>0</v>
      </c>
      <c r="T80" s="16">
        <f t="shared" si="10"/>
        <v>0</v>
      </c>
      <c r="U80" s="29">
        <f>Test!H78</f>
        <v>0</v>
      </c>
      <c r="V80" s="30">
        <f>Test!I78</f>
        <v>0</v>
      </c>
      <c r="W80" s="16">
        <f t="shared" si="11"/>
        <v>0</v>
      </c>
      <c r="X80" s="16">
        <f t="shared" si="12"/>
        <v>0</v>
      </c>
      <c r="Y80" s="16">
        <f t="shared" si="13"/>
        <v>0</v>
      </c>
      <c r="Z80" s="25">
        <f t="shared" si="13"/>
        <v>0</v>
      </c>
      <c r="AA80" s="42"/>
      <c r="AB80" s="43"/>
      <c r="AC80" s="44"/>
      <c r="AD80" s="45"/>
      <c r="AE80" s="43"/>
      <c r="AF80" s="44"/>
      <c r="AG80" s="45"/>
    </row>
    <row r="81" spans="1:33">
      <c r="A81" s="14"/>
      <c r="B81" s="14"/>
      <c r="C81" s="14">
        <v>32</v>
      </c>
      <c r="D81" s="15">
        <f>Reference!B79</f>
        <v>1160.9952</v>
      </c>
      <c r="E81" s="16">
        <f>Reference!C79</f>
        <v>39.8967</v>
      </c>
      <c r="F81" s="16">
        <f>Reference!D79</f>
        <v>43.6034</v>
      </c>
      <c r="G81" s="16">
        <f>Reference!E79</f>
        <v>44.6163</v>
      </c>
      <c r="H81" s="16">
        <f>Reference!F79</f>
        <v>10834</v>
      </c>
      <c r="I81" s="16">
        <f>Reference!G79</f>
        <v>14.082</v>
      </c>
      <c r="J81" s="16">
        <f t="shared" si="9"/>
        <v>3.00944444444444</v>
      </c>
      <c r="K81" s="29">
        <f>Reference!H79</f>
        <v>1875540</v>
      </c>
      <c r="L81" s="30">
        <f>Reference!I79</f>
        <v>336396</v>
      </c>
      <c r="N81" s="15">
        <f>Test!B79</f>
        <v>0</v>
      </c>
      <c r="O81" s="16">
        <f>Test!C79</f>
        <v>0</v>
      </c>
      <c r="P81" s="16">
        <f>Test!D79</f>
        <v>0</v>
      </c>
      <c r="Q81" s="16">
        <f>Test!E79</f>
        <v>0</v>
      </c>
      <c r="R81" s="16">
        <f>Test!F79</f>
        <v>0</v>
      </c>
      <c r="S81" s="16">
        <f>Test!G79</f>
        <v>0</v>
      </c>
      <c r="T81" s="16">
        <f t="shared" si="10"/>
        <v>0</v>
      </c>
      <c r="U81" s="29">
        <f>Test!H79</f>
        <v>0</v>
      </c>
      <c r="V81" s="30">
        <f>Test!I79</f>
        <v>0</v>
      </c>
      <c r="W81" s="16">
        <f t="shared" si="11"/>
        <v>0</v>
      </c>
      <c r="X81" s="16">
        <f t="shared" si="12"/>
        <v>0</v>
      </c>
      <c r="Y81" s="16">
        <f t="shared" si="13"/>
        <v>0</v>
      </c>
      <c r="Z81" s="25">
        <f t="shared" si="13"/>
        <v>0</v>
      </c>
      <c r="AA81" s="42"/>
      <c r="AB81" s="43"/>
      <c r="AC81" s="44"/>
      <c r="AD81" s="45"/>
      <c r="AE81" s="43"/>
      <c r="AF81" s="44"/>
      <c r="AG81" s="45"/>
    </row>
    <row r="82" ht="12.75" customHeight="1" spans="1:33">
      <c r="A82" s="14"/>
      <c r="B82" s="17"/>
      <c r="C82" s="17">
        <v>37</v>
      </c>
      <c r="D82" s="18">
        <f>Reference!B80</f>
        <v>716.4816</v>
      </c>
      <c r="E82" s="19">
        <f>Reference!C80</f>
        <v>36.9214</v>
      </c>
      <c r="F82" s="19">
        <f>Reference!D80</f>
        <v>42.0526</v>
      </c>
      <c r="G82" s="19">
        <f>Reference!E80</f>
        <v>42.9822</v>
      </c>
      <c r="H82" s="19">
        <f>Reference!F80</f>
        <v>7523</v>
      </c>
      <c r="I82" s="19">
        <f>Reference!G80</f>
        <v>12.034</v>
      </c>
      <c r="J82" s="19">
        <f t="shared" si="9"/>
        <v>2.08972222222222</v>
      </c>
      <c r="K82" s="29">
        <f>Reference!H80</f>
        <v>1870228</v>
      </c>
      <c r="L82" s="30">
        <f>Reference!I80</f>
        <v>334144</v>
      </c>
      <c r="N82" s="18">
        <f>Test!B80</f>
        <v>0</v>
      </c>
      <c r="O82" s="19">
        <f>Test!C80</f>
        <v>0</v>
      </c>
      <c r="P82" s="19">
        <f>Test!D80</f>
        <v>0</v>
      </c>
      <c r="Q82" s="19">
        <f>Test!E80</f>
        <v>0</v>
      </c>
      <c r="R82" s="19">
        <f>Test!F80</f>
        <v>0</v>
      </c>
      <c r="S82" s="19">
        <f>Test!G80</f>
        <v>0</v>
      </c>
      <c r="T82" s="19">
        <f t="shared" si="10"/>
        <v>0</v>
      </c>
      <c r="U82" s="29">
        <f>Test!H80</f>
        <v>0</v>
      </c>
      <c r="V82" s="30">
        <f>Test!I80</f>
        <v>0</v>
      </c>
      <c r="W82" s="16">
        <f t="shared" si="11"/>
        <v>0</v>
      </c>
      <c r="X82" s="16">
        <f t="shared" si="12"/>
        <v>0</v>
      </c>
      <c r="Y82" s="16">
        <f t="shared" si="13"/>
        <v>0</v>
      </c>
      <c r="Z82" s="25">
        <f t="shared" si="13"/>
        <v>0</v>
      </c>
      <c r="AA82" s="42"/>
      <c r="AB82" s="46"/>
      <c r="AC82" s="47"/>
      <c r="AD82" s="48"/>
      <c r="AE82" s="46"/>
      <c r="AF82" s="47"/>
      <c r="AG82" s="48"/>
    </row>
    <row r="83" spans="1:33">
      <c r="A83" s="14"/>
      <c r="B83" s="11" t="s">
        <v>89</v>
      </c>
      <c r="C83" s="11">
        <v>22</v>
      </c>
      <c r="D83" s="12">
        <f>Reference!B81</f>
        <v>2205.1432</v>
      </c>
      <c r="E83" s="13">
        <f>Reference!C81</f>
        <v>44.9154</v>
      </c>
      <c r="F83" s="13">
        <f>Reference!D81</f>
        <v>49.2736</v>
      </c>
      <c r="G83" s="13">
        <f>Reference!E81</f>
        <v>49.8795</v>
      </c>
      <c r="H83" s="13">
        <f>Reference!F81</f>
        <v>14599</v>
      </c>
      <c r="I83" s="13">
        <f>Reference!G81</f>
        <v>13.449</v>
      </c>
      <c r="J83" s="13">
        <f t="shared" si="9"/>
        <v>4.05527777777778</v>
      </c>
      <c r="K83" s="27">
        <f>Reference!H81</f>
        <v>1875432</v>
      </c>
      <c r="L83" s="28">
        <f>Reference!I81</f>
        <v>337156</v>
      </c>
      <c r="N83" s="12">
        <f>Test!B81</f>
        <v>0</v>
      </c>
      <c r="O83" s="13">
        <f>Test!C81</f>
        <v>0</v>
      </c>
      <c r="P83" s="13">
        <f>Test!D81</f>
        <v>0</v>
      </c>
      <c r="Q83" s="13">
        <f>Test!E81</f>
        <v>0</v>
      </c>
      <c r="R83" s="13">
        <f>Test!F81</f>
        <v>0</v>
      </c>
      <c r="S83" s="13">
        <f>Test!G81</f>
        <v>0</v>
      </c>
      <c r="T83" s="13">
        <f t="shared" si="10"/>
        <v>0</v>
      </c>
      <c r="U83" s="27">
        <f>Test!H81</f>
        <v>0</v>
      </c>
      <c r="V83" s="28">
        <f>Test!I81</f>
        <v>0</v>
      </c>
      <c r="W83" s="16">
        <f t="shared" si="11"/>
        <v>0</v>
      </c>
      <c r="X83" s="16">
        <f t="shared" si="12"/>
        <v>0</v>
      </c>
      <c r="Y83" s="16">
        <f t="shared" si="13"/>
        <v>0</v>
      </c>
      <c r="Z83" s="25">
        <f t="shared" si="13"/>
        <v>0</v>
      </c>
      <c r="AA83" s="42"/>
      <c r="AB83" s="39" t="e">
        <f>bdrate($D83:$D86,E83:E86,$N83:$N86,O83:O86)</f>
        <v>#VALUE!</v>
      </c>
      <c r="AC83" s="40" t="e">
        <f>bdrate($D83:$D86,F83:F86,$N83:$N86,P83:P86)</f>
        <v>#VALUE!</v>
      </c>
      <c r="AD83" s="40" t="e">
        <f>bdrate($D83:$D86,G83:G86,$N83:$N86,Q83:Q86)</f>
        <v>#VALUE!</v>
      </c>
      <c r="AE83" s="49" t="e">
        <f>bdrateOld($D83:$D86,E83:E86,$N83:$N86,O83:O86)</f>
        <v>#VALUE!</v>
      </c>
      <c r="AF83" s="50" t="e">
        <f>bdrateOld($D83:$D86,F83:F86,$N83:$N86,P83:P86)</f>
        <v>#VALUE!</v>
      </c>
      <c r="AG83" s="52" t="e">
        <f>bdrateOld($D83:$D86,G83:G86,$N83:$N86,Q83:Q86)</f>
        <v>#VALUE!</v>
      </c>
    </row>
    <row r="84" spans="1:33">
      <c r="A84" s="14"/>
      <c r="B84" s="14"/>
      <c r="C84" s="14">
        <v>27</v>
      </c>
      <c r="D84" s="15">
        <f>Reference!B82</f>
        <v>1162.4864</v>
      </c>
      <c r="E84" s="16">
        <f>Reference!C82</f>
        <v>42.9014</v>
      </c>
      <c r="F84" s="16">
        <f>Reference!D82</f>
        <v>47.7908</v>
      </c>
      <c r="G84" s="16">
        <f>Reference!E82</f>
        <v>48.1773</v>
      </c>
      <c r="H84" s="16">
        <f>Reference!F82</f>
        <v>10331</v>
      </c>
      <c r="I84" s="16">
        <f>Reference!G82</f>
        <v>12.472</v>
      </c>
      <c r="J84" s="16">
        <f t="shared" si="9"/>
        <v>2.86972222222222</v>
      </c>
      <c r="K84" s="29">
        <f>Reference!H82</f>
        <v>1870928</v>
      </c>
      <c r="L84" s="30">
        <f>Reference!I82</f>
        <v>334992</v>
      </c>
      <c r="N84" s="15">
        <f>Test!B82</f>
        <v>0</v>
      </c>
      <c r="O84" s="16">
        <f>Test!C82</f>
        <v>0</v>
      </c>
      <c r="P84" s="16">
        <f>Test!D82</f>
        <v>0</v>
      </c>
      <c r="Q84" s="16">
        <f>Test!E82</f>
        <v>0</v>
      </c>
      <c r="R84" s="16">
        <f>Test!F82</f>
        <v>0</v>
      </c>
      <c r="S84" s="16">
        <f>Test!G82</f>
        <v>0</v>
      </c>
      <c r="T84" s="16">
        <f t="shared" si="10"/>
        <v>0</v>
      </c>
      <c r="U84" s="29">
        <f>Test!H82</f>
        <v>0</v>
      </c>
      <c r="V84" s="30">
        <f>Test!I82</f>
        <v>0</v>
      </c>
      <c r="W84" s="16">
        <f t="shared" si="11"/>
        <v>0</v>
      </c>
      <c r="X84" s="16">
        <f t="shared" si="12"/>
        <v>0</v>
      </c>
      <c r="Y84" s="16">
        <f t="shared" si="13"/>
        <v>0</v>
      </c>
      <c r="Z84" s="25">
        <f t="shared" si="13"/>
        <v>0</v>
      </c>
      <c r="AA84" s="42"/>
      <c r="AB84" s="43"/>
      <c r="AC84" s="44"/>
      <c r="AD84" s="44"/>
      <c r="AE84" s="43"/>
      <c r="AF84" s="44"/>
      <c r="AG84" s="45"/>
    </row>
    <row r="85" spans="1:33">
      <c r="A85" s="14"/>
      <c r="B85" s="14"/>
      <c r="C85" s="14">
        <v>32</v>
      </c>
      <c r="D85" s="15">
        <f>Reference!B83</f>
        <v>649.8232</v>
      </c>
      <c r="E85" s="16">
        <f>Reference!C83</f>
        <v>40.8498</v>
      </c>
      <c r="F85" s="16">
        <f>Reference!D83</f>
        <v>45.5894</v>
      </c>
      <c r="G85" s="16">
        <f>Reference!E83</f>
        <v>45.8902</v>
      </c>
      <c r="H85" s="16">
        <f>Reference!F83</f>
        <v>7219</v>
      </c>
      <c r="I85" s="16">
        <f>Reference!G83</f>
        <v>11.215</v>
      </c>
      <c r="J85" s="16">
        <f t="shared" si="9"/>
        <v>2.00527777777778</v>
      </c>
      <c r="K85" s="29">
        <f>Reference!H83</f>
        <v>1867964</v>
      </c>
      <c r="L85" s="30">
        <f>Reference!I83</f>
        <v>331516</v>
      </c>
      <c r="N85" s="15">
        <f>Test!B83</f>
        <v>0</v>
      </c>
      <c r="O85" s="16">
        <f>Test!C83</f>
        <v>0</v>
      </c>
      <c r="P85" s="16">
        <f>Test!D83</f>
        <v>0</v>
      </c>
      <c r="Q85" s="16">
        <f>Test!E83</f>
        <v>0</v>
      </c>
      <c r="R85" s="16">
        <f>Test!F83</f>
        <v>0</v>
      </c>
      <c r="S85" s="16">
        <f>Test!G83</f>
        <v>0</v>
      </c>
      <c r="T85" s="16">
        <f t="shared" si="10"/>
        <v>0</v>
      </c>
      <c r="U85" s="29">
        <f>Test!H83</f>
        <v>0</v>
      </c>
      <c r="V85" s="30">
        <f>Test!I83</f>
        <v>0</v>
      </c>
      <c r="W85" s="16">
        <f t="shared" si="11"/>
        <v>0</v>
      </c>
      <c r="X85" s="16">
        <f t="shared" si="12"/>
        <v>0</v>
      </c>
      <c r="Y85" s="16">
        <f t="shared" si="13"/>
        <v>0</v>
      </c>
      <c r="Z85" s="25">
        <f t="shared" si="13"/>
        <v>0</v>
      </c>
      <c r="AA85" s="42"/>
      <c r="AB85" s="43"/>
      <c r="AC85" s="44"/>
      <c r="AD85" s="44"/>
      <c r="AE85" s="43"/>
      <c r="AF85" s="44"/>
      <c r="AG85" s="45"/>
    </row>
    <row r="86" ht="12.75" customHeight="1" spans="1:33">
      <c r="A86" s="14"/>
      <c r="B86" s="17"/>
      <c r="C86" s="17">
        <v>37</v>
      </c>
      <c r="D86" s="18">
        <f>Reference!B84</f>
        <v>382.5424</v>
      </c>
      <c r="E86" s="19">
        <f>Reference!C84</f>
        <v>38.4704</v>
      </c>
      <c r="F86" s="19">
        <f>Reference!D84</f>
        <v>44.0575</v>
      </c>
      <c r="G86" s="19">
        <f>Reference!E84</f>
        <v>44.4628</v>
      </c>
      <c r="H86" s="19">
        <f>Reference!F84</f>
        <v>4301</v>
      </c>
      <c r="I86" s="19">
        <f>Reference!G84</f>
        <v>9.244</v>
      </c>
      <c r="J86" s="19">
        <f t="shared" si="9"/>
        <v>1.19472222222222</v>
      </c>
      <c r="K86" s="29">
        <f>Reference!H84</f>
        <v>1865404</v>
      </c>
      <c r="L86" s="30">
        <f>Reference!I84</f>
        <v>329528</v>
      </c>
      <c r="N86" s="18">
        <f>Test!B84</f>
        <v>0</v>
      </c>
      <c r="O86" s="19">
        <f>Test!C84</f>
        <v>0</v>
      </c>
      <c r="P86" s="19">
        <f>Test!D84</f>
        <v>0</v>
      </c>
      <c r="Q86" s="19">
        <f>Test!E84</f>
        <v>0</v>
      </c>
      <c r="R86" s="19">
        <f>Test!F84</f>
        <v>0</v>
      </c>
      <c r="S86" s="19">
        <f>Test!G84</f>
        <v>0</v>
      </c>
      <c r="T86" s="19">
        <f t="shared" si="10"/>
        <v>0</v>
      </c>
      <c r="U86" s="29">
        <f>Test!H84</f>
        <v>0</v>
      </c>
      <c r="V86" s="30">
        <f>Test!I84</f>
        <v>0</v>
      </c>
      <c r="W86" s="16">
        <f t="shared" si="11"/>
        <v>0</v>
      </c>
      <c r="X86" s="16">
        <f t="shared" si="12"/>
        <v>0</v>
      </c>
      <c r="Y86" s="16">
        <f t="shared" si="13"/>
        <v>0</v>
      </c>
      <c r="Z86" s="25">
        <f t="shared" si="13"/>
        <v>0</v>
      </c>
      <c r="AA86" s="42"/>
      <c r="AB86" s="46"/>
      <c r="AC86" s="47"/>
      <c r="AD86" s="47"/>
      <c r="AE86" s="46"/>
      <c r="AF86" s="47"/>
      <c r="AG86" s="48"/>
    </row>
    <row r="87" spans="1:33">
      <c r="A87" s="14"/>
      <c r="B87" s="11" t="s">
        <v>90</v>
      </c>
      <c r="C87" s="11">
        <v>22</v>
      </c>
      <c r="D87" s="12">
        <f>Reference!B85</f>
        <v>2343.3976</v>
      </c>
      <c r="E87" s="13">
        <f>Reference!C85</f>
        <v>45.3087</v>
      </c>
      <c r="F87" s="13">
        <f>Reference!D85</f>
        <v>48.6791</v>
      </c>
      <c r="G87" s="13">
        <f>Reference!E85</f>
        <v>49.5915</v>
      </c>
      <c r="H87" s="13">
        <f>Reference!F85</f>
        <v>16785</v>
      </c>
      <c r="I87" s="13">
        <f>Reference!G85</f>
        <v>16.093</v>
      </c>
      <c r="J87" s="13">
        <f t="shared" si="9"/>
        <v>4.6625</v>
      </c>
      <c r="K87" s="27">
        <f>Reference!H85</f>
        <v>1878120</v>
      </c>
      <c r="L87" s="28">
        <f>Reference!I85</f>
        <v>337772</v>
      </c>
      <c r="N87" s="12">
        <f>Test!B85</f>
        <v>0</v>
      </c>
      <c r="O87" s="13">
        <f>Test!C85</f>
        <v>0</v>
      </c>
      <c r="P87" s="13">
        <f>Test!D85</f>
        <v>0</v>
      </c>
      <c r="Q87" s="13">
        <f>Test!E85</f>
        <v>0</v>
      </c>
      <c r="R87" s="13">
        <f>Test!F85</f>
        <v>0</v>
      </c>
      <c r="S87" s="13">
        <f>Test!G85</f>
        <v>0</v>
      </c>
      <c r="T87" s="13">
        <f t="shared" si="10"/>
        <v>0</v>
      </c>
      <c r="U87" s="27">
        <f>Test!H85</f>
        <v>0</v>
      </c>
      <c r="V87" s="28">
        <f>Test!I85</f>
        <v>0</v>
      </c>
      <c r="W87" s="16">
        <f t="shared" si="11"/>
        <v>0</v>
      </c>
      <c r="X87" s="16">
        <f t="shared" si="12"/>
        <v>0</v>
      </c>
      <c r="Y87" s="16">
        <f t="shared" si="13"/>
        <v>0</v>
      </c>
      <c r="Z87" s="25">
        <f t="shared" si="13"/>
        <v>0</v>
      </c>
      <c r="AA87" s="42"/>
      <c r="AB87" s="39" t="e">
        <f>bdrate($D87:$D90,E87:E90,$N87:$N90,O87:O90)</f>
        <v>#VALUE!</v>
      </c>
      <c r="AC87" s="40" t="e">
        <f>bdrate($D87:$D90,F87:F90,$N87:$N90,P87:P90)</f>
        <v>#VALUE!</v>
      </c>
      <c r="AD87" s="40" t="e">
        <f>bdrate($D87:$D90,G87:G90,$N87:$N90,Q87:Q90)</f>
        <v>#VALUE!</v>
      </c>
      <c r="AE87" s="49" t="e">
        <f>bdrateOld($D87:$D90,E87:E90,$N87:$N90,O87:O90)</f>
        <v>#VALUE!</v>
      </c>
      <c r="AF87" s="50" t="e">
        <f>bdrateOld($D87:$D90,F87:F90,$N87:$N90,P87:P90)</f>
        <v>#VALUE!</v>
      </c>
      <c r="AG87" s="52" t="e">
        <f>bdrateOld($D87:$D90,G87:G90,$N87:$N90,Q87:Q90)</f>
        <v>#VALUE!</v>
      </c>
    </row>
    <row r="88" spans="1:33">
      <c r="A88" s="14"/>
      <c r="B88" s="14"/>
      <c r="C88" s="14">
        <v>27</v>
      </c>
      <c r="D88" s="15">
        <f>Reference!B86</f>
        <v>1361.6336</v>
      </c>
      <c r="E88" s="16">
        <f>Reference!C86</f>
        <v>43.2443</v>
      </c>
      <c r="F88" s="16">
        <f>Reference!D86</f>
        <v>46.8988</v>
      </c>
      <c r="G88" s="16">
        <f>Reference!E86</f>
        <v>47.7644</v>
      </c>
      <c r="H88" s="16">
        <f>Reference!F86</f>
        <v>10441</v>
      </c>
      <c r="I88" s="16">
        <f>Reference!G86</f>
        <v>13.098</v>
      </c>
      <c r="J88" s="16">
        <f t="shared" si="9"/>
        <v>2.90027777777778</v>
      </c>
      <c r="K88" s="29">
        <f>Reference!H86</f>
        <v>1874252</v>
      </c>
      <c r="L88" s="30">
        <f>Reference!I86</f>
        <v>335672</v>
      </c>
      <c r="N88" s="15">
        <f>Test!B86</f>
        <v>0</v>
      </c>
      <c r="O88" s="16">
        <f>Test!C86</f>
        <v>0</v>
      </c>
      <c r="P88" s="16">
        <f>Test!D86</f>
        <v>0</v>
      </c>
      <c r="Q88" s="16">
        <f>Test!E86</f>
        <v>0</v>
      </c>
      <c r="R88" s="16">
        <f>Test!F86</f>
        <v>0</v>
      </c>
      <c r="S88" s="16">
        <f>Test!G86</f>
        <v>0</v>
      </c>
      <c r="T88" s="16">
        <f t="shared" si="10"/>
        <v>0</v>
      </c>
      <c r="U88" s="29">
        <f>Test!H86</f>
        <v>0</v>
      </c>
      <c r="V88" s="30">
        <f>Test!I86</f>
        <v>0</v>
      </c>
      <c r="W88" s="16">
        <f t="shared" si="11"/>
        <v>0</v>
      </c>
      <c r="X88" s="16">
        <f t="shared" si="12"/>
        <v>0</v>
      </c>
      <c r="Y88" s="16">
        <f t="shared" si="13"/>
        <v>0</v>
      </c>
      <c r="Z88" s="25">
        <f t="shared" si="13"/>
        <v>0</v>
      </c>
      <c r="AA88" s="42"/>
      <c r="AB88" s="43"/>
      <c r="AC88" s="44"/>
      <c r="AD88" s="44"/>
      <c r="AE88" s="43"/>
      <c r="AF88" s="44"/>
      <c r="AG88" s="45"/>
    </row>
    <row r="89" spans="1:33">
      <c r="A89" s="14"/>
      <c r="B89" s="14"/>
      <c r="C89" s="14">
        <v>32</v>
      </c>
      <c r="D89" s="15">
        <f>Reference!B87</f>
        <v>810.8288</v>
      </c>
      <c r="E89" s="16">
        <f>Reference!C87</f>
        <v>40.8872</v>
      </c>
      <c r="F89" s="16">
        <f>Reference!D87</f>
        <v>44.7754</v>
      </c>
      <c r="G89" s="16">
        <f>Reference!E87</f>
        <v>45.4297</v>
      </c>
      <c r="H89" s="16">
        <f>Reference!F87</f>
        <v>7611</v>
      </c>
      <c r="I89" s="16">
        <f>Reference!G87</f>
        <v>11.921</v>
      </c>
      <c r="J89" s="16">
        <f t="shared" si="9"/>
        <v>2.11416666666667</v>
      </c>
      <c r="K89" s="29">
        <f>Reference!H87</f>
        <v>1868972</v>
      </c>
      <c r="L89" s="30">
        <f>Reference!I87</f>
        <v>333924</v>
      </c>
      <c r="N89" s="15">
        <f>Test!B87</f>
        <v>0</v>
      </c>
      <c r="O89" s="16">
        <f>Test!C87</f>
        <v>0</v>
      </c>
      <c r="P89" s="16">
        <f>Test!D87</f>
        <v>0</v>
      </c>
      <c r="Q89" s="16">
        <f>Test!E87</f>
        <v>0</v>
      </c>
      <c r="R89" s="16">
        <f>Test!F87</f>
        <v>0</v>
      </c>
      <c r="S89" s="16">
        <f>Test!G87</f>
        <v>0</v>
      </c>
      <c r="T89" s="16">
        <f t="shared" si="10"/>
        <v>0</v>
      </c>
      <c r="U89" s="29">
        <f>Test!H87</f>
        <v>0</v>
      </c>
      <c r="V89" s="30">
        <f>Test!I87</f>
        <v>0</v>
      </c>
      <c r="W89" s="16">
        <f t="shared" si="11"/>
        <v>0</v>
      </c>
      <c r="X89" s="16">
        <f t="shared" si="12"/>
        <v>0</v>
      </c>
      <c r="Y89" s="16">
        <f t="shared" si="13"/>
        <v>0</v>
      </c>
      <c r="Z89" s="25">
        <f t="shared" si="13"/>
        <v>0</v>
      </c>
      <c r="AA89" s="42"/>
      <c r="AB89" s="43"/>
      <c r="AC89" s="44"/>
      <c r="AD89" s="44"/>
      <c r="AE89" s="43"/>
      <c r="AF89" s="44"/>
      <c r="AG89" s="45"/>
    </row>
    <row r="90" ht="12.75" customHeight="1" spans="1:33">
      <c r="A90" s="17"/>
      <c r="B90" s="17"/>
      <c r="C90" s="17">
        <v>37</v>
      </c>
      <c r="D90" s="18">
        <f>Reference!B88</f>
        <v>496.0408</v>
      </c>
      <c r="E90" s="19">
        <f>Reference!C88</f>
        <v>38.236</v>
      </c>
      <c r="F90" s="19">
        <f>Reference!D88</f>
        <v>43.284</v>
      </c>
      <c r="G90" s="19">
        <f>Reference!E88</f>
        <v>43.8443</v>
      </c>
      <c r="H90" s="19">
        <f>Reference!F88</f>
        <v>5672</v>
      </c>
      <c r="I90" s="19">
        <f>Reference!G88</f>
        <v>11.388</v>
      </c>
      <c r="J90" s="19">
        <f t="shared" si="9"/>
        <v>1.57555555555556</v>
      </c>
      <c r="K90" s="29">
        <f>Reference!H88</f>
        <v>1866148</v>
      </c>
      <c r="L90" s="30">
        <f>Reference!I88</f>
        <v>330784</v>
      </c>
      <c r="N90" s="18">
        <f>Test!B88</f>
        <v>0</v>
      </c>
      <c r="O90" s="19">
        <f>Test!C88</f>
        <v>0</v>
      </c>
      <c r="P90" s="19">
        <f>Test!D88</f>
        <v>0</v>
      </c>
      <c r="Q90" s="19">
        <f>Test!E88</f>
        <v>0</v>
      </c>
      <c r="R90" s="19">
        <f>Test!F88</f>
        <v>0</v>
      </c>
      <c r="S90" s="19">
        <f>Test!G88</f>
        <v>0</v>
      </c>
      <c r="T90" s="19">
        <f t="shared" si="10"/>
        <v>0</v>
      </c>
      <c r="U90" s="29">
        <f>Test!H88</f>
        <v>0</v>
      </c>
      <c r="V90" s="30">
        <f>Test!I88</f>
        <v>0</v>
      </c>
      <c r="W90" s="16">
        <f t="shared" si="11"/>
        <v>0</v>
      </c>
      <c r="X90" s="16">
        <f t="shared" si="12"/>
        <v>0</v>
      </c>
      <c r="Y90" s="16">
        <f t="shared" si="13"/>
        <v>0</v>
      </c>
      <c r="Z90" s="25">
        <f t="shared" si="13"/>
        <v>0</v>
      </c>
      <c r="AA90" s="42"/>
      <c r="AB90" s="46"/>
      <c r="AC90" s="47"/>
      <c r="AD90" s="47"/>
      <c r="AE90" s="46"/>
      <c r="AF90" s="47"/>
      <c r="AG90" s="48"/>
    </row>
    <row r="91" spans="1:33">
      <c r="A91" s="11" t="s">
        <v>28</v>
      </c>
      <c r="B91" s="11" t="s">
        <v>91</v>
      </c>
      <c r="C91" s="11">
        <v>22</v>
      </c>
      <c r="D91" s="12">
        <f>Reference!B89</f>
        <v>2113.8167</v>
      </c>
      <c r="E91" s="13">
        <f>Reference!C89</f>
        <v>43.2293</v>
      </c>
      <c r="F91" s="13">
        <f>Reference!D89</f>
        <v>45.1492</v>
      </c>
      <c r="G91" s="13">
        <f>Reference!E89</f>
        <v>46.4062</v>
      </c>
      <c r="H91" s="13">
        <f>Reference!F89</f>
        <v>15216</v>
      </c>
      <c r="I91" s="13">
        <f>Reference!G89</f>
        <v>9.618</v>
      </c>
      <c r="J91" s="13">
        <f t="shared" si="9"/>
        <v>4.22666666666667</v>
      </c>
      <c r="K91" s="27">
        <f>Reference!H89</f>
        <v>1492496</v>
      </c>
      <c r="L91" s="28">
        <f>Reference!I89</f>
        <v>304972</v>
      </c>
      <c r="N91" s="12">
        <f>Test!B89</f>
        <v>0</v>
      </c>
      <c r="O91" s="13">
        <f>Test!C89</f>
        <v>0</v>
      </c>
      <c r="P91" s="13">
        <f>Test!D89</f>
        <v>0</v>
      </c>
      <c r="Q91" s="13">
        <f>Test!E89</f>
        <v>0</v>
      </c>
      <c r="R91" s="13">
        <f>Test!F89</f>
        <v>0</v>
      </c>
      <c r="S91" s="13">
        <f>Test!G89</f>
        <v>0</v>
      </c>
      <c r="T91" s="13">
        <f t="shared" si="10"/>
        <v>0</v>
      </c>
      <c r="U91" s="27">
        <f>Test!H89</f>
        <v>0</v>
      </c>
      <c r="V91" s="28">
        <f>Test!I89</f>
        <v>0</v>
      </c>
      <c r="W91" s="13">
        <f t="shared" si="11"/>
        <v>0</v>
      </c>
      <c r="X91" s="13">
        <f t="shared" si="12"/>
        <v>0</v>
      </c>
      <c r="Y91" s="13">
        <f t="shared" si="13"/>
        <v>0</v>
      </c>
      <c r="Z91" s="24">
        <f t="shared" si="13"/>
        <v>0</v>
      </c>
      <c r="AA91" s="38"/>
      <c r="AB91" s="39" t="e">
        <f>bdrate($D91:$D94,E91:E94,$N91:$N94,O91:O94)</f>
        <v>#VALUE!</v>
      </c>
      <c r="AC91" s="40" t="e">
        <f>bdrate($D91:$D94,F91:F94,$N91:$N94,P91:P94)</f>
        <v>#VALUE!</v>
      </c>
      <c r="AD91" s="41" t="e">
        <f>bdrate($D91:$D94,G91:G94,$N91:$N94,Q91:Q94)</f>
        <v>#VALUE!</v>
      </c>
      <c r="AE91" s="39" t="e">
        <f>bdrateOld($D91:$D94,E91:E94,$N91:$N94,O91:O94)</f>
        <v>#VALUE!</v>
      </c>
      <c r="AF91" s="40" t="e">
        <f>bdrateOld($D91:$D94,F91:F94,$N91:$N94,P91:P94)</f>
        <v>#VALUE!</v>
      </c>
      <c r="AG91" s="41" t="e">
        <f>bdrateOld($D91:$D94,G91:G94,$N91:$N94,Q91:Q94)</f>
        <v>#VALUE!</v>
      </c>
    </row>
    <row r="92" spans="1:33">
      <c r="A92" s="14"/>
      <c r="C92" s="14">
        <v>27</v>
      </c>
      <c r="D92" s="15">
        <f>Reference!B90</f>
        <v>1194.4421</v>
      </c>
      <c r="E92" s="16">
        <f>Reference!C90</f>
        <v>40.0437</v>
      </c>
      <c r="F92" s="16">
        <f>Reference!D90</f>
        <v>42.5279</v>
      </c>
      <c r="G92" s="16">
        <f>Reference!E90</f>
        <v>43.4072</v>
      </c>
      <c r="H92" s="16">
        <f>Reference!F90</f>
        <v>13181</v>
      </c>
      <c r="I92" s="16">
        <f>Reference!G90</f>
        <v>7.912</v>
      </c>
      <c r="J92" s="16">
        <f t="shared" si="9"/>
        <v>3.66138888888889</v>
      </c>
      <c r="K92" s="29">
        <f>Reference!H90</f>
        <v>1486528</v>
      </c>
      <c r="L92" s="30">
        <f>Reference!I90</f>
        <v>299900</v>
      </c>
      <c r="N92" s="15">
        <f>Test!B90</f>
        <v>0</v>
      </c>
      <c r="O92" s="16">
        <f>Test!C90</f>
        <v>0</v>
      </c>
      <c r="P92" s="16">
        <f>Test!D90</f>
        <v>0</v>
      </c>
      <c r="Q92" s="16">
        <f>Test!E90</f>
        <v>0</v>
      </c>
      <c r="R92" s="16">
        <f>Test!F90</f>
        <v>0</v>
      </c>
      <c r="S92" s="16">
        <f>Test!G90</f>
        <v>0</v>
      </c>
      <c r="T92" s="16">
        <f t="shared" si="10"/>
        <v>0</v>
      </c>
      <c r="U92" s="29">
        <f>Test!H90</f>
        <v>0</v>
      </c>
      <c r="V92" s="30">
        <f>Test!I90</f>
        <v>0</v>
      </c>
      <c r="W92" s="16">
        <f t="shared" si="11"/>
        <v>0</v>
      </c>
      <c r="X92" s="16">
        <f t="shared" si="12"/>
        <v>0</v>
      </c>
      <c r="Y92" s="16">
        <f t="shared" si="13"/>
        <v>0</v>
      </c>
      <c r="Z92" s="25">
        <f t="shared" si="13"/>
        <v>0</v>
      </c>
      <c r="AA92" s="42"/>
      <c r="AB92" s="43"/>
      <c r="AC92" s="44"/>
      <c r="AD92" s="45"/>
      <c r="AE92" s="43"/>
      <c r="AF92" s="44"/>
      <c r="AG92" s="45"/>
    </row>
    <row r="93" spans="1:33">
      <c r="A93" s="14"/>
      <c r="B93" s="14"/>
      <c r="C93" s="14">
        <v>32</v>
      </c>
      <c r="D93" s="15">
        <f>Reference!B91</f>
        <v>670.3659</v>
      </c>
      <c r="E93" s="16">
        <f>Reference!C91</f>
        <v>37.0224</v>
      </c>
      <c r="F93" s="16">
        <f>Reference!D91</f>
        <v>39.6954</v>
      </c>
      <c r="G93" s="16">
        <f>Reference!E91</f>
        <v>40.1678</v>
      </c>
      <c r="H93" s="16">
        <f>Reference!F91</f>
        <v>8506</v>
      </c>
      <c r="I93" s="16">
        <f>Reference!G91</f>
        <v>5.848</v>
      </c>
      <c r="J93" s="16">
        <f t="shared" si="9"/>
        <v>2.36277777777778</v>
      </c>
      <c r="K93" s="29">
        <f>Reference!H91</f>
        <v>1480592</v>
      </c>
      <c r="L93" s="30">
        <f>Reference!I91</f>
        <v>296844</v>
      </c>
      <c r="N93" s="15">
        <f>Test!B91</f>
        <v>0</v>
      </c>
      <c r="O93" s="16">
        <f>Test!C91</f>
        <v>0</v>
      </c>
      <c r="P93" s="16">
        <f>Test!D91</f>
        <v>0</v>
      </c>
      <c r="Q93" s="16">
        <f>Test!E91</f>
        <v>0</v>
      </c>
      <c r="R93" s="16">
        <f>Test!F91</f>
        <v>0</v>
      </c>
      <c r="S93" s="16">
        <f>Test!G91</f>
        <v>0</v>
      </c>
      <c r="T93" s="16">
        <f t="shared" si="10"/>
        <v>0</v>
      </c>
      <c r="U93" s="29">
        <f>Test!H91</f>
        <v>0</v>
      </c>
      <c r="V93" s="30">
        <f>Test!I91</f>
        <v>0</v>
      </c>
      <c r="W93" s="16">
        <f t="shared" si="11"/>
        <v>0</v>
      </c>
      <c r="X93" s="16">
        <f t="shared" si="12"/>
        <v>0</v>
      </c>
      <c r="Y93" s="16">
        <f t="shared" si="13"/>
        <v>0</v>
      </c>
      <c r="Z93" s="25">
        <f t="shared" si="13"/>
        <v>0</v>
      </c>
      <c r="AA93" s="42"/>
      <c r="AB93" s="43"/>
      <c r="AC93" s="44"/>
      <c r="AD93" s="45"/>
      <c r="AE93" s="43"/>
      <c r="AF93" s="44"/>
      <c r="AG93" s="45"/>
    </row>
    <row r="94" ht="12.75" customHeight="1" spans="1:33">
      <c r="A94" s="14"/>
      <c r="B94" s="17"/>
      <c r="C94" s="17">
        <v>37</v>
      </c>
      <c r="D94" s="18">
        <f>Reference!B92</f>
        <v>390.7627</v>
      </c>
      <c r="E94" s="19">
        <f>Reference!C92</f>
        <v>34.1623</v>
      </c>
      <c r="F94" s="19">
        <f>Reference!D92</f>
        <v>37.9794</v>
      </c>
      <c r="G94" s="19">
        <f>Reference!E92</f>
        <v>38.275</v>
      </c>
      <c r="H94" s="19">
        <f>Reference!F92</f>
        <v>5629</v>
      </c>
      <c r="I94" s="19">
        <f>Reference!G92</f>
        <v>5.133</v>
      </c>
      <c r="J94" s="19">
        <f t="shared" si="9"/>
        <v>1.56361111111111</v>
      </c>
      <c r="K94" s="29">
        <f>Reference!H92</f>
        <v>1477812</v>
      </c>
      <c r="L94" s="30">
        <f>Reference!I92</f>
        <v>293288</v>
      </c>
      <c r="N94" s="18">
        <f>Test!B92</f>
        <v>0</v>
      </c>
      <c r="O94" s="19">
        <f>Test!C92</f>
        <v>0</v>
      </c>
      <c r="P94" s="19">
        <f>Test!D92</f>
        <v>0</v>
      </c>
      <c r="Q94" s="19">
        <f>Test!E92</f>
        <v>0</v>
      </c>
      <c r="R94" s="19">
        <f>Test!F92</f>
        <v>0</v>
      </c>
      <c r="S94" s="19">
        <f>Test!G92</f>
        <v>0</v>
      </c>
      <c r="T94" s="19">
        <f t="shared" si="10"/>
        <v>0</v>
      </c>
      <c r="U94" s="29">
        <f>Test!H92</f>
        <v>0</v>
      </c>
      <c r="V94" s="30">
        <f>Test!I92</f>
        <v>0</v>
      </c>
      <c r="W94" s="16">
        <f t="shared" si="11"/>
        <v>0</v>
      </c>
      <c r="X94" s="16">
        <f t="shared" si="12"/>
        <v>0</v>
      </c>
      <c r="Y94" s="16">
        <f t="shared" si="13"/>
        <v>0</v>
      </c>
      <c r="Z94" s="25">
        <f t="shared" si="13"/>
        <v>0</v>
      </c>
      <c r="AA94" s="42"/>
      <c r="AB94" s="46"/>
      <c r="AC94" s="47"/>
      <c r="AD94" s="48"/>
      <c r="AE94" s="46"/>
      <c r="AF94" s="47"/>
      <c r="AG94" s="48"/>
    </row>
    <row r="95" ht="12.75" customHeight="1" spans="1:33">
      <c r="A95" s="14"/>
      <c r="B95" s="11" t="s">
        <v>116</v>
      </c>
      <c r="C95" s="11">
        <v>22</v>
      </c>
      <c r="D95" s="12">
        <f>Reference!B93</f>
        <v>11262.936</v>
      </c>
      <c r="E95" s="13">
        <f>Reference!C93</f>
        <v>45.3552</v>
      </c>
      <c r="F95" s="13">
        <f>Reference!D93</f>
        <v>46.1406</v>
      </c>
      <c r="G95" s="13">
        <f>Reference!E93</f>
        <v>46.8801</v>
      </c>
      <c r="H95" s="13">
        <f>Reference!F93</f>
        <v>89927</v>
      </c>
      <c r="I95" s="13">
        <f>Reference!G93</f>
        <v>51.227</v>
      </c>
      <c r="J95" s="13">
        <f t="shared" si="9"/>
        <v>24.9797222222222</v>
      </c>
      <c r="K95" s="27">
        <f>Reference!H93</f>
        <v>3332824</v>
      </c>
      <c r="L95" s="28">
        <f>Reference!I93</f>
        <v>582752</v>
      </c>
      <c r="N95" s="12">
        <f>Test!B93</f>
        <v>0</v>
      </c>
      <c r="O95" s="13">
        <f>Test!C93</f>
        <v>0</v>
      </c>
      <c r="P95" s="13">
        <f>Test!D93</f>
        <v>0</v>
      </c>
      <c r="Q95" s="13">
        <f>Test!E93</f>
        <v>0</v>
      </c>
      <c r="R95" s="13">
        <f>Test!F93</f>
        <v>0</v>
      </c>
      <c r="S95" s="13">
        <f>Test!G93</f>
        <v>0</v>
      </c>
      <c r="T95" s="13">
        <f t="shared" si="10"/>
        <v>0</v>
      </c>
      <c r="U95" s="27">
        <f>Test!H93</f>
        <v>0</v>
      </c>
      <c r="V95" s="28">
        <f>Test!I93</f>
        <v>0</v>
      </c>
      <c r="W95" s="16">
        <f t="shared" si="11"/>
        <v>0</v>
      </c>
      <c r="X95" s="16">
        <f t="shared" si="12"/>
        <v>0</v>
      </c>
      <c r="Y95" s="16">
        <f t="shared" si="13"/>
        <v>0</v>
      </c>
      <c r="Z95" s="25">
        <f t="shared" si="13"/>
        <v>0</v>
      </c>
      <c r="AA95" s="42"/>
      <c r="AB95" s="39" t="e">
        <f>bdrate($D95:$D98,E95:E98,$N95:$N98,O95:O98)</f>
        <v>#VALUE!</v>
      </c>
      <c r="AC95" s="40" t="e">
        <f>bdrate($D95:$D98,F95:F98,$N95:$N98,P95:P98)</f>
        <v>#VALUE!</v>
      </c>
      <c r="AD95" s="40" t="e">
        <f>bdrate($D95:$D98,G95:G98,$N95:$N98,Q95:Q98)</f>
        <v>#VALUE!</v>
      </c>
      <c r="AE95" s="49" t="e">
        <f>bdrateOld($D95:$D98,E95:E98,$N95:$N98,O95:O98)</f>
        <v>#VALUE!</v>
      </c>
      <c r="AF95" s="50" t="e">
        <f>bdrateOld($D95:$D98,F95:F98,$N95:$N98,P95:P98)</f>
        <v>#VALUE!</v>
      </c>
      <c r="AG95" s="52" t="e">
        <f>bdrateOld($D95:$D98,G95:G98,$N95:$N98,Q95:Q98)</f>
        <v>#VALUE!</v>
      </c>
    </row>
    <row r="96" spans="1:33">
      <c r="A96" s="14"/>
      <c r="B96" s="14"/>
      <c r="C96" s="14">
        <v>27</v>
      </c>
      <c r="D96" s="15">
        <f>Reference!B94</f>
        <v>6408.244</v>
      </c>
      <c r="E96" s="16">
        <f>Reference!C94</f>
        <v>41.9104</v>
      </c>
      <c r="F96" s="16">
        <f>Reference!D94</f>
        <v>43.064</v>
      </c>
      <c r="G96" s="16">
        <f>Reference!E94</f>
        <v>43.5964</v>
      </c>
      <c r="H96" s="16">
        <f>Reference!F94</f>
        <v>75537</v>
      </c>
      <c r="I96" s="16">
        <f>Reference!G94</f>
        <v>45.056</v>
      </c>
      <c r="J96" s="16">
        <f t="shared" si="9"/>
        <v>20.9825</v>
      </c>
      <c r="K96" s="29">
        <f>Reference!H94</f>
        <v>3307176</v>
      </c>
      <c r="L96" s="30">
        <f>Reference!I94</f>
        <v>558404</v>
      </c>
      <c r="N96" s="15">
        <f>Test!B94</f>
        <v>0</v>
      </c>
      <c r="O96" s="16">
        <f>Test!C94</f>
        <v>0</v>
      </c>
      <c r="P96" s="16">
        <f>Test!D94</f>
        <v>0</v>
      </c>
      <c r="Q96" s="16">
        <f>Test!E94</f>
        <v>0</v>
      </c>
      <c r="R96" s="16">
        <f>Test!F94</f>
        <v>0</v>
      </c>
      <c r="S96" s="16">
        <f>Test!G94</f>
        <v>0</v>
      </c>
      <c r="T96" s="16">
        <f t="shared" si="10"/>
        <v>0</v>
      </c>
      <c r="U96" s="29">
        <f>Test!H94</f>
        <v>0</v>
      </c>
      <c r="V96" s="30">
        <f>Test!I94</f>
        <v>0</v>
      </c>
      <c r="W96" s="16">
        <f t="shared" si="11"/>
        <v>0</v>
      </c>
      <c r="X96" s="16">
        <f t="shared" si="12"/>
        <v>0</v>
      </c>
      <c r="Y96" s="16">
        <f t="shared" si="13"/>
        <v>0</v>
      </c>
      <c r="Z96" s="25">
        <f t="shared" si="13"/>
        <v>0</v>
      </c>
      <c r="AA96" s="42"/>
      <c r="AB96" s="43"/>
      <c r="AC96" s="44"/>
      <c r="AD96" s="44"/>
      <c r="AE96" s="43"/>
      <c r="AF96" s="44"/>
      <c r="AG96" s="45"/>
    </row>
    <row r="97" spans="1:33">
      <c r="A97" s="14"/>
      <c r="B97" s="14"/>
      <c r="C97" s="14">
        <v>32</v>
      </c>
      <c r="D97" s="15">
        <f>Reference!B95</f>
        <v>3530.1152</v>
      </c>
      <c r="E97" s="16">
        <f>Reference!C95</f>
        <v>38.6705</v>
      </c>
      <c r="F97" s="16">
        <f>Reference!D95</f>
        <v>39.9874</v>
      </c>
      <c r="G97" s="16">
        <f>Reference!E95</f>
        <v>40.268</v>
      </c>
      <c r="H97" s="16">
        <f>Reference!F95</f>
        <v>54978</v>
      </c>
      <c r="I97" s="16">
        <f>Reference!G95</f>
        <v>36.074</v>
      </c>
      <c r="J97" s="16">
        <f t="shared" si="9"/>
        <v>15.2716666666667</v>
      </c>
      <c r="K97" s="29">
        <f>Reference!H95</f>
        <v>3290832</v>
      </c>
      <c r="L97" s="30">
        <f>Reference!I95</f>
        <v>536784</v>
      </c>
      <c r="N97" s="15">
        <f>Test!B95</f>
        <v>0</v>
      </c>
      <c r="O97" s="16">
        <f>Test!C95</f>
        <v>0</v>
      </c>
      <c r="P97" s="16">
        <f>Test!D95</f>
        <v>0</v>
      </c>
      <c r="Q97" s="16">
        <f>Test!E95</f>
        <v>0</v>
      </c>
      <c r="R97" s="16">
        <f>Test!F95</f>
        <v>0</v>
      </c>
      <c r="S97" s="16">
        <f>Test!G95</f>
        <v>0</v>
      </c>
      <c r="T97" s="16">
        <f t="shared" si="10"/>
        <v>0</v>
      </c>
      <c r="U97" s="29">
        <f>Test!H95</f>
        <v>0</v>
      </c>
      <c r="V97" s="30">
        <f>Test!I95</f>
        <v>0</v>
      </c>
      <c r="W97" s="16">
        <f t="shared" si="11"/>
        <v>0</v>
      </c>
      <c r="X97" s="16">
        <f t="shared" si="12"/>
        <v>0</v>
      </c>
      <c r="Y97" s="16">
        <f t="shared" si="13"/>
        <v>0</v>
      </c>
      <c r="Z97" s="25">
        <f t="shared" si="13"/>
        <v>0</v>
      </c>
      <c r="AA97" s="42"/>
      <c r="AB97" s="43"/>
      <c r="AC97" s="44"/>
      <c r="AD97" s="44"/>
      <c r="AE97" s="43"/>
      <c r="AF97" s="44"/>
      <c r="AG97" s="45"/>
    </row>
    <row r="98" ht="12.75" customHeight="1" spans="1:33">
      <c r="A98" s="14"/>
      <c r="B98" s="17"/>
      <c r="C98" s="17">
        <v>37</v>
      </c>
      <c r="D98" s="18">
        <f>Reference!B96</f>
        <v>1989.6384</v>
      </c>
      <c r="E98" s="19">
        <f>Reference!C96</f>
        <v>35.5983</v>
      </c>
      <c r="F98" s="19">
        <f>Reference!D96</f>
        <v>38.3595</v>
      </c>
      <c r="G98" s="19">
        <f>Reference!E96</f>
        <v>38.4924</v>
      </c>
      <c r="H98" s="19">
        <f>Reference!F96</f>
        <v>32062</v>
      </c>
      <c r="I98" s="19">
        <f>Reference!G96</f>
        <v>28.67</v>
      </c>
      <c r="J98" s="19">
        <f t="shared" si="9"/>
        <v>8.90611111111111</v>
      </c>
      <c r="K98" s="29">
        <f>Reference!H96</f>
        <v>3275992</v>
      </c>
      <c r="L98" s="30">
        <f>Reference!I96</f>
        <v>492012</v>
      </c>
      <c r="N98" s="18">
        <f>Test!B96</f>
        <v>0</v>
      </c>
      <c r="O98" s="19">
        <f>Test!C96</f>
        <v>0</v>
      </c>
      <c r="P98" s="19">
        <f>Test!D96</f>
        <v>0</v>
      </c>
      <c r="Q98" s="19">
        <f>Test!E96</f>
        <v>0</v>
      </c>
      <c r="R98" s="19">
        <f>Test!F96</f>
        <v>0</v>
      </c>
      <c r="S98" s="19">
        <f>Test!G96</f>
        <v>0</v>
      </c>
      <c r="T98" s="19">
        <f t="shared" si="10"/>
        <v>0</v>
      </c>
      <c r="U98" s="29">
        <f>Test!H96</f>
        <v>0</v>
      </c>
      <c r="V98" s="30">
        <f>Test!I96</f>
        <v>0</v>
      </c>
      <c r="W98" s="16">
        <f t="shared" si="11"/>
        <v>0</v>
      </c>
      <c r="X98" s="16">
        <f t="shared" si="12"/>
        <v>0</v>
      </c>
      <c r="Y98" s="16">
        <f t="shared" si="13"/>
        <v>0</v>
      </c>
      <c r="Z98" s="25">
        <f t="shared" si="13"/>
        <v>0</v>
      </c>
      <c r="AA98" s="42"/>
      <c r="AB98" s="46"/>
      <c r="AC98" s="47"/>
      <c r="AD98" s="47"/>
      <c r="AE98" s="46"/>
      <c r="AF98" s="47"/>
      <c r="AG98" s="48"/>
    </row>
    <row r="99" spans="1:33">
      <c r="A99" s="14"/>
      <c r="B99" s="11" t="s">
        <v>93</v>
      </c>
      <c r="C99" s="11">
        <v>22</v>
      </c>
      <c r="D99" s="12">
        <f>Reference!B97</f>
        <v>1501.2055</v>
      </c>
      <c r="E99" s="13">
        <f>Reference!C97</f>
        <v>49.0968</v>
      </c>
      <c r="F99" s="13">
        <f>Reference!D97</f>
        <v>48.2983</v>
      </c>
      <c r="G99" s="13">
        <f>Reference!E97</f>
        <v>48.6324</v>
      </c>
      <c r="H99" s="13">
        <f>Reference!F97</f>
        <v>10840</v>
      </c>
      <c r="I99" s="13">
        <f>Reference!G97</f>
        <v>7.104</v>
      </c>
      <c r="J99" s="13">
        <f t="shared" ref="J99:J122" si="14">H99/3600</f>
        <v>3.01111111111111</v>
      </c>
      <c r="K99" s="27">
        <f>Reference!H97</f>
        <v>1987860</v>
      </c>
      <c r="L99" s="28">
        <f>Reference!I97</f>
        <v>365152</v>
      </c>
      <c r="N99" s="12">
        <f>Test!B97</f>
        <v>0</v>
      </c>
      <c r="O99" s="13">
        <f>Test!C97</f>
        <v>0</v>
      </c>
      <c r="P99" s="13">
        <f>Test!D97</f>
        <v>0</v>
      </c>
      <c r="Q99" s="13">
        <f>Test!E97</f>
        <v>0</v>
      </c>
      <c r="R99" s="13">
        <f>Test!F97</f>
        <v>0</v>
      </c>
      <c r="S99" s="13">
        <f>Test!G97</f>
        <v>0</v>
      </c>
      <c r="T99" s="13">
        <f t="shared" ref="T99:T122" si="15">R99/3600</f>
        <v>0</v>
      </c>
      <c r="U99" s="27">
        <f>Test!H97</f>
        <v>0</v>
      </c>
      <c r="V99" s="28">
        <f>Test!I97</f>
        <v>0</v>
      </c>
      <c r="W99" s="16">
        <f t="shared" ref="W99:W122" si="16">R99/H99</f>
        <v>0</v>
      </c>
      <c r="X99" s="16">
        <f t="shared" ref="X99:X122" si="17">S99/I99</f>
        <v>0</v>
      </c>
      <c r="Y99" s="16">
        <f t="shared" si="13"/>
        <v>0</v>
      </c>
      <c r="Z99" s="25">
        <f t="shared" si="13"/>
        <v>0</v>
      </c>
      <c r="AA99" s="42"/>
      <c r="AB99" s="39" t="e">
        <f>bdrate($D99:$D102,E99:E102,$N99:$N102,O99:O102)</f>
        <v>#VALUE!</v>
      </c>
      <c r="AC99" s="40" t="e">
        <f>bdrate($D99:$D102,F99:F102,$N99:$N102,P99:P102)</f>
        <v>#VALUE!</v>
      </c>
      <c r="AD99" s="40" t="e">
        <f>bdrate($D99:$D102,G99:G102,$N99:$N102,Q99:Q102)</f>
        <v>#VALUE!</v>
      </c>
      <c r="AE99" s="49" t="e">
        <f>bdrateOld($D99:$D102,E99:E102,$N99:$N102,O99:O102)</f>
        <v>#VALUE!</v>
      </c>
      <c r="AF99" s="50" t="e">
        <f>bdrateOld($D99:$D102,F99:F102,$N99:$N102,P99:P102)</f>
        <v>#VALUE!</v>
      </c>
      <c r="AG99" s="52" t="e">
        <f>bdrateOld($D99:$D102,G99:G102,$N99:$N102,Q99:Q102)</f>
        <v>#VALUE!</v>
      </c>
    </row>
    <row r="100" spans="1:33">
      <c r="A100" s="14"/>
      <c r="B100" s="14"/>
      <c r="C100" s="14">
        <v>27</v>
      </c>
      <c r="D100" s="15">
        <f>Reference!B98</f>
        <v>1179.0853</v>
      </c>
      <c r="E100" s="16">
        <f>Reference!C98</f>
        <v>45.2248</v>
      </c>
      <c r="F100" s="16">
        <f>Reference!D98</f>
        <v>45.7315</v>
      </c>
      <c r="G100" s="16">
        <f>Reference!E98</f>
        <v>46.2535</v>
      </c>
      <c r="H100" s="16">
        <f>Reference!F98</f>
        <v>11543</v>
      </c>
      <c r="I100" s="16">
        <f>Reference!G98</f>
        <v>7.125</v>
      </c>
      <c r="J100" s="16">
        <f t="shared" si="14"/>
        <v>3.20638888888889</v>
      </c>
      <c r="K100" s="29">
        <f>Reference!H98</f>
        <v>1981672</v>
      </c>
      <c r="L100" s="30">
        <f>Reference!I98</f>
        <v>355216</v>
      </c>
      <c r="N100" s="15">
        <f>Test!B98</f>
        <v>0</v>
      </c>
      <c r="O100" s="16">
        <f>Test!C98</f>
        <v>0</v>
      </c>
      <c r="P100" s="16">
        <f>Test!D98</f>
        <v>0</v>
      </c>
      <c r="Q100" s="16">
        <f>Test!E98</f>
        <v>0</v>
      </c>
      <c r="R100" s="16">
        <f>Test!F98</f>
        <v>0</v>
      </c>
      <c r="S100" s="16">
        <f>Test!G98</f>
        <v>0</v>
      </c>
      <c r="T100" s="16">
        <f t="shared" si="15"/>
        <v>0</v>
      </c>
      <c r="U100" s="29">
        <f>Test!H98</f>
        <v>0</v>
      </c>
      <c r="V100" s="30">
        <f>Test!I98</f>
        <v>0</v>
      </c>
      <c r="W100" s="16">
        <f t="shared" si="16"/>
        <v>0</v>
      </c>
      <c r="X100" s="16">
        <f t="shared" si="17"/>
        <v>0</v>
      </c>
      <c r="Y100" s="16">
        <f t="shared" si="13"/>
        <v>0</v>
      </c>
      <c r="Z100" s="25">
        <f t="shared" si="13"/>
        <v>0</v>
      </c>
      <c r="AA100" s="42"/>
      <c r="AB100" s="43"/>
      <c r="AC100" s="44"/>
      <c r="AD100" s="44"/>
      <c r="AE100" s="43"/>
      <c r="AF100" s="44"/>
      <c r="AG100" s="45"/>
    </row>
    <row r="101" spans="1:33">
      <c r="A101" s="14"/>
      <c r="B101" s="14"/>
      <c r="C101" s="14">
        <v>32</v>
      </c>
      <c r="D101" s="15">
        <f>Reference!B99</f>
        <v>934.1676</v>
      </c>
      <c r="E101" s="16">
        <f>Reference!C99</f>
        <v>41.2784</v>
      </c>
      <c r="F101" s="16">
        <f>Reference!D99</f>
        <v>42.7047</v>
      </c>
      <c r="G101" s="16">
        <f>Reference!E99</f>
        <v>43.3576</v>
      </c>
      <c r="H101" s="16">
        <f>Reference!F99</f>
        <v>10505</v>
      </c>
      <c r="I101" s="16">
        <f>Reference!G99</f>
        <v>6.304</v>
      </c>
      <c r="J101" s="16">
        <f t="shared" si="14"/>
        <v>2.91805555555556</v>
      </c>
      <c r="K101" s="29">
        <f>Reference!H99</f>
        <v>1980004</v>
      </c>
      <c r="L101" s="30">
        <f>Reference!I99</f>
        <v>345464</v>
      </c>
      <c r="N101" s="15">
        <f>Test!B99</f>
        <v>0</v>
      </c>
      <c r="O101" s="16">
        <f>Test!C99</f>
        <v>0</v>
      </c>
      <c r="P101" s="16">
        <f>Test!D99</f>
        <v>0</v>
      </c>
      <c r="Q101" s="16">
        <f>Test!E99</f>
        <v>0</v>
      </c>
      <c r="R101" s="16">
        <f>Test!F99</f>
        <v>0</v>
      </c>
      <c r="S101" s="16">
        <f>Test!G99</f>
        <v>0</v>
      </c>
      <c r="T101" s="16">
        <f t="shared" si="15"/>
        <v>0</v>
      </c>
      <c r="U101" s="29">
        <f>Test!H99</f>
        <v>0</v>
      </c>
      <c r="V101" s="30">
        <f>Test!I99</f>
        <v>0</v>
      </c>
      <c r="W101" s="16">
        <f t="shared" si="16"/>
        <v>0</v>
      </c>
      <c r="X101" s="16">
        <f t="shared" si="17"/>
        <v>0</v>
      </c>
      <c r="Y101" s="16">
        <f t="shared" si="13"/>
        <v>0</v>
      </c>
      <c r="Z101" s="25">
        <f t="shared" si="13"/>
        <v>0</v>
      </c>
      <c r="AA101" s="42"/>
      <c r="AB101" s="43"/>
      <c r="AC101" s="44"/>
      <c r="AD101" s="44"/>
      <c r="AE101" s="43"/>
      <c r="AF101" s="44"/>
      <c r="AG101" s="45"/>
    </row>
    <row r="102" ht="12.75" customHeight="1" spans="1:33">
      <c r="A102" s="14"/>
      <c r="B102" s="17"/>
      <c r="C102" s="17">
        <v>37</v>
      </c>
      <c r="D102" s="18">
        <f>Reference!B100</f>
        <v>718.3279</v>
      </c>
      <c r="E102" s="19">
        <f>Reference!C100</f>
        <v>36.3317</v>
      </c>
      <c r="F102" s="19">
        <f>Reference!D100</f>
        <v>40.2736</v>
      </c>
      <c r="G102" s="19">
        <f>Reference!E100</f>
        <v>41.1316</v>
      </c>
      <c r="H102" s="19">
        <f>Reference!F100</f>
        <v>8684</v>
      </c>
      <c r="I102" s="19">
        <f>Reference!G100</f>
        <v>5.27</v>
      </c>
      <c r="J102" s="19">
        <f t="shared" si="14"/>
        <v>2.41222222222222</v>
      </c>
      <c r="K102" s="29">
        <f>Reference!H100</f>
        <v>1978632</v>
      </c>
      <c r="L102" s="30">
        <f>Reference!I100</f>
        <v>349216</v>
      </c>
      <c r="N102" s="18">
        <f>Test!B100</f>
        <v>0</v>
      </c>
      <c r="O102" s="19">
        <f>Test!C100</f>
        <v>0</v>
      </c>
      <c r="P102" s="19">
        <f>Test!D100</f>
        <v>0</v>
      </c>
      <c r="Q102" s="19">
        <f>Test!E100</f>
        <v>0</v>
      </c>
      <c r="R102" s="19">
        <f>Test!F100</f>
        <v>0</v>
      </c>
      <c r="S102" s="19">
        <f>Test!G100</f>
        <v>0</v>
      </c>
      <c r="T102" s="19">
        <f t="shared" si="15"/>
        <v>0</v>
      </c>
      <c r="U102" s="29">
        <f>Test!H100</f>
        <v>0</v>
      </c>
      <c r="V102" s="30">
        <f>Test!I100</f>
        <v>0</v>
      </c>
      <c r="W102" s="16">
        <f t="shared" si="16"/>
        <v>0</v>
      </c>
      <c r="X102" s="16">
        <f t="shared" si="17"/>
        <v>0</v>
      </c>
      <c r="Y102" s="16">
        <f t="shared" si="13"/>
        <v>0</v>
      </c>
      <c r="Z102" s="25">
        <f t="shared" si="13"/>
        <v>0</v>
      </c>
      <c r="AA102" s="42"/>
      <c r="AB102" s="46"/>
      <c r="AC102" s="47"/>
      <c r="AD102" s="47"/>
      <c r="AE102" s="46"/>
      <c r="AF102" s="47"/>
      <c r="AG102" s="48"/>
    </row>
    <row r="103" spans="1:33">
      <c r="A103" s="14"/>
      <c r="B103" s="11" t="s">
        <v>94</v>
      </c>
      <c r="C103" s="11">
        <v>22</v>
      </c>
      <c r="D103" s="12">
        <f>Reference!B101</f>
        <v>411.4968</v>
      </c>
      <c r="E103" s="13">
        <f>Reference!C101</f>
        <v>51.8008</v>
      </c>
      <c r="F103" s="13">
        <f>Reference!D101</f>
        <v>55.2031</v>
      </c>
      <c r="G103" s="13">
        <f>Reference!E101</f>
        <v>56.5005</v>
      </c>
      <c r="H103" s="13">
        <f>Reference!F101</f>
        <v>8740</v>
      </c>
      <c r="I103" s="13">
        <f>Reference!G101</f>
        <v>8.207</v>
      </c>
      <c r="J103" s="13">
        <f t="shared" si="14"/>
        <v>2.42777777777778</v>
      </c>
      <c r="K103" s="27">
        <f>Reference!H101</f>
        <v>1997592</v>
      </c>
      <c r="L103" s="28">
        <f>Reference!I101</f>
        <v>347436</v>
      </c>
      <c r="N103" s="12">
        <f>Test!B101</f>
        <v>0</v>
      </c>
      <c r="O103" s="13">
        <f>Test!C101</f>
        <v>0</v>
      </c>
      <c r="P103" s="13">
        <f>Test!D101</f>
        <v>0</v>
      </c>
      <c r="Q103" s="13">
        <f>Test!E101</f>
        <v>0</v>
      </c>
      <c r="R103" s="13">
        <f>Test!F101</f>
        <v>0</v>
      </c>
      <c r="S103" s="13">
        <f>Test!G101</f>
        <v>0</v>
      </c>
      <c r="T103" s="13">
        <f t="shared" si="15"/>
        <v>0</v>
      </c>
      <c r="U103" s="27">
        <f>Test!H101</f>
        <v>0</v>
      </c>
      <c r="V103" s="28">
        <f>Test!I101</f>
        <v>0</v>
      </c>
      <c r="W103" s="16">
        <f t="shared" si="16"/>
        <v>0</v>
      </c>
      <c r="X103" s="16">
        <f t="shared" si="17"/>
        <v>0</v>
      </c>
      <c r="Y103" s="16">
        <f t="shared" si="13"/>
        <v>0</v>
      </c>
      <c r="Z103" s="25">
        <f t="shared" si="13"/>
        <v>0</v>
      </c>
      <c r="AA103" s="42"/>
      <c r="AB103" s="39" t="e">
        <f>bdrate($D103:$D106,E103:E106,$N103:$N106,O103:O106)</f>
        <v>#VALUE!</v>
      </c>
      <c r="AC103" s="40" t="e">
        <f>bdrate($D103:$D106,F103:F106,$N103:$N106,P103:P106)</f>
        <v>#VALUE!</v>
      </c>
      <c r="AD103" s="40" t="e">
        <f>bdrate($D103:$D106,G103:G106,$N103:$N106,Q103:Q106)</f>
        <v>#VALUE!</v>
      </c>
      <c r="AE103" s="49" t="e">
        <f>bdrateOld($D103:$D106,E103:E106,$N103:$N106,O103:O106)</f>
        <v>#VALUE!</v>
      </c>
      <c r="AF103" s="50" t="e">
        <f>bdrateOld($D103:$D106,F103:F106,$N103:$N106,P103:P106)</f>
        <v>#VALUE!</v>
      </c>
      <c r="AG103" s="52" t="e">
        <f>bdrateOld($D103:$D106,G103:G106,$N103:$N106,Q103:Q106)</f>
        <v>#VALUE!</v>
      </c>
    </row>
    <row r="104" spans="1:33">
      <c r="A104" s="14"/>
      <c r="B104" s="14"/>
      <c r="C104" s="14">
        <v>27</v>
      </c>
      <c r="D104" s="15">
        <f>Reference!B102</f>
        <v>257.8546</v>
      </c>
      <c r="E104" s="16">
        <f>Reference!C102</f>
        <v>48.2876</v>
      </c>
      <c r="F104" s="16">
        <f>Reference!D102</f>
        <v>52.0517</v>
      </c>
      <c r="G104" s="16">
        <f>Reference!E102</f>
        <v>53.6961</v>
      </c>
      <c r="H104" s="16">
        <f>Reference!F102</f>
        <v>7405</v>
      </c>
      <c r="I104" s="16">
        <f>Reference!G102</f>
        <v>8.257</v>
      </c>
      <c r="J104" s="16">
        <f t="shared" si="14"/>
        <v>2.05694444444444</v>
      </c>
      <c r="K104" s="29">
        <f>Reference!H102</f>
        <v>1994256</v>
      </c>
      <c r="L104" s="30">
        <f>Reference!I102</f>
        <v>347884</v>
      </c>
      <c r="N104" s="15">
        <f>Test!B102</f>
        <v>0</v>
      </c>
      <c r="O104" s="16">
        <f>Test!C102</f>
        <v>0</v>
      </c>
      <c r="P104" s="16">
        <f>Test!D102</f>
        <v>0</v>
      </c>
      <c r="Q104" s="16">
        <f>Test!E102</f>
        <v>0</v>
      </c>
      <c r="R104" s="16">
        <f>Test!F102</f>
        <v>0</v>
      </c>
      <c r="S104" s="16">
        <f>Test!G102</f>
        <v>0</v>
      </c>
      <c r="T104" s="16">
        <f t="shared" si="15"/>
        <v>0</v>
      </c>
      <c r="U104" s="29">
        <f>Test!H102</f>
        <v>0</v>
      </c>
      <c r="V104" s="30">
        <f>Test!I102</f>
        <v>0</v>
      </c>
      <c r="W104" s="16">
        <f t="shared" si="16"/>
        <v>0</v>
      </c>
      <c r="X104" s="16">
        <f t="shared" si="17"/>
        <v>0</v>
      </c>
      <c r="Y104" s="16">
        <f t="shared" si="13"/>
        <v>0</v>
      </c>
      <c r="Z104" s="25">
        <f t="shared" si="13"/>
        <v>0</v>
      </c>
      <c r="AA104" s="42"/>
      <c r="AB104" s="43"/>
      <c r="AC104" s="44"/>
      <c r="AD104" s="44"/>
      <c r="AE104" s="43"/>
      <c r="AF104" s="44"/>
      <c r="AG104" s="45"/>
    </row>
    <row r="105" spans="1:33">
      <c r="A105" s="14"/>
      <c r="B105" s="14"/>
      <c r="C105" s="14">
        <v>32</v>
      </c>
      <c r="D105" s="15">
        <f>Reference!B103</f>
        <v>166.0016</v>
      </c>
      <c r="E105" s="16">
        <f>Reference!C103</f>
        <v>44.9321</v>
      </c>
      <c r="F105" s="16">
        <f>Reference!D103</f>
        <v>48.9002</v>
      </c>
      <c r="G105" s="16">
        <f>Reference!E103</f>
        <v>50.8509</v>
      </c>
      <c r="H105" s="16">
        <f>Reference!F103</f>
        <v>6084</v>
      </c>
      <c r="I105" s="16">
        <f>Reference!G103</f>
        <v>7.606</v>
      </c>
      <c r="J105" s="16">
        <f t="shared" si="14"/>
        <v>1.69</v>
      </c>
      <c r="K105" s="29">
        <f>Reference!H103</f>
        <v>1991772</v>
      </c>
      <c r="L105" s="30">
        <f>Reference!I103</f>
        <v>341856</v>
      </c>
      <c r="N105" s="15">
        <f>Test!B103</f>
        <v>0</v>
      </c>
      <c r="O105" s="16">
        <f>Test!C103</f>
        <v>0</v>
      </c>
      <c r="P105" s="16">
        <f>Test!D103</f>
        <v>0</v>
      </c>
      <c r="Q105" s="16">
        <f>Test!E103</f>
        <v>0</v>
      </c>
      <c r="R105" s="16">
        <f>Test!F103</f>
        <v>0</v>
      </c>
      <c r="S105" s="16">
        <f>Test!G103</f>
        <v>0</v>
      </c>
      <c r="T105" s="16">
        <f t="shared" si="15"/>
        <v>0</v>
      </c>
      <c r="U105" s="29">
        <f>Test!H103</f>
        <v>0</v>
      </c>
      <c r="V105" s="30">
        <f>Test!I103</f>
        <v>0</v>
      </c>
      <c r="W105" s="16">
        <f t="shared" si="16"/>
        <v>0</v>
      </c>
      <c r="X105" s="16">
        <f t="shared" si="17"/>
        <v>0</v>
      </c>
      <c r="Y105" s="16">
        <f t="shared" si="13"/>
        <v>0</v>
      </c>
      <c r="Z105" s="25">
        <f t="shared" si="13"/>
        <v>0</v>
      </c>
      <c r="AA105" s="42"/>
      <c r="AB105" s="43"/>
      <c r="AC105" s="44"/>
      <c r="AD105" s="44"/>
      <c r="AE105" s="43"/>
      <c r="AF105" s="44"/>
      <c r="AG105" s="45"/>
    </row>
    <row r="106" ht="12.75" customHeight="1" spans="1:33">
      <c r="A106" s="17"/>
      <c r="B106" s="17"/>
      <c r="C106" s="17">
        <v>37</v>
      </c>
      <c r="D106" s="18">
        <f>Reference!B104</f>
        <v>107.4873</v>
      </c>
      <c r="E106" s="19">
        <f>Reference!C104</f>
        <v>41.3637</v>
      </c>
      <c r="F106" s="19">
        <f>Reference!D104</f>
        <v>47.0717</v>
      </c>
      <c r="G106" s="19">
        <f>Reference!E104</f>
        <v>49.025</v>
      </c>
      <c r="H106" s="19">
        <f>Reference!F104</f>
        <v>5014</v>
      </c>
      <c r="I106" s="19">
        <f>Reference!G104</f>
        <v>7.606</v>
      </c>
      <c r="J106" s="19">
        <f t="shared" si="14"/>
        <v>1.39277777777778</v>
      </c>
      <c r="K106" s="29">
        <f>Reference!H104</f>
        <v>1989024</v>
      </c>
      <c r="L106" s="30">
        <f>Reference!I104</f>
        <v>339424</v>
      </c>
      <c r="N106" s="18">
        <f>Test!B104</f>
        <v>0</v>
      </c>
      <c r="O106" s="19">
        <f>Test!C104</f>
        <v>0</v>
      </c>
      <c r="P106" s="19">
        <f>Test!D104</f>
        <v>0</v>
      </c>
      <c r="Q106" s="19">
        <f>Test!E104</f>
        <v>0</v>
      </c>
      <c r="R106" s="19">
        <f>Test!F104</f>
        <v>0</v>
      </c>
      <c r="S106" s="19">
        <f>Test!G104</f>
        <v>0</v>
      </c>
      <c r="T106" s="19">
        <f t="shared" si="15"/>
        <v>0</v>
      </c>
      <c r="U106" s="29">
        <f>Test!H104</f>
        <v>0</v>
      </c>
      <c r="V106" s="30">
        <f>Test!I104</f>
        <v>0</v>
      </c>
      <c r="W106" s="19">
        <f t="shared" si="16"/>
        <v>0</v>
      </c>
      <c r="X106" s="19">
        <f t="shared" si="17"/>
        <v>0</v>
      </c>
      <c r="Y106" s="19">
        <f t="shared" si="13"/>
        <v>0</v>
      </c>
      <c r="Z106" s="26">
        <f t="shared" si="13"/>
        <v>0</v>
      </c>
      <c r="AA106" s="51"/>
      <c r="AB106" s="46"/>
      <c r="AC106" s="47"/>
      <c r="AD106" s="47"/>
      <c r="AE106" s="46"/>
      <c r="AF106" s="47"/>
      <c r="AG106" s="48"/>
    </row>
    <row r="107" spans="1:33">
      <c r="A107" s="11" t="s">
        <v>29</v>
      </c>
      <c r="B107" s="11" t="s">
        <v>117</v>
      </c>
      <c r="C107" s="11">
        <v>22</v>
      </c>
      <c r="D107" s="12">
        <f>Reference!B105</f>
        <v>5444.8326</v>
      </c>
      <c r="E107" s="13">
        <f>Reference!C105</f>
        <v>50.2173</v>
      </c>
      <c r="F107" s="13">
        <f>Reference!D105</f>
        <v>49.4653</v>
      </c>
      <c r="G107" s="13">
        <f>Reference!E105</f>
        <v>49.6173</v>
      </c>
      <c r="H107" s="13">
        <f>Reference!F105</f>
        <v>23606</v>
      </c>
      <c r="I107" s="13">
        <f>Reference!G105</f>
        <v>17.639</v>
      </c>
      <c r="J107" s="13">
        <f t="shared" si="14"/>
        <v>6.55722222222222</v>
      </c>
      <c r="K107" s="27">
        <f>Reference!H105</f>
        <v>3179492</v>
      </c>
      <c r="L107" s="28">
        <f>Reference!I105</f>
        <v>548584</v>
      </c>
      <c r="N107" s="12">
        <f>Test!B105</f>
        <v>0</v>
      </c>
      <c r="O107" s="13">
        <f>Test!C105</f>
        <v>0</v>
      </c>
      <c r="P107" s="13">
        <f>Test!D105</f>
        <v>0</v>
      </c>
      <c r="Q107" s="13">
        <f>Test!E105</f>
        <v>0</v>
      </c>
      <c r="R107" s="13">
        <f>Test!F105</f>
        <v>0</v>
      </c>
      <c r="S107" s="13">
        <f>Test!G105</f>
        <v>0</v>
      </c>
      <c r="T107" s="13">
        <f t="shared" si="15"/>
        <v>0</v>
      </c>
      <c r="U107" s="27">
        <f>Test!H105</f>
        <v>0</v>
      </c>
      <c r="V107" s="28">
        <f>Test!I105</f>
        <v>0</v>
      </c>
      <c r="W107" s="13">
        <f t="shared" si="16"/>
        <v>0</v>
      </c>
      <c r="X107" s="13">
        <f t="shared" si="17"/>
        <v>0</v>
      </c>
      <c r="Y107" s="13">
        <f t="shared" si="13"/>
        <v>0</v>
      </c>
      <c r="Z107" s="24">
        <f t="shared" si="13"/>
        <v>0</v>
      </c>
      <c r="AA107" s="38"/>
      <c r="AB107" s="39" t="e">
        <f>bdrate($D107:$D110,E107:E110,$N107:$N110,O107:O110)</f>
        <v>#VALUE!</v>
      </c>
      <c r="AC107" s="40" t="e">
        <f>bdrate($D107:$D110,F107:F110,$N107:$N110,P107:P110)</f>
        <v>#VALUE!</v>
      </c>
      <c r="AD107" s="41" t="e">
        <f>bdrate($D107:$D110,G107:G110,$N107:$N110,Q107:Q110)</f>
        <v>#VALUE!</v>
      </c>
      <c r="AE107" s="39" t="e">
        <f>bdrateOld($D107:$D110,E107:E110,$N107:$N110,O107:O110)</f>
        <v>#VALUE!</v>
      </c>
      <c r="AF107" s="40" t="e">
        <f>bdrateOld($D107:$D110,F107:F110,$N107:$N110,P107:P110)</f>
        <v>#VALUE!</v>
      </c>
      <c r="AG107" s="41" t="e">
        <f>bdrateOld($D107:$D110,G107:G110,$N107:$N110,Q107:Q110)</f>
        <v>#VALUE!</v>
      </c>
    </row>
    <row r="108" spans="1:33">
      <c r="A108" s="14"/>
      <c r="C108" s="14">
        <v>27</v>
      </c>
      <c r="D108" s="15">
        <f>Reference!B106</f>
        <v>4074.9079</v>
      </c>
      <c r="E108" s="16">
        <f>Reference!C106</f>
        <v>45.5019</v>
      </c>
      <c r="F108" s="16">
        <f>Reference!D106</f>
        <v>45.2494</v>
      </c>
      <c r="G108" s="16">
        <f>Reference!E106</f>
        <v>45.5915</v>
      </c>
      <c r="H108" s="16">
        <f>Reference!F106</f>
        <v>22124</v>
      </c>
      <c r="I108" s="16">
        <f>Reference!G106</f>
        <v>15.736</v>
      </c>
      <c r="J108" s="16">
        <f t="shared" si="14"/>
        <v>6.14555555555556</v>
      </c>
      <c r="K108" s="29">
        <f>Reference!H106</f>
        <v>3177412</v>
      </c>
      <c r="L108" s="30">
        <f>Reference!I106</f>
        <v>526532</v>
      </c>
      <c r="N108" s="15">
        <f>Test!B106</f>
        <v>0</v>
      </c>
      <c r="O108" s="16">
        <f>Test!C106</f>
        <v>0</v>
      </c>
      <c r="P108" s="16">
        <f>Test!D106</f>
        <v>0</v>
      </c>
      <c r="Q108" s="16">
        <f>Test!E106</f>
        <v>0</v>
      </c>
      <c r="R108" s="16">
        <f>Test!F106</f>
        <v>0</v>
      </c>
      <c r="S108" s="16">
        <f>Test!G106</f>
        <v>0</v>
      </c>
      <c r="T108" s="16">
        <f t="shared" si="15"/>
        <v>0</v>
      </c>
      <c r="U108" s="29">
        <f>Test!H106</f>
        <v>0</v>
      </c>
      <c r="V108" s="30">
        <f>Test!I106</f>
        <v>0</v>
      </c>
      <c r="W108" s="16">
        <f t="shared" si="16"/>
        <v>0</v>
      </c>
      <c r="X108" s="16">
        <f t="shared" si="17"/>
        <v>0</v>
      </c>
      <c r="Y108" s="16">
        <f t="shared" si="13"/>
        <v>0</v>
      </c>
      <c r="Z108" s="25">
        <f t="shared" si="13"/>
        <v>0</v>
      </c>
      <c r="AA108" s="42"/>
      <c r="AB108" s="43"/>
      <c r="AC108" s="44"/>
      <c r="AD108" s="45"/>
      <c r="AE108" s="43"/>
      <c r="AF108" s="44"/>
      <c r="AG108" s="45"/>
    </row>
    <row r="109" spans="1:33">
      <c r="A109" s="14"/>
      <c r="B109" s="14"/>
      <c r="C109" s="14">
        <v>32</v>
      </c>
      <c r="D109" s="15">
        <f>Reference!B107</f>
        <v>2970.3837</v>
      </c>
      <c r="E109" s="16">
        <f>Reference!C107</f>
        <v>40.9148</v>
      </c>
      <c r="F109" s="16">
        <f>Reference!D107</f>
        <v>41.0047</v>
      </c>
      <c r="G109" s="16">
        <f>Reference!E107</f>
        <v>41.5775</v>
      </c>
      <c r="H109" s="16">
        <f>Reference!F107</f>
        <v>20117</v>
      </c>
      <c r="I109" s="16">
        <f>Reference!G107</f>
        <v>14.151</v>
      </c>
      <c r="J109" s="16">
        <f t="shared" si="14"/>
        <v>5.58805555555556</v>
      </c>
      <c r="K109" s="29">
        <f>Reference!H107</f>
        <v>3173596</v>
      </c>
      <c r="L109" s="30">
        <f>Reference!I107</f>
        <v>508828</v>
      </c>
      <c r="N109" s="15">
        <f>Test!B107</f>
        <v>0</v>
      </c>
      <c r="O109" s="16">
        <f>Test!C107</f>
        <v>0</v>
      </c>
      <c r="P109" s="16">
        <f>Test!D107</f>
        <v>0</v>
      </c>
      <c r="Q109" s="16">
        <f>Test!E107</f>
        <v>0</v>
      </c>
      <c r="R109" s="16">
        <f>Test!F107</f>
        <v>0</v>
      </c>
      <c r="S109" s="16">
        <f>Test!G107</f>
        <v>0</v>
      </c>
      <c r="T109" s="16">
        <f t="shared" si="15"/>
        <v>0</v>
      </c>
      <c r="U109" s="29">
        <f>Test!H107</f>
        <v>0</v>
      </c>
      <c r="V109" s="30">
        <f>Test!I107</f>
        <v>0</v>
      </c>
      <c r="W109" s="16">
        <f t="shared" si="16"/>
        <v>0</v>
      </c>
      <c r="X109" s="16">
        <f t="shared" si="17"/>
        <v>0</v>
      </c>
      <c r="Y109" s="16">
        <f t="shared" si="13"/>
        <v>0</v>
      </c>
      <c r="Z109" s="25">
        <f t="shared" si="13"/>
        <v>0</v>
      </c>
      <c r="AA109" s="42"/>
      <c r="AB109" s="43"/>
      <c r="AC109" s="44"/>
      <c r="AD109" s="45"/>
      <c r="AE109" s="43"/>
      <c r="AF109" s="44"/>
      <c r="AG109" s="45"/>
    </row>
    <row r="110" ht="12.75" spans="1:33">
      <c r="A110" s="14"/>
      <c r="B110" s="17"/>
      <c r="C110" s="17">
        <v>37</v>
      </c>
      <c r="D110" s="18">
        <f>Reference!B108</f>
        <v>2193.3742</v>
      </c>
      <c r="E110" s="19">
        <f>Reference!C108</f>
        <v>36.4582</v>
      </c>
      <c r="F110" s="19">
        <f>Reference!D108</f>
        <v>38.2982</v>
      </c>
      <c r="G110" s="19">
        <f>Reference!E108</f>
        <v>38.9524</v>
      </c>
      <c r="H110" s="19">
        <f>Reference!F108</f>
        <v>19837</v>
      </c>
      <c r="I110" s="19">
        <f>Reference!G108</f>
        <v>14.57</v>
      </c>
      <c r="J110" s="19">
        <f t="shared" si="14"/>
        <v>5.51027777777778</v>
      </c>
      <c r="K110" s="29">
        <f>Reference!H108</f>
        <v>3169496</v>
      </c>
      <c r="L110" s="30">
        <f>Reference!I108</f>
        <v>500496</v>
      </c>
      <c r="N110" s="18">
        <f>Test!B108</f>
        <v>0</v>
      </c>
      <c r="O110" s="19">
        <f>Test!C108</f>
        <v>0</v>
      </c>
      <c r="P110" s="19">
        <f>Test!D108</f>
        <v>0</v>
      </c>
      <c r="Q110" s="19">
        <f>Test!E108</f>
        <v>0</v>
      </c>
      <c r="R110" s="19">
        <f>Test!F108</f>
        <v>0</v>
      </c>
      <c r="S110" s="19">
        <f>Test!G108</f>
        <v>0</v>
      </c>
      <c r="T110" s="19">
        <f t="shared" si="15"/>
        <v>0</v>
      </c>
      <c r="U110" s="29">
        <f>Test!H108</f>
        <v>0</v>
      </c>
      <c r="V110" s="30">
        <f>Test!I108</f>
        <v>0</v>
      </c>
      <c r="W110" s="16">
        <f t="shared" si="16"/>
        <v>0</v>
      </c>
      <c r="X110" s="16">
        <f t="shared" si="17"/>
        <v>0</v>
      </c>
      <c r="Y110" s="16">
        <f t="shared" si="13"/>
        <v>0</v>
      </c>
      <c r="Z110" s="25">
        <f t="shared" si="13"/>
        <v>0</v>
      </c>
      <c r="AA110" s="42"/>
      <c r="AB110" s="46"/>
      <c r="AC110" s="47"/>
      <c r="AD110" s="48"/>
      <c r="AE110" s="46"/>
      <c r="AF110" s="47"/>
      <c r="AG110" s="48"/>
    </row>
    <row r="111" spans="1:33">
      <c r="A111" s="14"/>
      <c r="B111" s="11" t="s">
        <v>118</v>
      </c>
      <c r="C111" s="11">
        <v>22</v>
      </c>
      <c r="D111" s="12">
        <f>Reference!B109</f>
        <v>3321.284</v>
      </c>
      <c r="E111" s="13">
        <f>Reference!C109</f>
        <v>53.7282</v>
      </c>
      <c r="F111" s="13">
        <f>Reference!D109</f>
        <v>49.7168</v>
      </c>
      <c r="G111" s="13">
        <f>Reference!E109</f>
        <v>49.7373</v>
      </c>
      <c r="H111" s="13">
        <f>Reference!F109</f>
        <v>32463</v>
      </c>
      <c r="I111" s="13">
        <f>Reference!G109</f>
        <v>24.138</v>
      </c>
      <c r="J111" s="13">
        <f t="shared" si="14"/>
        <v>9.0175</v>
      </c>
      <c r="K111" s="27">
        <f>Reference!H109</f>
        <v>3146008</v>
      </c>
      <c r="L111" s="28">
        <f>Reference!I109</f>
        <v>507868</v>
      </c>
      <c r="N111" s="12">
        <f>Test!B109</f>
        <v>0</v>
      </c>
      <c r="O111" s="13">
        <f>Test!C109</f>
        <v>0</v>
      </c>
      <c r="P111" s="13">
        <f>Test!D109</f>
        <v>0</v>
      </c>
      <c r="Q111" s="13">
        <f>Test!E109</f>
        <v>0</v>
      </c>
      <c r="R111" s="13">
        <f>Test!F109</f>
        <v>0</v>
      </c>
      <c r="S111" s="13">
        <f>Test!G109</f>
        <v>0</v>
      </c>
      <c r="T111" s="13">
        <f t="shared" si="15"/>
        <v>0</v>
      </c>
      <c r="U111" s="27">
        <f>Test!H109</f>
        <v>0</v>
      </c>
      <c r="V111" s="28">
        <f>Test!I109</f>
        <v>0</v>
      </c>
      <c r="W111" s="16">
        <f t="shared" si="16"/>
        <v>0</v>
      </c>
      <c r="X111" s="16">
        <f t="shared" si="17"/>
        <v>0</v>
      </c>
      <c r="Y111" s="16">
        <f t="shared" si="13"/>
        <v>0</v>
      </c>
      <c r="Z111" s="25">
        <f t="shared" si="13"/>
        <v>0</v>
      </c>
      <c r="AA111" s="42"/>
      <c r="AB111" s="39" t="e">
        <f>bdrate($D111:$D114,E111:E114,$N111:$N114,O111:O114)</f>
        <v>#VALUE!</v>
      </c>
      <c r="AC111" s="40" t="e">
        <f>bdrate($D111:$D114,F111:F114,$N111:$N114,P111:P114)</f>
        <v>#VALUE!</v>
      </c>
      <c r="AD111" s="40" t="e">
        <f>bdrate($D111:$D114,G111:G114,$N111:$N114,Q111:Q114)</f>
        <v>#VALUE!</v>
      </c>
      <c r="AE111" s="49" t="e">
        <f>bdrateOld($D111:$D114,E111:E114,$N111:$N114,O111:O114)</f>
        <v>#VALUE!</v>
      </c>
      <c r="AF111" s="50" t="e">
        <f>bdrateOld($D111:$D114,F111:F114,$N111:$N114,P111:P114)</f>
        <v>#VALUE!</v>
      </c>
      <c r="AG111" s="52" t="e">
        <f>bdrateOld($D111:$D114,G111:G114,$N111:$N114,Q111:Q114)</f>
        <v>#VALUE!</v>
      </c>
    </row>
    <row r="112" spans="1:33">
      <c r="A112" s="14"/>
      <c r="B112" s="14"/>
      <c r="C112" s="14">
        <v>27</v>
      </c>
      <c r="D112" s="15">
        <f>Reference!B110</f>
        <v>2733.5152</v>
      </c>
      <c r="E112" s="16">
        <f>Reference!C110</f>
        <v>48.902</v>
      </c>
      <c r="F112" s="16">
        <f>Reference!D110</f>
        <v>46.7726</v>
      </c>
      <c r="G112" s="16">
        <f>Reference!E110</f>
        <v>46.6009</v>
      </c>
      <c r="H112" s="16">
        <f>Reference!F110</f>
        <v>32301</v>
      </c>
      <c r="I112" s="16">
        <f>Reference!G110</f>
        <v>22.085</v>
      </c>
      <c r="J112" s="16">
        <f t="shared" si="14"/>
        <v>8.9725</v>
      </c>
      <c r="K112" s="29">
        <f>Reference!H110</f>
        <v>3142896</v>
      </c>
      <c r="L112" s="30">
        <f>Reference!I110</f>
        <v>484148</v>
      </c>
      <c r="N112" s="15">
        <f>Test!B110</f>
        <v>0</v>
      </c>
      <c r="O112" s="16">
        <f>Test!C110</f>
        <v>0</v>
      </c>
      <c r="P112" s="16">
        <f>Test!D110</f>
        <v>0</v>
      </c>
      <c r="Q112" s="16">
        <f>Test!E110</f>
        <v>0</v>
      </c>
      <c r="R112" s="16">
        <f>Test!F110</f>
        <v>0</v>
      </c>
      <c r="S112" s="16">
        <f>Test!G110</f>
        <v>0</v>
      </c>
      <c r="T112" s="16">
        <f t="shared" si="15"/>
        <v>0</v>
      </c>
      <c r="U112" s="29">
        <f>Test!H110</f>
        <v>0</v>
      </c>
      <c r="V112" s="30">
        <f>Test!I110</f>
        <v>0</v>
      </c>
      <c r="W112" s="16">
        <f t="shared" si="16"/>
        <v>0</v>
      </c>
      <c r="X112" s="16">
        <f t="shared" si="17"/>
        <v>0</v>
      </c>
      <c r="Y112" s="16">
        <f t="shared" si="13"/>
        <v>0</v>
      </c>
      <c r="Z112" s="25">
        <f t="shared" si="13"/>
        <v>0</v>
      </c>
      <c r="AA112" s="42"/>
      <c r="AB112" s="43"/>
      <c r="AC112" s="44"/>
      <c r="AD112" s="44"/>
      <c r="AE112" s="43"/>
      <c r="AF112" s="44"/>
      <c r="AG112" s="45"/>
    </row>
    <row r="113" ht="12.75" customHeight="1" spans="1:33">
      <c r="A113" s="14"/>
      <c r="B113" s="14"/>
      <c r="C113" s="14">
        <v>32</v>
      </c>
      <c r="D113" s="15">
        <f>Reference!B111</f>
        <v>2270.5328</v>
      </c>
      <c r="E113" s="16">
        <f>Reference!C111</f>
        <v>43.9598</v>
      </c>
      <c r="F113" s="16">
        <f>Reference!D111</f>
        <v>43.6482</v>
      </c>
      <c r="G113" s="16">
        <f>Reference!E111</f>
        <v>43.1758</v>
      </c>
      <c r="H113" s="16">
        <f>Reference!F111</f>
        <v>28914</v>
      </c>
      <c r="I113" s="16">
        <f>Reference!G111</f>
        <v>19.907</v>
      </c>
      <c r="J113" s="16">
        <f t="shared" si="14"/>
        <v>8.03166666666667</v>
      </c>
      <c r="K113" s="29">
        <f>Reference!H111</f>
        <v>3139484</v>
      </c>
      <c r="L113" s="30">
        <f>Reference!I111</f>
        <v>475860</v>
      </c>
      <c r="N113" s="15">
        <f>Test!B111</f>
        <v>0</v>
      </c>
      <c r="O113" s="16">
        <f>Test!C111</f>
        <v>0</v>
      </c>
      <c r="P113" s="16">
        <f>Test!D111</f>
        <v>0</v>
      </c>
      <c r="Q113" s="16">
        <f>Test!E111</f>
        <v>0</v>
      </c>
      <c r="R113" s="16">
        <f>Test!F111</f>
        <v>0</v>
      </c>
      <c r="S113" s="16">
        <f>Test!G111</f>
        <v>0</v>
      </c>
      <c r="T113" s="16">
        <f t="shared" si="15"/>
        <v>0</v>
      </c>
      <c r="U113" s="29">
        <f>Test!H111</f>
        <v>0</v>
      </c>
      <c r="V113" s="30">
        <f>Test!I111</f>
        <v>0</v>
      </c>
      <c r="W113" s="16">
        <f t="shared" si="16"/>
        <v>0</v>
      </c>
      <c r="X113" s="16">
        <f t="shared" si="17"/>
        <v>0</v>
      </c>
      <c r="Y113" s="16">
        <f>U113/K113</f>
        <v>0</v>
      </c>
      <c r="Z113" s="25">
        <f>V113/L113</f>
        <v>0</v>
      </c>
      <c r="AA113" s="42"/>
      <c r="AB113" s="43"/>
      <c r="AC113" s="44"/>
      <c r="AD113" s="44"/>
      <c r="AE113" s="43"/>
      <c r="AF113" s="44"/>
      <c r="AG113" s="45"/>
    </row>
    <row r="114" ht="12.75" customHeight="1" spans="1:33">
      <c r="A114" s="14"/>
      <c r="B114" s="17"/>
      <c r="C114" s="17">
        <v>37</v>
      </c>
      <c r="D114" s="18">
        <f>Reference!B112</f>
        <v>1895.6144</v>
      </c>
      <c r="E114" s="19">
        <f>Reference!C112</f>
        <v>38.4022</v>
      </c>
      <c r="F114" s="19">
        <f>Reference!D112</f>
        <v>41.3346</v>
      </c>
      <c r="G114" s="19">
        <f>Reference!E112</f>
        <v>41.0039</v>
      </c>
      <c r="H114" s="19">
        <f>Reference!F112</f>
        <v>27581</v>
      </c>
      <c r="I114" s="19">
        <f>Reference!G112</f>
        <v>19.111</v>
      </c>
      <c r="J114" s="19">
        <f t="shared" si="14"/>
        <v>7.66138888888889</v>
      </c>
      <c r="K114" s="29">
        <f>Reference!H112</f>
        <v>3139584</v>
      </c>
      <c r="L114" s="30">
        <f>Reference!I112</f>
        <v>470548</v>
      </c>
      <c r="N114" s="18">
        <f>Test!B112</f>
        <v>0</v>
      </c>
      <c r="O114" s="19">
        <f>Test!C112</f>
        <v>0</v>
      </c>
      <c r="P114" s="19">
        <f>Test!D112</f>
        <v>0</v>
      </c>
      <c r="Q114" s="19">
        <f>Test!E112</f>
        <v>0</v>
      </c>
      <c r="R114" s="19">
        <f>Test!F112</f>
        <v>0</v>
      </c>
      <c r="S114" s="19">
        <f>Test!G112</f>
        <v>0</v>
      </c>
      <c r="T114" s="19">
        <f t="shared" si="15"/>
        <v>0</v>
      </c>
      <c r="U114" s="29">
        <f>Test!H112</f>
        <v>0</v>
      </c>
      <c r="V114" s="30">
        <f>Test!I112</f>
        <v>0</v>
      </c>
      <c r="W114" s="16">
        <f t="shared" si="16"/>
        <v>0</v>
      </c>
      <c r="X114" s="16">
        <f t="shared" si="17"/>
        <v>0</v>
      </c>
      <c r="Y114" s="16">
        <f t="shared" si="13"/>
        <v>0</v>
      </c>
      <c r="Z114" s="25">
        <f t="shared" si="13"/>
        <v>0</v>
      </c>
      <c r="AA114" s="42"/>
      <c r="AB114" s="46"/>
      <c r="AC114" s="47"/>
      <c r="AD114" s="47"/>
      <c r="AE114" s="46"/>
      <c r="AF114" s="47"/>
      <c r="AG114" s="48"/>
    </row>
    <row r="115" spans="1:33">
      <c r="A115" s="14"/>
      <c r="B115" s="11" t="s">
        <v>119</v>
      </c>
      <c r="C115" s="11">
        <v>22</v>
      </c>
      <c r="D115" s="12">
        <f>Reference!B113</f>
        <v>2993.7032</v>
      </c>
      <c r="E115" s="13">
        <f>Reference!C113</f>
        <v>56.6126</v>
      </c>
      <c r="F115" s="13">
        <f>Reference!D113</f>
        <v>54.1064</v>
      </c>
      <c r="G115" s="13">
        <f>Reference!E113</f>
        <v>52.9288</v>
      </c>
      <c r="H115" s="13">
        <f>Reference!F113</f>
        <v>23278</v>
      </c>
      <c r="I115" s="13">
        <f>Reference!G113</f>
        <v>21.669</v>
      </c>
      <c r="J115" s="13">
        <f t="shared" si="14"/>
        <v>6.46611111111111</v>
      </c>
      <c r="K115" s="27">
        <f>Reference!H113</f>
        <v>3142176</v>
      </c>
      <c r="L115" s="28">
        <f>Reference!I113</f>
        <v>527660</v>
      </c>
      <c r="N115" s="12">
        <f>Test!B113</f>
        <v>0</v>
      </c>
      <c r="O115" s="13">
        <f>Test!C113</f>
        <v>0</v>
      </c>
      <c r="P115" s="13">
        <f>Test!D113</f>
        <v>0</v>
      </c>
      <c r="Q115" s="13">
        <f>Test!E113</f>
        <v>0</v>
      </c>
      <c r="R115" s="13">
        <f>Test!F113</f>
        <v>0</v>
      </c>
      <c r="S115" s="13">
        <f>Test!G113</f>
        <v>0</v>
      </c>
      <c r="T115" s="13">
        <f t="shared" si="15"/>
        <v>0</v>
      </c>
      <c r="U115" s="27">
        <f>Test!H113</f>
        <v>0</v>
      </c>
      <c r="V115" s="28">
        <f>Test!I113</f>
        <v>0</v>
      </c>
      <c r="W115" s="16">
        <f t="shared" si="16"/>
        <v>0</v>
      </c>
      <c r="X115" s="16">
        <f t="shared" si="17"/>
        <v>0</v>
      </c>
      <c r="Y115" s="16">
        <f t="shared" si="13"/>
        <v>0</v>
      </c>
      <c r="Z115" s="25">
        <f t="shared" si="13"/>
        <v>0</v>
      </c>
      <c r="AA115" s="42"/>
      <c r="AB115" s="39" t="e">
        <f>bdrate($D115:$D118,E115:E118,$N115:$N118,O115:O118)</f>
        <v>#VALUE!</v>
      </c>
      <c r="AC115" s="40" t="e">
        <f>bdrate($D115:$D118,F115:F118,$N115:$N118,P115:P118)</f>
        <v>#VALUE!</v>
      </c>
      <c r="AD115" s="40" t="e">
        <f>bdrate($D115:$D118,G115:G118,$N115:$N118,Q115:Q118)</f>
        <v>#VALUE!</v>
      </c>
      <c r="AE115" s="49" t="e">
        <f>bdrateOld($D115:$D118,E115:E118,$N115:$N118,O115:O118)</f>
        <v>#VALUE!</v>
      </c>
      <c r="AF115" s="50" t="e">
        <f>bdrateOld($D115:$D118,F115:F118,$N115:$N118,P115:P118)</f>
        <v>#VALUE!</v>
      </c>
      <c r="AG115" s="52" t="e">
        <f>bdrateOld($D115:$D118,G115:G118,$N115:$N118,Q115:Q118)</f>
        <v>#VALUE!</v>
      </c>
    </row>
    <row r="116" spans="1:33">
      <c r="A116" s="14"/>
      <c r="B116" s="14"/>
      <c r="C116" s="14">
        <v>27</v>
      </c>
      <c r="D116" s="15">
        <f>Reference!B114</f>
        <v>2317.8312</v>
      </c>
      <c r="E116" s="16">
        <f>Reference!C114</f>
        <v>50.4517</v>
      </c>
      <c r="F116" s="16">
        <f>Reference!D114</f>
        <v>48.4731</v>
      </c>
      <c r="G116" s="16">
        <f>Reference!E114</f>
        <v>46.5203</v>
      </c>
      <c r="H116" s="16">
        <f>Reference!F114</f>
        <v>23050</v>
      </c>
      <c r="I116" s="16">
        <f>Reference!G114</f>
        <v>21.231</v>
      </c>
      <c r="J116" s="16">
        <f t="shared" si="14"/>
        <v>6.40277777777778</v>
      </c>
      <c r="K116" s="29">
        <f>Reference!H114</f>
        <v>3142572</v>
      </c>
      <c r="L116" s="30">
        <f>Reference!I114</f>
        <v>527336</v>
      </c>
      <c r="N116" s="15">
        <f>Test!B114</f>
        <v>0</v>
      </c>
      <c r="O116" s="16">
        <f>Test!C114</f>
        <v>0</v>
      </c>
      <c r="P116" s="16">
        <f>Test!D114</f>
        <v>0</v>
      </c>
      <c r="Q116" s="16">
        <f>Test!E114</f>
        <v>0</v>
      </c>
      <c r="R116" s="16">
        <f>Test!F114</f>
        <v>0</v>
      </c>
      <c r="S116" s="16">
        <f>Test!G114</f>
        <v>0</v>
      </c>
      <c r="T116" s="16">
        <f t="shared" si="15"/>
        <v>0</v>
      </c>
      <c r="U116" s="29">
        <f>Test!H114</f>
        <v>0</v>
      </c>
      <c r="V116" s="30">
        <f>Test!I114</f>
        <v>0</v>
      </c>
      <c r="W116" s="16">
        <f t="shared" si="16"/>
        <v>0</v>
      </c>
      <c r="X116" s="16">
        <f t="shared" si="17"/>
        <v>0</v>
      </c>
      <c r="Y116" s="16">
        <f t="shared" si="13"/>
        <v>0</v>
      </c>
      <c r="Z116" s="25">
        <f t="shared" si="13"/>
        <v>0</v>
      </c>
      <c r="AA116" s="42"/>
      <c r="AB116" s="43"/>
      <c r="AC116" s="44"/>
      <c r="AD116" s="44"/>
      <c r="AE116" s="43"/>
      <c r="AF116" s="44"/>
      <c r="AG116" s="45"/>
    </row>
    <row r="117" spans="1:33">
      <c r="A117" s="14"/>
      <c r="B117" s="14"/>
      <c r="C117" s="14">
        <v>32</v>
      </c>
      <c r="D117" s="15">
        <f>Reference!B115</f>
        <v>1771.3696</v>
      </c>
      <c r="E117" s="16">
        <f>Reference!C115</f>
        <v>45.0401</v>
      </c>
      <c r="F117" s="16">
        <f>Reference!D115</f>
        <v>43.9394</v>
      </c>
      <c r="G117" s="16">
        <f>Reference!E115</f>
        <v>41.3312</v>
      </c>
      <c r="H117" s="16">
        <f>Reference!F115</f>
        <v>22955</v>
      </c>
      <c r="I117" s="16">
        <f>Reference!G115</f>
        <v>21.201</v>
      </c>
      <c r="J117" s="16">
        <f t="shared" si="14"/>
        <v>6.37638888888889</v>
      </c>
      <c r="K117" s="29">
        <f>Reference!H115</f>
        <v>3143672</v>
      </c>
      <c r="L117" s="30">
        <f>Reference!I115</f>
        <v>512900</v>
      </c>
      <c r="N117" s="15">
        <f>Test!B115</f>
        <v>0</v>
      </c>
      <c r="O117" s="16">
        <f>Test!C115</f>
        <v>0</v>
      </c>
      <c r="P117" s="16">
        <f>Test!D115</f>
        <v>0</v>
      </c>
      <c r="Q117" s="16">
        <f>Test!E115</f>
        <v>0</v>
      </c>
      <c r="R117" s="16">
        <f>Test!F115</f>
        <v>0</v>
      </c>
      <c r="S117" s="16">
        <f>Test!G115</f>
        <v>0</v>
      </c>
      <c r="T117" s="16">
        <f t="shared" si="15"/>
        <v>0</v>
      </c>
      <c r="U117" s="29">
        <f>Test!H115</f>
        <v>0</v>
      </c>
      <c r="V117" s="30">
        <f>Test!I115</f>
        <v>0</v>
      </c>
      <c r="W117" s="16">
        <f t="shared" si="16"/>
        <v>0</v>
      </c>
      <c r="X117" s="16">
        <f t="shared" si="17"/>
        <v>0</v>
      </c>
      <c r="Y117" s="16">
        <f t="shared" si="13"/>
        <v>0</v>
      </c>
      <c r="Z117" s="25">
        <f t="shared" si="13"/>
        <v>0</v>
      </c>
      <c r="AA117" s="42"/>
      <c r="AB117" s="43"/>
      <c r="AC117" s="44"/>
      <c r="AD117" s="44"/>
      <c r="AE117" s="43"/>
      <c r="AF117" s="44"/>
      <c r="AG117" s="45"/>
    </row>
    <row r="118" ht="12.75" spans="1:33">
      <c r="A118" s="14"/>
      <c r="B118" s="17"/>
      <c r="C118" s="17">
        <v>37</v>
      </c>
      <c r="D118" s="18">
        <f>Reference!B116</f>
        <v>1356.772</v>
      </c>
      <c r="E118" s="19">
        <f>Reference!C116</f>
        <v>39.5991</v>
      </c>
      <c r="F118" s="19">
        <f>Reference!D116</f>
        <v>41.3494</v>
      </c>
      <c r="G118" s="19">
        <f>Reference!E116</f>
        <v>38.5761</v>
      </c>
      <c r="H118" s="19">
        <f>Reference!F116</f>
        <v>21319</v>
      </c>
      <c r="I118" s="19">
        <f>Reference!G116</f>
        <v>21.043</v>
      </c>
      <c r="J118" s="19">
        <f t="shared" si="14"/>
        <v>5.92194444444444</v>
      </c>
      <c r="K118" s="29">
        <f>Reference!H116</f>
        <v>3140916</v>
      </c>
      <c r="L118" s="30">
        <f>Reference!I116</f>
        <v>503724</v>
      </c>
      <c r="N118" s="18">
        <f>Test!B116</f>
        <v>0</v>
      </c>
      <c r="O118" s="19">
        <f>Test!C116</f>
        <v>0</v>
      </c>
      <c r="P118" s="19">
        <f>Test!D116</f>
        <v>0</v>
      </c>
      <c r="Q118" s="19">
        <f>Test!E116</f>
        <v>0</v>
      </c>
      <c r="R118" s="19">
        <f>Test!F116</f>
        <v>0</v>
      </c>
      <c r="S118" s="19">
        <f>Test!G116</f>
        <v>0</v>
      </c>
      <c r="T118" s="19">
        <f t="shared" si="15"/>
        <v>0</v>
      </c>
      <c r="U118" s="29">
        <f>Test!H116</f>
        <v>0</v>
      </c>
      <c r="V118" s="30">
        <f>Test!I116</f>
        <v>0</v>
      </c>
      <c r="W118" s="16">
        <f t="shared" si="16"/>
        <v>0</v>
      </c>
      <c r="X118" s="16">
        <f t="shared" si="17"/>
        <v>0</v>
      </c>
      <c r="Y118" s="16">
        <f t="shared" si="13"/>
        <v>0</v>
      </c>
      <c r="Z118" s="25">
        <f t="shared" si="13"/>
        <v>0</v>
      </c>
      <c r="AA118" s="42"/>
      <c r="AB118" s="46"/>
      <c r="AC118" s="47"/>
      <c r="AD118" s="47"/>
      <c r="AE118" s="46"/>
      <c r="AF118" s="47"/>
      <c r="AG118" s="48"/>
    </row>
    <row r="119" spans="1:33">
      <c r="A119" s="14"/>
      <c r="B119" s="11" t="s">
        <v>120</v>
      </c>
      <c r="C119" s="11">
        <v>22</v>
      </c>
      <c r="D119" s="12">
        <f>Reference!B117</f>
        <v>10203.1488</v>
      </c>
      <c r="E119" s="13">
        <f>Reference!C117</f>
        <v>49.1673</v>
      </c>
      <c r="F119" s="13">
        <f>Reference!D117</f>
        <v>48.4595</v>
      </c>
      <c r="G119" s="13">
        <f>Reference!E117</f>
        <v>48.7073</v>
      </c>
      <c r="H119" s="13">
        <f>Reference!F117</f>
        <v>60453</v>
      </c>
      <c r="I119" s="13">
        <f>Reference!G117</f>
        <v>32.89</v>
      </c>
      <c r="J119" s="13">
        <f t="shared" si="14"/>
        <v>16.7925</v>
      </c>
      <c r="K119" s="27">
        <f>Reference!H117</f>
        <v>3217696</v>
      </c>
      <c r="L119" s="28">
        <f>Reference!I117</f>
        <v>530528</v>
      </c>
      <c r="N119" s="12">
        <f>Test!B117</f>
        <v>0</v>
      </c>
      <c r="O119" s="13">
        <f>Test!C117</f>
        <v>0</v>
      </c>
      <c r="P119" s="13">
        <f>Test!D117</f>
        <v>0</v>
      </c>
      <c r="Q119" s="13">
        <f>Test!E117</f>
        <v>0</v>
      </c>
      <c r="R119" s="13">
        <f>Test!F117</f>
        <v>0</v>
      </c>
      <c r="S119" s="13">
        <f>Test!G117</f>
        <v>0</v>
      </c>
      <c r="T119" s="13">
        <f t="shared" si="15"/>
        <v>0</v>
      </c>
      <c r="U119" s="27">
        <f>Test!H117</f>
        <v>0</v>
      </c>
      <c r="V119" s="28">
        <f>Test!I117</f>
        <v>0</v>
      </c>
      <c r="W119" s="16">
        <f t="shared" si="16"/>
        <v>0</v>
      </c>
      <c r="X119" s="16">
        <f t="shared" si="17"/>
        <v>0</v>
      </c>
      <c r="Y119" s="16">
        <f t="shared" si="13"/>
        <v>0</v>
      </c>
      <c r="Z119" s="25">
        <f t="shared" si="13"/>
        <v>0</v>
      </c>
      <c r="AA119" s="42"/>
      <c r="AB119" s="39" t="e">
        <f>bdrate($D119:$D122,E119:E122,$N119:$N122,O119:O122)</f>
        <v>#VALUE!</v>
      </c>
      <c r="AC119" s="40" t="e">
        <f>bdrate($D119:$D122,F119:F122,$N119:$N122,P119:P122)</f>
        <v>#VALUE!</v>
      </c>
      <c r="AD119" s="40" t="e">
        <f>bdrate($D119:$D122,G119:G122,$N119:$N122,Q119:Q122)</f>
        <v>#VALUE!</v>
      </c>
      <c r="AE119" s="49" t="e">
        <f>bdrateOld($D119:$D122,E119:E122,$N119:$N122,O119:O122)</f>
        <v>#VALUE!</v>
      </c>
      <c r="AF119" s="50" t="e">
        <f>bdrateOld($D119:$D122,F119:F122,$N119:$N122,P119:P122)</f>
        <v>#VALUE!</v>
      </c>
      <c r="AG119" s="52" t="e">
        <f>bdrateOld($D119:$D122,G119:G122,$N119:$N122,Q119:Q122)</f>
        <v>#VALUE!</v>
      </c>
    </row>
    <row r="120" spans="1:33">
      <c r="A120" s="14"/>
      <c r="B120" s="14"/>
      <c r="C120" s="14">
        <v>27</v>
      </c>
      <c r="D120" s="15">
        <f>Reference!B118</f>
        <v>8175.7816</v>
      </c>
      <c r="E120" s="16">
        <f>Reference!C118</f>
        <v>44.6921</v>
      </c>
      <c r="F120" s="16">
        <f>Reference!D118</f>
        <v>45.064</v>
      </c>
      <c r="G120" s="16">
        <f>Reference!E118</f>
        <v>45.4448</v>
      </c>
      <c r="H120" s="16">
        <f>Reference!F118</f>
        <v>53566</v>
      </c>
      <c r="I120" s="16">
        <f>Reference!G118</f>
        <v>28.501</v>
      </c>
      <c r="J120" s="16">
        <f t="shared" si="14"/>
        <v>14.8794444444444</v>
      </c>
      <c r="K120" s="29">
        <f>Reference!H118</f>
        <v>3204136</v>
      </c>
      <c r="L120" s="30">
        <f>Reference!I118</f>
        <v>511544</v>
      </c>
      <c r="N120" s="15">
        <f>Test!B118</f>
        <v>0</v>
      </c>
      <c r="O120" s="16">
        <f>Test!C118</f>
        <v>0</v>
      </c>
      <c r="P120" s="16">
        <f>Test!D118</f>
        <v>0</v>
      </c>
      <c r="Q120" s="16">
        <f>Test!E118</f>
        <v>0</v>
      </c>
      <c r="R120" s="16">
        <f>Test!F118</f>
        <v>0</v>
      </c>
      <c r="S120" s="16">
        <f>Test!G118</f>
        <v>0</v>
      </c>
      <c r="T120" s="16">
        <f t="shared" si="15"/>
        <v>0</v>
      </c>
      <c r="U120" s="29">
        <f>Test!H118</f>
        <v>0</v>
      </c>
      <c r="V120" s="30">
        <f>Test!I118</f>
        <v>0</v>
      </c>
      <c r="W120" s="16">
        <f t="shared" si="16"/>
        <v>0</v>
      </c>
      <c r="X120" s="16">
        <f t="shared" si="17"/>
        <v>0</v>
      </c>
      <c r="Y120" s="16">
        <f t="shared" si="13"/>
        <v>0</v>
      </c>
      <c r="Z120" s="25">
        <f t="shared" si="13"/>
        <v>0</v>
      </c>
      <c r="AA120" s="42"/>
      <c r="AB120" s="43"/>
      <c r="AC120" s="44"/>
      <c r="AD120" s="44"/>
      <c r="AE120" s="43"/>
      <c r="AF120" s="44"/>
      <c r="AG120" s="45"/>
    </row>
    <row r="121" spans="1:33">
      <c r="A121" s="14"/>
      <c r="B121" s="14"/>
      <c r="C121" s="14">
        <v>32</v>
      </c>
      <c r="D121" s="15">
        <f>Reference!B119</f>
        <v>6587.6592</v>
      </c>
      <c r="E121" s="16">
        <f>Reference!C119</f>
        <v>40.1735</v>
      </c>
      <c r="F121" s="16">
        <f>Reference!D119</f>
        <v>41.8574</v>
      </c>
      <c r="G121" s="16">
        <f>Reference!E119</f>
        <v>42.5271</v>
      </c>
      <c r="H121" s="16">
        <f>Reference!F119</f>
        <v>54650</v>
      </c>
      <c r="I121" s="16">
        <f>Reference!G119</f>
        <v>27.726</v>
      </c>
      <c r="J121" s="16">
        <f t="shared" si="14"/>
        <v>15.1805555555556</v>
      </c>
      <c r="K121" s="29">
        <f>Reference!H119</f>
        <v>3200208</v>
      </c>
      <c r="L121" s="30">
        <f>Reference!I119</f>
        <v>509500</v>
      </c>
      <c r="N121" s="15">
        <f>Test!B119</f>
        <v>0</v>
      </c>
      <c r="O121" s="16">
        <f>Test!C119</f>
        <v>0</v>
      </c>
      <c r="P121" s="16">
        <f>Test!D119</f>
        <v>0</v>
      </c>
      <c r="Q121" s="16">
        <f>Test!E119</f>
        <v>0</v>
      </c>
      <c r="R121" s="16">
        <f>Test!F119</f>
        <v>0</v>
      </c>
      <c r="S121" s="16">
        <f>Test!G119</f>
        <v>0</v>
      </c>
      <c r="T121" s="16">
        <f t="shared" si="15"/>
        <v>0</v>
      </c>
      <c r="U121" s="29">
        <f>Test!H119</f>
        <v>0</v>
      </c>
      <c r="V121" s="30">
        <f>Test!I119</f>
        <v>0</v>
      </c>
      <c r="W121" s="16">
        <f t="shared" si="16"/>
        <v>0</v>
      </c>
      <c r="X121" s="16">
        <f t="shared" si="17"/>
        <v>0</v>
      </c>
      <c r="Y121" s="16">
        <f t="shared" si="13"/>
        <v>0</v>
      </c>
      <c r="Z121" s="25">
        <f t="shared" si="13"/>
        <v>0</v>
      </c>
      <c r="AA121" s="42"/>
      <c r="AB121" s="43"/>
      <c r="AC121" s="44"/>
      <c r="AD121" s="44"/>
      <c r="AE121" s="43"/>
      <c r="AF121" s="44"/>
      <c r="AG121" s="45"/>
    </row>
    <row r="122" ht="12.75" spans="1:33">
      <c r="A122" s="17"/>
      <c r="B122" s="17"/>
      <c r="C122" s="17">
        <v>37</v>
      </c>
      <c r="D122" s="18">
        <f>Reference!B120</f>
        <v>5076.0608</v>
      </c>
      <c r="E122" s="19">
        <f>Reference!C120</f>
        <v>35.2162</v>
      </c>
      <c r="F122" s="19">
        <f>Reference!D120</f>
        <v>39.3922</v>
      </c>
      <c r="G122" s="19">
        <f>Reference!E120</f>
        <v>40.0619</v>
      </c>
      <c r="H122" s="19">
        <f>Reference!F120</f>
        <v>49445</v>
      </c>
      <c r="I122" s="19">
        <f>Reference!G120</f>
        <v>25.372</v>
      </c>
      <c r="J122" s="19">
        <f t="shared" si="14"/>
        <v>13.7347222222222</v>
      </c>
      <c r="K122" s="31">
        <f>Reference!H120</f>
        <v>3198080</v>
      </c>
      <c r="L122" s="32">
        <f>Reference!I120</f>
        <v>519840</v>
      </c>
      <c r="N122" s="18">
        <f>Test!B120</f>
        <v>0</v>
      </c>
      <c r="O122" s="19">
        <f>Test!C120</f>
        <v>0</v>
      </c>
      <c r="P122" s="19">
        <f>Test!D120</f>
        <v>0</v>
      </c>
      <c r="Q122" s="19">
        <f>Test!E120</f>
        <v>0</v>
      </c>
      <c r="R122" s="19">
        <f>Test!F120</f>
        <v>0</v>
      </c>
      <c r="S122" s="19">
        <f>Test!G120</f>
        <v>0</v>
      </c>
      <c r="T122" s="19">
        <f t="shared" si="15"/>
        <v>0</v>
      </c>
      <c r="U122" s="31">
        <f>Test!H120</f>
        <v>0</v>
      </c>
      <c r="V122" s="32">
        <f>Test!I120</f>
        <v>0</v>
      </c>
      <c r="W122" s="19">
        <f t="shared" si="16"/>
        <v>0</v>
      </c>
      <c r="X122" s="19">
        <f t="shared" si="17"/>
        <v>0</v>
      </c>
      <c r="Y122" s="19">
        <f t="shared" si="13"/>
        <v>0</v>
      </c>
      <c r="Z122" s="26">
        <f t="shared" si="13"/>
        <v>0</v>
      </c>
      <c r="AA122" s="51"/>
      <c r="AB122" s="46"/>
      <c r="AC122" s="47"/>
      <c r="AD122" s="47"/>
      <c r="AE122" s="46"/>
      <c r="AF122" s="47"/>
      <c r="AG122" s="48"/>
    </row>
    <row r="123" spans="2:33">
      <c r="B123" s="2" t="s">
        <v>19</v>
      </c>
      <c r="I123" s="42">
        <f>GEOMEAN(I3:I14)</f>
        <v>39.969381406241</v>
      </c>
      <c r="J123" s="42">
        <f>GEOMEAN(J3:J14)</f>
        <v>9.50648636189557</v>
      </c>
      <c r="K123" s="42"/>
      <c r="L123" s="53"/>
      <c r="S123" s="42" t="e">
        <f>GEOMEAN(S3:S14)</f>
        <v>#NUM!</v>
      </c>
      <c r="T123" s="42" t="e">
        <f>GEOMEAN(T3:T14)</f>
        <v>#NUM!</v>
      </c>
      <c r="U123" s="42"/>
      <c r="V123" s="53"/>
      <c r="W123" s="42" t="e">
        <f>GEOMEAN(W3:W14)</f>
        <v>#NUM!</v>
      </c>
      <c r="X123" s="42" t="e">
        <f>GEOMEAN(X3:X14)</f>
        <v>#NUM!</v>
      </c>
      <c r="Y123" s="42" t="e">
        <f>GEOMEAN(Y3:Y14)</f>
        <v>#NUM!</v>
      </c>
      <c r="Z123" s="53" t="e">
        <f>GEOMEAN(Z3:Z14)</f>
        <v>#NUM!</v>
      </c>
      <c r="AB123" s="39" t="e">
        <f t="shared" ref="AB123:AG123" si="18">AVERAGE(AB3:AB14)</f>
        <v>#VALUE!</v>
      </c>
      <c r="AC123" s="40" t="e">
        <f t="shared" si="18"/>
        <v>#VALUE!</v>
      </c>
      <c r="AD123" s="41" t="e">
        <f t="shared" si="18"/>
        <v>#VALUE!</v>
      </c>
      <c r="AE123" s="39" t="e">
        <f t="shared" si="18"/>
        <v>#VALUE!</v>
      </c>
      <c r="AF123" s="40" t="e">
        <f t="shared" si="18"/>
        <v>#VALUE!</v>
      </c>
      <c r="AG123" s="41" t="e">
        <f t="shared" si="18"/>
        <v>#VALUE!</v>
      </c>
    </row>
    <row r="124" spans="2:33">
      <c r="B124" s="2" t="s">
        <v>21</v>
      </c>
      <c r="I124" s="42">
        <f>GEOMEAN(I15:I26)</f>
        <v>52.9702943254459</v>
      </c>
      <c r="J124" s="42">
        <f>GEOMEAN(J15:J26)</f>
        <v>14.8209027799865</v>
      </c>
      <c r="K124" s="42"/>
      <c r="L124" s="53"/>
      <c r="S124" s="42" t="e">
        <f>GEOMEAN(S15:S26)</f>
        <v>#NUM!</v>
      </c>
      <c r="T124" s="42" t="e">
        <f>GEOMEAN(T15:T26)</f>
        <v>#NUM!</v>
      </c>
      <c r="U124" s="42"/>
      <c r="V124" s="53"/>
      <c r="W124" s="42" t="e">
        <f>GEOMEAN(W15:W26)</f>
        <v>#NUM!</v>
      </c>
      <c r="X124" s="42" t="e">
        <f>GEOMEAN(X15:X26)</f>
        <v>#NUM!</v>
      </c>
      <c r="Y124" s="42" t="e">
        <f>GEOMEAN(Y15:Y26)</f>
        <v>#NUM!</v>
      </c>
      <c r="Z124" s="53" t="e">
        <f>GEOMEAN(Z15:Z26)</f>
        <v>#NUM!</v>
      </c>
      <c r="AB124" s="49" t="e">
        <f t="shared" ref="AB124:AG124" si="19">AVERAGE(AB15:AB26)</f>
        <v>#VALUE!</v>
      </c>
      <c r="AC124" s="50" t="e">
        <f t="shared" si="19"/>
        <v>#VALUE!</v>
      </c>
      <c r="AD124" s="52" t="e">
        <f t="shared" si="19"/>
        <v>#VALUE!</v>
      </c>
      <c r="AE124" s="49" t="e">
        <f t="shared" si="19"/>
        <v>#VALUE!</v>
      </c>
      <c r="AF124" s="50" t="e">
        <f t="shared" si="19"/>
        <v>#VALUE!</v>
      </c>
      <c r="AG124" s="52" t="e">
        <f t="shared" si="19"/>
        <v>#VALUE!</v>
      </c>
    </row>
    <row r="125" spans="2:33">
      <c r="B125" s="2" t="s">
        <v>22</v>
      </c>
      <c r="I125" s="42">
        <f>GEOMEAN(I27:I46)</f>
        <v>29.4330150030522</v>
      </c>
      <c r="J125" s="42">
        <f>GEOMEAN(J27:J46)</f>
        <v>8.24825652570924</v>
      </c>
      <c r="K125" s="42"/>
      <c r="L125" s="53"/>
      <c r="S125" s="42" t="e">
        <f>GEOMEAN(S27:S46)</f>
        <v>#NUM!</v>
      </c>
      <c r="T125" s="42" t="e">
        <f>GEOMEAN(T27:T46)</f>
        <v>#NUM!</v>
      </c>
      <c r="U125" s="42"/>
      <c r="V125" s="53"/>
      <c r="W125" s="42" t="e">
        <f>GEOMEAN(W27:W46)</f>
        <v>#NUM!</v>
      </c>
      <c r="X125" s="42" t="e">
        <f>GEOMEAN(X27:X46)</f>
        <v>#NUM!</v>
      </c>
      <c r="Y125" s="42" t="e">
        <f>GEOMEAN(Y27:Y46)</f>
        <v>#NUM!</v>
      </c>
      <c r="Z125" s="53" t="e">
        <f>GEOMEAN(Z27:Z46)</f>
        <v>#NUM!</v>
      </c>
      <c r="AB125" s="49" t="e">
        <f t="shared" ref="AB125:AG125" si="20">AVERAGE(AB27:AB46)</f>
        <v>#VALUE!</v>
      </c>
      <c r="AC125" s="50" t="e">
        <f t="shared" si="20"/>
        <v>#VALUE!</v>
      </c>
      <c r="AD125" s="52" t="e">
        <f t="shared" si="20"/>
        <v>#VALUE!</v>
      </c>
      <c r="AE125" s="49" t="e">
        <f t="shared" si="20"/>
        <v>#VALUE!</v>
      </c>
      <c r="AF125" s="50" t="e">
        <f t="shared" si="20"/>
        <v>#VALUE!</v>
      </c>
      <c r="AG125" s="52" t="e">
        <f t="shared" si="20"/>
        <v>#VALUE!</v>
      </c>
    </row>
    <row r="126" spans="2:33">
      <c r="B126" s="2" t="s">
        <v>23</v>
      </c>
      <c r="I126" s="42">
        <f>GEOMEAN(I47:I62)</f>
        <v>6.92036751374866</v>
      </c>
      <c r="J126" s="42">
        <f>GEOMEAN(J47:J62)</f>
        <v>1.89180052127361</v>
      </c>
      <c r="K126" s="42"/>
      <c r="L126" s="53"/>
      <c r="S126" s="42" t="e">
        <f>GEOMEAN(S47:S62)</f>
        <v>#NUM!</v>
      </c>
      <c r="T126" s="42" t="e">
        <f>GEOMEAN(T47:T62)</f>
        <v>#NUM!</v>
      </c>
      <c r="U126" s="42"/>
      <c r="V126" s="53"/>
      <c r="W126" s="42" t="e">
        <f>GEOMEAN(W47:W62)</f>
        <v>#NUM!</v>
      </c>
      <c r="X126" s="42" t="e">
        <f>GEOMEAN(X47:X62)</f>
        <v>#NUM!</v>
      </c>
      <c r="Y126" s="42" t="e">
        <f>GEOMEAN(Y47:Y62)</f>
        <v>#NUM!</v>
      </c>
      <c r="Z126" s="53" t="e">
        <f>GEOMEAN(Z47:Z62)</f>
        <v>#NUM!</v>
      </c>
      <c r="AB126" s="49" t="e">
        <f t="shared" ref="AB126:AG126" si="21">AVERAGE(AB47:AB62)</f>
        <v>#VALUE!</v>
      </c>
      <c r="AC126" s="50" t="e">
        <f t="shared" si="21"/>
        <v>#VALUE!</v>
      </c>
      <c r="AD126" s="52" t="e">
        <f t="shared" si="21"/>
        <v>#VALUE!</v>
      </c>
      <c r="AE126" s="49" t="e">
        <f t="shared" si="21"/>
        <v>#VALUE!</v>
      </c>
      <c r="AF126" s="50" t="e">
        <f t="shared" si="21"/>
        <v>#VALUE!</v>
      </c>
      <c r="AG126" s="52" t="e">
        <f t="shared" si="21"/>
        <v>#VALUE!</v>
      </c>
    </row>
    <row r="127" spans="2:33">
      <c r="B127" s="2" t="s">
        <v>27</v>
      </c>
      <c r="I127" s="42">
        <f>GEOMEAN(I63:I78)</f>
        <v>1.98783924880826</v>
      </c>
      <c r="J127" s="42">
        <f>GEOMEAN(J63:J78)</f>
        <v>0.540051657160522</v>
      </c>
      <c r="K127" s="42"/>
      <c r="L127" s="53"/>
      <c r="S127" s="42" t="e">
        <f>GEOMEAN(S63:S78)</f>
        <v>#NUM!</v>
      </c>
      <c r="T127" s="42" t="e">
        <f>GEOMEAN(T63:T78)</f>
        <v>#NUM!</v>
      </c>
      <c r="U127" s="42"/>
      <c r="V127" s="53"/>
      <c r="W127" s="42" t="e">
        <f>GEOMEAN(W63:W78)</f>
        <v>#NUM!</v>
      </c>
      <c r="X127" s="42" t="e">
        <f>GEOMEAN(X63:X78)</f>
        <v>#NUM!</v>
      </c>
      <c r="Y127" s="42" t="e">
        <f>GEOMEAN(Y63:Y78)</f>
        <v>#NUM!</v>
      </c>
      <c r="Z127" s="53" t="e">
        <f>GEOMEAN(Z63:Z78)</f>
        <v>#NUM!</v>
      </c>
      <c r="AB127" s="49" t="e">
        <f t="shared" ref="AB127:AG127" si="22">AVERAGE(AB63:AB78)</f>
        <v>#VALUE!</v>
      </c>
      <c r="AC127" s="50" t="e">
        <f t="shared" si="22"/>
        <v>#VALUE!</v>
      </c>
      <c r="AD127" s="52" t="e">
        <f t="shared" si="22"/>
        <v>#VALUE!</v>
      </c>
      <c r="AE127" s="49" t="e">
        <f t="shared" si="22"/>
        <v>#VALUE!</v>
      </c>
      <c r="AF127" s="50" t="e">
        <f t="shared" si="22"/>
        <v>#VALUE!</v>
      </c>
      <c r="AG127" s="52" t="e">
        <f t="shared" si="22"/>
        <v>#VALUE!</v>
      </c>
    </row>
    <row r="128" spans="2:33">
      <c r="B128" s="2" t="s">
        <v>24</v>
      </c>
      <c r="I128" s="42">
        <f>GEOMEAN(I79:I90)</f>
        <v>13.0811235239608</v>
      </c>
      <c r="J128" s="42">
        <f>GEOMEAN(J79:J90)</f>
        <v>2.73300648946976</v>
      </c>
      <c r="K128" s="42"/>
      <c r="L128" s="53"/>
      <c r="S128" s="42" t="e">
        <f>GEOMEAN(S79:S90)</f>
        <v>#NUM!</v>
      </c>
      <c r="T128" s="42" t="e">
        <f>GEOMEAN(T79:T90)</f>
        <v>#NUM!</v>
      </c>
      <c r="U128" s="42"/>
      <c r="V128" s="53"/>
      <c r="W128" s="42" t="e">
        <f>GEOMEAN(W79:W90)</f>
        <v>#NUM!</v>
      </c>
      <c r="X128" s="42" t="e">
        <f>GEOMEAN(X79:X90)</f>
        <v>#NUM!</v>
      </c>
      <c r="Y128" s="42" t="e">
        <f>GEOMEAN(Y79:Y90)</f>
        <v>#NUM!</v>
      </c>
      <c r="Z128" s="53" t="e">
        <f>GEOMEAN(Z79:Z90)</f>
        <v>#NUM!</v>
      </c>
      <c r="AB128" s="49" t="e">
        <f t="shared" ref="AB128:AG128" si="23">AVERAGE(AB79:AB88)</f>
        <v>#VALUE!</v>
      </c>
      <c r="AC128" s="50" t="e">
        <f t="shared" si="23"/>
        <v>#VALUE!</v>
      </c>
      <c r="AD128" s="52" t="e">
        <f t="shared" si="23"/>
        <v>#VALUE!</v>
      </c>
      <c r="AE128" s="49" t="e">
        <f t="shared" si="23"/>
        <v>#VALUE!</v>
      </c>
      <c r="AF128" s="50" t="e">
        <f t="shared" si="23"/>
        <v>#VALUE!</v>
      </c>
      <c r="AG128" s="52" t="e">
        <f t="shared" si="23"/>
        <v>#VALUE!</v>
      </c>
    </row>
    <row r="129" spans="2:33">
      <c r="B129" s="2" t="s">
        <v>28</v>
      </c>
      <c r="I129" s="42">
        <f>GEOMEAN(I91:I106)</f>
        <v>10.8324969876288</v>
      </c>
      <c r="J129" s="42">
        <f>GEOMEAN(J91:J106)</f>
        <v>3.93135078121273</v>
      </c>
      <c r="K129" s="42"/>
      <c r="L129" s="53"/>
      <c r="S129" s="42" t="e">
        <f>GEOMEAN(S91:S106)</f>
        <v>#NUM!</v>
      </c>
      <c r="T129" s="42" t="e">
        <f>GEOMEAN(T91:T106)</f>
        <v>#NUM!</v>
      </c>
      <c r="U129" s="42"/>
      <c r="V129" s="53"/>
      <c r="W129" s="42" t="e">
        <f>GEOMEAN(W91:W106)</f>
        <v>#NUM!</v>
      </c>
      <c r="X129" s="42" t="e">
        <f>GEOMEAN(X91:X106)</f>
        <v>#NUM!</v>
      </c>
      <c r="Y129" s="42" t="e">
        <f>GEOMEAN(Y91:Y106)</f>
        <v>#NUM!</v>
      </c>
      <c r="Z129" s="53" t="e">
        <f>GEOMEAN(Z91:Z106)</f>
        <v>#NUM!</v>
      </c>
      <c r="AB129" s="49" t="e">
        <f t="shared" ref="AB129:AG129" si="24">AVERAGE(AB91:AB106)</f>
        <v>#VALUE!</v>
      </c>
      <c r="AC129" s="50" t="e">
        <f t="shared" si="24"/>
        <v>#VALUE!</v>
      </c>
      <c r="AD129" s="52" t="e">
        <f t="shared" si="24"/>
        <v>#VALUE!</v>
      </c>
      <c r="AE129" s="49" t="e">
        <f t="shared" si="24"/>
        <v>#VALUE!</v>
      </c>
      <c r="AF129" s="50" t="e">
        <f t="shared" si="24"/>
        <v>#VALUE!</v>
      </c>
      <c r="AG129" s="52" t="e">
        <f t="shared" si="24"/>
        <v>#VALUE!</v>
      </c>
    </row>
    <row r="130" ht="12.75" spans="2:33">
      <c r="B130" s="2" t="s">
        <v>121</v>
      </c>
      <c r="I130" s="42">
        <f>GEOMEAN(I107:I122)</f>
        <v>21.1231596992413</v>
      </c>
      <c r="J130" s="42">
        <f>GEOMEAN(J107:J122)</f>
        <v>8.29574749894347</v>
      </c>
      <c r="K130" s="42"/>
      <c r="L130" s="53"/>
      <c r="S130" s="42" t="e">
        <f>GEOMEAN(S107:S122)</f>
        <v>#NUM!</v>
      </c>
      <c r="T130" s="42" t="e">
        <f>GEOMEAN(T107:T122)</f>
        <v>#NUM!</v>
      </c>
      <c r="U130" s="42"/>
      <c r="V130" s="53"/>
      <c r="W130" s="42" t="e">
        <f>GEOMEAN(W107:W122)</f>
        <v>#NUM!</v>
      </c>
      <c r="X130" s="42" t="e">
        <f>GEOMEAN(X107:X122)</f>
        <v>#NUM!</v>
      </c>
      <c r="Y130" s="42" t="e">
        <f>GEOMEAN(Y107:Y122)</f>
        <v>#NUM!</v>
      </c>
      <c r="Z130" s="53" t="e">
        <f>GEOMEAN(Z107:Z122)</f>
        <v>#NUM!</v>
      </c>
      <c r="AB130" s="49" t="e">
        <f t="shared" ref="AB130:AG130" si="25">AVERAGE(AB107:AB122)</f>
        <v>#VALUE!</v>
      </c>
      <c r="AC130" s="50" t="e">
        <f t="shared" si="25"/>
        <v>#VALUE!</v>
      </c>
      <c r="AD130" s="52" t="e">
        <f t="shared" si="25"/>
        <v>#VALUE!</v>
      </c>
      <c r="AE130" s="49" t="e">
        <f t="shared" si="25"/>
        <v>#VALUE!</v>
      </c>
      <c r="AF130" s="50" t="e">
        <f t="shared" si="25"/>
        <v>#VALUE!</v>
      </c>
      <c r="AG130" s="52" t="e">
        <f t="shared" si="25"/>
        <v>#VALUE!</v>
      </c>
    </row>
    <row r="131" ht="12.75" spans="1:33">
      <c r="A131" s="54"/>
      <c r="B131" s="55" t="s">
        <v>34</v>
      </c>
      <c r="C131" s="55"/>
      <c r="D131" s="55"/>
      <c r="E131" s="55"/>
      <c r="F131" s="55"/>
      <c r="G131" s="55"/>
      <c r="H131" s="55"/>
      <c r="I131" s="56">
        <f>GEOMEAN(I3:I62,I79:I90)</f>
        <v>21.6324561389077</v>
      </c>
      <c r="J131" s="56">
        <f>GEOMEAN(J3:J62,J79:J90)</f>
        <v>5.58464351832845</v>
      </c>
      <c r="K131" s="56"/>
      <c r="L131" s="57"/>
      <c r="M131" s="55"/>
      <c r="N131" s="55"/>
      <c r="O131" s="55"/>
      <c r="P131" s="55"/>
      <c r="Q131" s="55"/>
      <c r="R131" s="55"/>
      <c r="S131" s="56" t="e">
        <f>GEOMEAN(S3:S62,S79:S90)</f>
        <v>#NUM!</v>
      </c>
      <c r="T131" s="56" t="e">
        <f>GEOMEAN(T3:T62,T79:T90)</f>
        <v>#NUM!</v>
      </c>
      <c r="U131" s="56"/>
      <c r="V131" s="57"/>
      <c r="W131" s="56" t="e">
        <f>GEOMEAN(W3:W62,W79:W90)</f>
        <v>#NUM!</v>
      </c>
      <c r="X131" s="56" t="e">
        <f>GEOMEAN(X3:X62,X79:X90)</f>
        <v>#NUM!</v>
      </c>
      <c r="Y131" s="56" t="e">
        <f>GEOMEAN(Y3:Y62,Y79:Y90)</f>
        <v>#NUM!</v>
      </c>
      <c r="Z131" s="57" t="e">
        <f>GEOMEAN(Z3:Z62,Z79:Z90)</f>
        <v>#NUM!</v>
      </c>
      <c r="AA131" s="55"/>
      <c r="AB131" s="62" t="e">
        <f t="shared" ref="AB131:AG131" si="26">AVERAGE(AB3:AB62,AB79:AB90)</f>
        <v>#VALUE!</v>
      </c>
      <c r="AC131" s="63" t="e">
        <f t="shared" si="26"/>
        <v>#VALUE!</v>
      </c>
      <c r="AD131" s="64" t="e">
        <f t="shared" si="26"/>
        <v>#VALUE!</v>
      </c>
      <c r="AE131" s="62" t="e">
        <f t="shared" si="26"/>
        <v>#VALUE!</v>
      </c>
      <c r="AF131" s="63" t="e">
        <f t="shared" si="26"/>
        <v>#VALUE!</v>
      </c>
      <c r="AG131" s="64" t="e">
        <f t="shared" si="26"/>
        <v>#VALUE!</v>
      </c>
    </row>
    <row r="132" spans="2:26">
      <c r="B132" s="2" t="s">
        <v>122</v>
      </c>
      <c r="I132" s="58">
        <f>GEOMEAN(I3:I106)</f>
        <v>13.4709386632137</v>
      </c>
      <c r="J132" s="58">
        <f>GEOMEAN(J3:J106)</f>
        <v>3.69364259281245</v>
      </c>
      <c r="K132" s="58"/>
      <c r="L132" s="59"/>
      <c r="S132" s="58" t="e">
        <f>GEOMEAN(S3:S106)</f>
        <v>#NUM!</v>
      </c>
      <c r="T132" s="58" t="e">
        <f>GEOMEAN(T3:T106)</f>
        <v>#NUM!</v>
      </c>
      <c r="U132" s="58"/>
      <c r="V132" s="59"/>
      <c r="W132" s="58"/>
      <c r="X132" s="58"/>
      <c r="Y132" s="58"/>
      <c r="Z132" s="58"/>
    </row>
    <row r="133" spans="2:26">
      <c r="B133" s="2" t="s">
        <v>123</v>
      </c>
      <c r="S133" s="60" t="e">
        <f>S132/I132</f>
        <v>#NUM!</v>
      </c>
      <c r="T133" s="60" t="e">
        <f>T132/J132</f>
        <v>#NUM!</v>
      </c>
      <c r="U133" s="60"/>
      <c r="V133" s="61"/>
      <c r="W133" s="60"/>
      <c r="X133" s="60"/>
      <c r="Y133" s="60"/>
      <c r="Z133" s="60"/>
    </row>
    <row r="134" spans="2:26">
      <c r="B134" s="2" t="s">
        <v>124</v>
      </c>
      <c r="I134" s="58"/>
      <c r="J134" s="58"/>
      <c r="K134" s="58"/>
      <c r="L134" s="59"/>
      <c r="S134" s="58"/>
      <c r="T134" s="58"/>
      <c r="U134" s="58"/>
      <c r="V134" s="59"/>
      <c r="W134" s="58"/>
      <c r="X134" s="58"/>
      <c r="Y134" s="58"/>
      <c r="Z134" s="58"/>
    </row>
    <row r="136" spans="2:2">
      <c r="B136" s="2" t="s">
        <v>125</v>
      </c>
    </row>
    <row r="137" spans="2:26">
      <c r="B137" s="2" t="s">
        <v>19</v>
      </c>
      <c r="I137" s="42">
        <f>SUM(I$3:I$14)</f>
        <v>505.915</v>
      </c>
      <c r="J137" s="42">
        <f>SUM(J$3:J$14)</f>
        <v>147.074444444444</v>
      </c>
      <c r="K137" s="42"/>
      <c r="L137" s="53"/>
      <c r="S137" s="42">
        <f>SUM(S$3:S$14)</f>
        <v>0</v>
      </c>
      <c r="T137" s="42">
        <f>SUM(T$3:T$14)</f>
        <v>0</v>
      </c>
      <c r="U137" s="42"/>
      <c r="V137" s="53"/>
      <c r="W137" s="42">
        <f>T137/J137</f>
        <v>0</v>
      </c>
      <c r="X137" s="42">
        <f>S137/I137</f>
        <v>0</v>
      </c>
      <c r="Y137" s="42"/>
      <c r="Z137" s="42"/>
    </row>
    <row r="138" spans="2:26">
      <c r="B138" s="2" t="s">
        <v>21</v>
      </c>
      <c r="I138" s="42">
        <f>SUM(I$15:I$26)</f>
        <v>650.055</v>
      </c>
      <c r="J138" s="42">
        <f>SUM(J$15:J$26)</f>
        <v>207.96</v>
      </c>
      <c r="K138" s="42"/>
      <c r="L138" s="53"/>
      <c r="S138" s="42">
        <f>SUM(S$15:S$26)</f>
        <v>0</v>
      </c>
      <c r="T138" s="42">
        <f>SUM(T$15:T$26)</f>
        <v>0</v>
      </c>
      <c r="U138" s="42"/>
      <c r="V138" s="53"/>
      <c r="W138" s="42">
        <f t="shared" ref="W138:W145" si="27">T138/J138</f>
        <v>0</v>
      </c>
      <c r="X138" s="42">
        <f t="shared" ref="X138:X145" si="28">S138/I138</f>
        <v>0</v>
      </c>
      <c r="Y138" s="42"/>
      <c r="Z138" s="42"/>
    </row>
    <row r="139" spans="2:26">
      <c r="B139" s="2" t="s">
        <v>22</v>
      </c>
      <c r="I139" s="42">
        <f>SUM(I$27:I$46)</f>
        <v>620.005</v>
      </c>
      <c r="J139" s="42">
        <f>SUM(J$27:J$46)</f>
        <v>189.104444444444</v>
      </c>
      <c r="K139" s="42"/>
      <c r="L139" s="53"/>
      <c r="S139" s="42">
        <f>SUM(S$27:S$46)</f>
        <v>0</v>
      </c>
      <c r="T139" s="42">
        <f>SUM(T$27:T$46)</f>
        <v>0</v>
      </c>
      <c r="U139" s="42"/>
      <c r="V139" s="53"/>
      <c r="W139" s="42">
        <f t="shared" si="27"/>
        <v>0</v>
      </c>
      <c r="X139" s="42">
        <f t="shared" si="28"/>
        <v>0</v>
      </c>
      <c r="Y139" s="42"/>
      <c r="Z139" s="42"/>
    </row>
    <row r="140" spans="2:26">
      <c r="B140" s="2" t="s">
        <v>23</v>
      </c>
      <c r="I140" s="42">
        <f>SUM(I$47:I$62)</f>
        <v>118.409</v>
      </c>
      <c r="J140" s="42">
        <f>SUM(J$47:J$62)</f>
        <v>32.5386111111111</v>
      </c>
      <c r="K140" s="42"/>
      <c r="L140" s="53"/>
      <c r="S140" s="42">
        <f>SUM(S$47:S$62)</f>
        <v>0</v>
      </c>
      <c r="T140" s="42">
        <f>SUM(T$47:T$62)</f>
        <v>0</v>
      </c>
      <c r="U140" s="42"/>
      <c r="V140" s="53"/>
      <c r="W140" s="42">
        <f t="shared" si="27"/>
        <v>0</v>
      </c>
      <c r="X140" s="42">
        <f t="shared" si="28"/>
        <v>0</v>
      </c>
      <c r="Y140" s="42"/>
      <c r="Z140" s="42"/>
    </row>
    <row r="141" spans="2:26">
      <c r="B141" s="2" t="s">
        <v>27</v>
      </c>
      <c r="I141" s="42">
        <f>SUM(I$63:I$78)</f>
        <v>33.96</v>
      </c>
      <c r="J141" s="42">
        <f>SUM(J$63:J$78)</f>
        <v>9.26583333333333</v>
      </c>
      <c r="K141" s="42"/>
      <c r="L141" s="53"/>
      <c r="S141" s="42">
        <f>SUM(S$63:S$78)</f>
        <v>0</v>
      </c>
      <c r="T141" s="42">
        <f>SUM(T$63:T$78)</f>
        <v>0</v>
      </c>
      <c r="U141" s="42"/>
      <c r="V141" s="53"/>
      <c r="W141" s="42">
        <f t="shared" si="27"/>
        <v>0</v>
      </c>
      <c r="X141" s="42">
        <f t="shared" si="28"/>
        <v>0</v>
      </c>
      <c r="Y141" s="42"/>
      <c r="Z141" s="42"/>
    </row>
    <row r="142" spans="2:26">
      <c r="B142" s="2" t="s">
        <v>24</v>
      </c>
      <c r="I142" s="42">
        <f>SUM(I$79:I$90)</f>
        <v>159.58</v>
      </c>
      <c r="J142" s="42">
        <f>SUM(J$79:J$90)</f>
        <v>35.9711111111111</v>
      </c>
      <c r="K142" s="42"/>
      <c r="L142" s="53"/>
      <c r="S142" s="42">
        <f>SUM(S$79:S$90)</f>
        <v>0</v>
      </c>
      <c r="T142" s="42">
        <f>SUM(T$79:T$90)</f>
        <v>0</v>
      </c>
      <c r="U142" s="42"/>
      <c r="V142" s="53"/>
      <c r="W142" s="42">
        <f t="shared" si="27"/>
        <v>0</v>
      </c>
      <c r="X142" s="42">
        <f t="shared" si="28"/>
        <v>0</v>
      </c>
      <c r="Y142" s="42"/>
      <c r="Z142" s="42"/>
    </row>
    <row r="143" spans="2:26">
      <c r="B143" s="2" t="s">
        <v>28</v>
      </c>
      <c r="I143" s="42">
        <f>SUM(I$91:I$106)</f>
        <v>247.017</v>
      </c>
      <c r="J143" s="42">
        <f>SUM(J$91:J$106)</f>
        <v>101.069722222222</v>
      </c>
      <c r="K143" s="42"/>
      <c r="L143" s="53"/>
      <c r="S143" s="42">
        <f>SUM(S$91:S$106)</f>
        <v>0</v>
      </c>
      <c r="T143" s="42">
        <f>SUM(T$91:T$106)</f>
        <v>0</v>
      </c>
      <c r="U143" s="42"/>
      <c r="V143" s="53"/>
      <c r="W143" s="42">
        <f t="shared" si="27"/>
        <v>0</v>
      </c>
      <c r="X143" s="42">
        <f t="shared" si="28"/>
        <v>0</v>
      </c>
      <c r="Y143" s="42"/>
      <c r="Z143" s="42"/>
    </row>
    <row r="144" spans="2:26">
      <c r="B144" s="2" t="s">
        <v>29</v>
      </c>
      <c r="I144" s="42">
        <f>SUM(I$107:I$122)</f>
        <v>346.97</v>
      </c>
      <c r="J144" s="42">
        <f>SUM(J$107:J$122)</f>
        <v>143.238611111111</v>
      </c>
      <c r="K144" s="42"/>
      <c r="L144" s="53"/>
      <c r="S144" s="42">
        <f>SUM(S$107:S$122)</f>
        <v>0</v>
      </c>
      <c r="T144" s="42">
        <f>SUM(T$107:T$122)</f>
        <v>0</v>
      </c>
      <c r="U144" s="42"/>
      <c r="V144" s="53"/>
      <c r="W144" s="42">
        <f t="shared" si="27"/>
        <v>0</v>
      </c>
      <c r="X144" s="42">
        <f t="shared" si="28"/>
        <v>0</v>
      </c>
      <c r="Y144" s="42"/>
      <c r="Z144" s="42"/>
    </row>
    <row r="145" spans="2:26">
      <c r="B145" s="2" t="s">
        <v>34</v>
      </c>
      <c r="I145" s="42">
        <f>SUM(I137:I144)</f>
        <v>2681.911</v>
      </c>
      <c r="J145" s="42">
        <f>SUM(J137:J144)</f>
        <v>866.222777777778</v>
      </c>
      <c r="K145" s="42"/>
      <c r="L145" s="53"/>
      <c r="S145" s="42">
        <f>SUM(S137:S144)</f>
        <v>0</v>
      </c>
      <c r="T145" s="42">
        <f>SUM(T137:T144)</f>
        <v>0</v>
      </c>
      <c r="U145" s="42"/>
      <c r="V145" s="53"/>
      <c r="W145" s="42">
        <f t="shared" si="27"/>
        <v>0</v>
      </c>
      <c r="X145" s="42">
        <f t="shared" si="28"/>
        <v>0</v>
      </c>
      <c r="Y145" s="42"/>
      <c r="Z145" s="42"/>
    </row>
    <row r="146" spans="23:26">
      <c r="W146" s="42"/>
      <c r="X146" s="42"/>
      <c r="Y146" s="42"/>
      <c r="Z146" s="42"/>
    </row>
    <row r="147" spans="2:26">
      <c r="B147" s="2" t="s">
        <v>126</v>
      </c>
      <c r="W147" s="42"/>
      <c r="X147" s="42"/>
      <c r="Y147" s="42"/>
      <c r="Z147" s="42"/>
    </row>
    <row r="148" spans="2:26">
      <c r="B148" s="2" t="s">
        <v>19</v>
      </c>
      <c r="I148" s="42">
        <f>MAX(I$3:I$14)</f>
        <v>67.393</v>
      </c>
      <c r="J148" s="42">
        <f>MAX(J$3:J$14)</f>
        <v>29.095</v>
      </c>
      <c r="K148" s="42"/>
      <c r="L148" s="53"/>
      <c r="S148" s="42">
        <f>MAX(S$3:S$14)</f>
        <v>0</v>
      </c>
      <c r="T148" s="42">
        <f>MAX(T$3:T$14)</f>
        <v>0</v>
      </c>
      <c r="U148" s="42"/>
      <c r="V148" s="53"/>
      <c r="W148" s="42">
        <f t="shared" ref="W148" si="29">T148/J148</f>
        <v>0</v>
      </c>
      <c r="X148" s="42">
        <f t="shared" ref="X148" si="30">S148/I148</f>
        <v>0</v>
      </c>
      <c r="Y148" s="42"/>
      <c r="Z148" s="42"/>
    </row>
    <row r="149" spans="2:26">
      <c r="B149" s="2" t="s">
        <v>21</v>
      </c>
      <c r="I149" s="42">
        <f>MAX(I$15:I$26)</f>
        <v>80.703</v>
      </c>
      <c r="J149" s="42">
        <f>MAX(J$15:J$26)</f>
        <v>35.9972222222222</v>
      </c>
      <c r="K149" s="42"/>
      <c r="L149" s="53"/>
      <c r="S149" s="42">
        <f>MAX(S$15:S$26)</f>
        <v>0</v>
      </c>
      <c r="T149" s="42">
        <f>MAX(T$15:T$26)</f>
        <v>0</v>
      </c>
      <c r="U149" s="42"/>
      <c r="V149" s="53"/>
      <c r="W149" s="42">
        <f t="shared" ref="W149:W156" si="31">T149/J149</f>
        <v>0</v>
      </c>
      <c r="X149" s="42">
        <f t="shared" ref="X149:X156" si="32">S149/I149</f>
        <v>0</v>
      </c>
      <c r="Y149" s="42"/>
      <c r="Z149" s="42"/>
    </row>
    <row r="150" spans="2:26">
      <c r="B150" s="2" t="s">
        <v>22</v>
      </c>
      <c r="I150" s="42">
        <f>MAX(I$27:I$46)</f>
        <v>60.439</v>
      </c>
      <c r="J150" s="42">
        <f>MAX(J$27:J$46)</f>
        <v>17.2586111111111</v>
      </c>
      <c r="K150" s="42"/>
      <c r="L150" s="53"/>
      <c r="S150" s="42">
        <f>MAX(S$27:S$46)</f>
        <v>0</v>
      </c>
      <c r="T150" s="42">
        <f>MAX(T$27:T$46)</f>
        <v>0</v>
      </c>
      <c r="U150" s="42"/>
      <c r="V150" s="53"/>
      <c r="W150" s="42">
        <f t="shared" si="31"/>
        <v>0</v>
      </c>
      <c r="X150" s="42">
        <f t="shared" si="32"/>
        <v>0</v>
      </c>
      <c r="Y150" s="42"/>
      <c r="Z150" s="42"/>
    </row>
    <row r="151" spans="2:26">
      <c r="B151" s="2" t="s">
        <v>23</v>
      </c>
      <c r="I151" s="42">
        <f>MAX(I$47:I$62)</f>
        <v>12.961</v>
      </c>
      <c r="J151" s="42">
        <f>MAX(J$47:J$62)</f>
        <v>3.0975</v>
      </c>
      <c r="K151" s="42"/>
      <c r="L151" s="53"/>
      <c r="S151" s="42">
        <f>MAX(S$47:S$62)</f>
        <v>0</v>
      </c>
      <c r="T151" s="42">
        <f>MAX(T$47:T$62)</f>
        <v>0</v>
      </c>
      <c r="U151" s="42"/>
      <c r="V151" s="53"/>
      <c r="W151" s="42">
        <f t="shared" si="31"/>
        <v>0</v>
      </c>
      <c r="X151" s="42">
        <f t="shared" si="32"/>
        <v>0</v>
      </c>
      <c r="Y151" s="42"/>
      <c r="Z151" s="42"/>
    </row>
    <row r="152" spans="2:26">
      <c r="B152" s="2" t="s">
        <v>27</v>
      </c>
      <c r="I152" s="42">
        <f>MAX(I$63:I$78)</f>
        <v>3.587</v>
      </c>
      <c r="J152" s="42">
        <f>MAX(J$63:J$78)</f>
        <v>0.951111111111111</v>
      </c>
      <c r="K152" s="42"/>
      <c r="L152" s="53"/>
      <c r="S152" s="42">
        <f>MAX(S$63:S$78)</f>
        <v>0</v>
      </c>
      <c r="T152" s="42">
        <f>MAX(T$63:T$78)</f>
        <v>0</v>
      </c>
      <c r="U152" s="42"/>
      <c r="V152" s="53"/>
      <c r="W152" s="42">
        <f t="shared" si="31"/>
        <v>0</v>
      </c>
      <c r="X152" s="42">
        <f t="shared" si="32"/>
        <v>0</v>
      </c>
      <c r="Y152" s="42"/>
      <c r="Z152" s="42"/>
    </row>
    <row r="153" spans="2:26">
      <c r="B153" s="2" t="s">
        <v>24</v>
      </c>
      <c r="I153" s="42">
        <f>MAX(I$79:I$90)</f>
        <v>18.438</v>
      </c>
      <c r="J153" s="42">
        <f>MAX(J$79:J$90)</f>
        <v>5.48777777777778</v>
      </c>
      <c r="K153" s="42"/>
      <c r="L153" s="53"/>
      <c r="S153" s="42">
        <f>MAX(S$79:S$90)</f>
        <v>0</v>
      </c>
      <c r="T153" s="42">
        <f>MAX(T$79:T$90)</f>
        <v>0</v>
      </c>
      <c r="U153" s="42"/>
      <c r="V153" s="53"/>
      <c r="W153" s="42">
        <f t="shared" si="31"/>
        <v>0</v>
      </c>
      <c r="X153" s="42">
        <f t="shared" si="32"/>
        <v>0</v>
      </c>
      <c r="Y153" s="42"/>
      <c r="Z153" s="42"/>
    </row>
    <row r="154" spans="2:26">
      <c r="B154" s="2" t="s">
        <v>28</v>
      </c>
      <c r="I154" s="42">
        <f>MAX(I$91:I$106)</f>
        <v>51.227</v>
      </c>
      <c r="J154" s="42">
        <f>MAX(J$91:J$106)</f>
        <v>24.9797222222222</v>
      </c>
      <c r="K154" s="42"/>
      <c r="L154" s="53"/>
      <c r="S154" s="42">
        <f>MAX(S$91:S$106)</f>
        <v>0</v>
      </c>
      <c r="T154" s="42">
        <f>MAX(T$91:T$106)</f>
        <v>0</v>
      </c>
      <c r="U154" s="42"/>
      <c r="V154" s="53"/>
      <c r="W154" s="42">
        <f t="shared" si="31"/>
        <v>0</v>
      </c>
      <c r="X154" s="42">
        <f t="shared" si="32"/>
        <v>0</v>
      </c>
      <c r="Y154" s="42"/>
      <c r="Z154" s="42"/>
    </row>
    <row r="155" spans="2:26">
      <c r="B155" s="2" t="s">
        <v>29</v>
      </c>
      <c r="I155" s="42">
        <f>MAX(I$107:I$122)</f>
        <v>32.89</v>
      </c>
      <c r="J155" s="42">
        <f>MAX(J$107:J$122)</f>
        <v>16.7925</v>
      </c>
      <c r="K155" s="42"/>
      <c r="L155" s="53"/>
      <c r="S155" s="42">
        <f>MAX(S$107:S$122)</f>
        <v>0</v>
      </c>
      <c r="T155" s="42">
        <f>MAX(T$107:T$122)</f>
        <v>0</v>
      </c>
      <c r="U155" s="42"/>
      <c r="V155" s="53"/>
      <c r="W155" s="42">
        <f t="shared" si="31"/>
        <v>0</v>
      </c>
      <c r="X155" s="42">
        <f t="shared" si="32"/>
        <v>0</v>
      </c>
      <c r="Y155" s="42"/>
      <c r="Z155" s="42"/>
    </row>
    <row r="156" spans="2:26">
      <c r="B156" s="2" t="s">
        <v>34</v>
      </c>
      <c r="I156" s="42">
        <f>MAX(I148:I155)</f>
        <v>80.703</v>
      </c>
      <c r="J156" s="42">
        <f>MAX(J148:J155)</f>
        <v>35.9972222222222</v>
      </c>
      <c r="K156" s="42"/>
      <c r="L156" s="53"/>
      <c r="S156" s="42">
        <f>MAX(S148:S155)</f>
        <v>0</v>
      </c>
      <c r="T156" s="42">
        <f>MAX(T148:T155)</f>
        <v>0</v>
      </c>
      <c r="U156" s="42"/>
      <c r="V156" s="53"/>
      <c r="W156" s="42">
        <f t="shared" si="31"/>
        <v>0</v>
      </c>
      <c r="X156" s="42">
        <f t="shared" si="32"/>
        <v>0</v>
      </c>
      <c r="Y156" s="42"/>
      <c r="Z156" s="42"/>
    </row>
  </sheetData>
  <mergeCells count="4">
    <mergeCell ref="D1:L1"/>
    <mergeCell ref="N1:V1"/>
    <mergeCell ref="AB1:AD1"/>
    <mergeCell ref="AE1:AG1"/>
  </mergeCells>
  <conditionalFormatting sqref="AE3">
    <cfRule type="cellIs" dxfId="0" priority="1211" operator="greaterThan">
      <formula>0.03</formula>
    </cfRule>
    <cfRule type="cellIs" dxfId="1" priority="1212" stopIfTrue="1" operator="lessThan">
      <formula>-0.03</formula>
    </cfRule>
  </conditionalFormatting>
  <conditionalFormatting sqref="AF3">
    <cfRule type="cellIs" dxfId="0" priority="1209" operator="greaterThan">
      <formula>0.03</formula>
    </cfRule>
    <cfRule type="cellIs" dxfId="1" priority="1210" stopIfTrue="1" operator="lessThan">
      <formula>-0.03</formula>
    </cfRule>
  </conditionalFormatting>
  <conditionalFormatting sqref="AG3">
    <cfRule type="cellIs" dxfId="0" priority="1207" operator="greaterThan">
      <formula>0.03</formula>
    </cfRule>
    <cfRule type="cellIs" dxfId="1" priority="1208" stopIfTrue="1" operator="lessThan">
      <formula>-0.03</formula>
    </cfRule>
  </conditionalFormatting>
  <conditionalFormatting sqref="AE6:AF6">
    <cfRule type="cellIs" dxfId="0" priority="1127" operator="greaterThan">
      <formula>0.03</formula>
    </cfRule>
    <cfRule type="cellIs" dxfId="1" priority="1128" stopIfTrue="1" operator="lessThan">
      <formula>-0.03</formula>
    </cfRule>
  </conditionalFormatting>
  <conditionalFormatting sqref="AE7">
    <cfRule type="cellIs" dxfId="0" priority="1205" operator="greaterThan">
      <formula>0.03</formula>
    </cfRule>
    <cfRule type="cellIs" dxfId="1" priority="1206" stopIfTrue="1" operator="lessThan">
      <formula>-0.03</formula>
    </cfRule>
  </conditionalFormatting>
  <conditionalFormatting sqref="AF7">
    <cfRule type="cellIs" dxfId="0" priority="1203" operator="greaterThan">
      <formula>0.03</formula>
    </cfRule>
    <cfRule type="cellIs" dxfId="1" priority="1204" stopIfTrue="1" operator="lessThan">
      <formula>-0.03</formula>
    </cfRule>
  </conditionalFormatting>
  <conditionalFormatting sqref="AG7">
    <cfRule type="cellIs" dxfId="0" priority="1201" operator="greaterThan">
      <formula>0.03</formula>
    </cfRule>
    <cfRule type="cellIs" dxfId="1" priority="1202" stopIfTrue="1" operator="lessThan">
      <formula>-0.03</formula>
    </cfRule>
  </conditionalFormatting>
  <conditionalFormatting sqref="AE10:AF10">
    <cfRule type="cellIs" dxfId="0" priority="1125" operator="greaterThan">
      <formula>0.03</formula>
    </cfRule>
    <cfRule type="cellIs" dxfId="1" priority="1126" stopIfTrue="1" operator="lessThan">
      <formula>-0.03</formula>
    </cfRule>
  </conditionalFormatting>
  <conditionalFormatting sqref="AE11">
    <cfRule type="cellIs" dxfId="0" priority="1199" operator="greaterThan">
      <formula>0.03</formula>
    </cfRule>
    <cfRule type="cellIs" dxfId="1" priority="1200" stopIfTrue="1" operator="lessThan">
      <formula>-0.03</formula>
    </cfRule>
  </conditionalFormatting>
  <conditionalFormatting sqref="AF11">
    <cfRule type="cellIs" dxfId="0" priority="1197" operator="greaterThan">
      <formula>0.03</formula>
    </cfRule>
    <cfRule type="cellIs" dxfId="1" priority="1198" stopIfTrue="1" operator="lessThan">
      <formula>-0.03</formula>
    </cfRule>
  </conditionalFormatting>
  <conditionalFormatting sqref="AG11">
    <cfRule type="cellIs" dxfId="0" priority="1195" operator="greaterThan">
      <formula>0.03</formula>
    </cfRule>
    <cfRule type="cellIs" dxfId="1" priority="1196" stopIfTrue="1" operator="lessThan">
      <formula>-0.03</formula>
    </cfRule>
  </conditionalFormatting>
  <conditionalFormatting sqref="AE14:AF14">
    <cfRule type="cellIs" dxfId="0" priority="1123" operator="greaterThan">
      <formula>0.03</formula>
    </cfRule>
    <cfRule type="cellIs" dxfId="1" priority="1124" stopIfTrue="1" operator="lessThan">
      <formula>-0.03</formula>
    </cfRule>
  </conditionalFormatting>
  <conditionalFormatting sqref="AE15">
    <cfRule type="cellIs" dxfId="0" priority="481" operator="greaterThan">
      <formula>0.03</formula>
    </cfRule>
    <cfRule type="cellIs" dxfId="1" priority="482" stopIfTrue="1" operator="lessThan">
      <formula>-0.03</formula>
    </cfRule>
  </conditionalFormatting>
  <conditionalFormatting sqref="AF15">
    <cfRule type="cellIs" dxfId="0" priority="479" operator="greaterThan">
      <formula>0.03</formula>
    </cfRule>
    <cfRule type="cellIs" dxfId="1" priority="480" stopIfTrue="1" operator="lessThan">
      <formula>-0.03</formula>
    </cfRule>
  </conditionalFormatting>
  <conditionalFormatting sqref="AG15">
    <cfRule type="cellIs" dxfId="0" priority="477" operator="greaterThan">
      <formula>0.03</formula>
    </cfRule>
    <cfRule type="cellIs" dxfId="1" priority="478" stopIfTrue="1" operator="lessThan">
      <formula>-0.03</formula>
    </cfRule>
  </conditionalFormatting>
  <conditionalFormatting sqref="AE18:AF18">
    <cfRule type="cellIs" dxfId="0" priority="457" operator="greaterThan">
      <formula>0.03</formula>
    </cfRule>
    <cfRule type="cellIs" dxfId="1" priority="458" stopIfTrue="1" operator="lessThan">
      <formula>-0.03</formula>
    </cfRule>
  </conditionalFormatting>
  <conditionalFormatting sqref="AE19">
    <cfRule type="cellIs" dxfId="0" priority="475" operator="greaterThan">
      <formula>0.03</formula>
    </cfRule>
    <cfRule type="cellIs" dxfId="1" priority="476" stopIfTrue="1" operator="lessThan">
      <formula>-0.03</formula>
    </cfRule>
  </conditionalFormatting>
  <conditionalFormatting sqref="AF19">
    <cfRule type="cellIs" dxfId="0" priority="473" operator="greaterThan">
      <formula>0.03</formula>
    </cfRule>
    <cfRule type="cellIs" dxfId="1" priority="474" stopIfTrue="1" operator="lessThan">
      <formula>-0.03</formula>
    </cfRule>
  </conditionalFormatting>
  <conditionalFormatting sqref="AG19">
    <cfRule type="cellIs" dxfId="0" priority="471" operator="greaterThan">
      <formula>0.03</formula>
    </cfRule>
    <cfRule type="cellIs" dxfId="1" priority="472" stopIfTrue="1" operator="lessThan">
      <formula>-0.03</formula>
    </cfRule>
  </conditionalFormatting>
  <conditionalFormatting sqref="AE22:AF22">
    <cfRule type="cellIs" dxfId="0" priority="455" operator="greaterThan">
      <formula>0.03</formula>
    </cfRule>
    <cfRule type="cellIs" dxfId="1" priority="456" stopIfTrue="1" operator="lessThan">
      <formula>-0.03</formula>
    </cfRule>
  </conditionalFormatting>
  <conditionalFormatting sqref="AE23">
    <cfRule type="cellIs" dxfId="0" priority="469" operator="greaterThan">
      <formula>0.03</formula>
    </cfRule>
    <cfRule type="cellIs" dxfId="1" priority="470" stopIfTrue="1" operator="lessThan">
      <formula>-0.03</formula>
    </cfRule>
  </conditionalFormatting>
  <conditionalFormatting sqref="AF23">
    <cfRule type="cellIs" dxfId="0" priority="467" operator="greaterThan">
      <formula>0.03</formula>
    </cfRule>
    <cfRule type="cellIs" dxfId="1" priority="468" stopIfTrue="1" operator="lessThan">
      <formula>-0.03</formula>
    </cfRule>
  </conditionalFormatting>
  <conditionalFormatting sqref="AG23">
    <cfRule type="cellIs" dxfId="0" priority="465" operator="greaterThan">
      <formula>0.03</formula>
    </cfRule>
    <cfRule type="cellIs" dxfId="1" priority="466" stopIfTrue="1" operator="lessThan">
      <formula>-0.03</formula>
    </cfRule>
  </conditionalFormatting>
  <conditionalFormatting sqref="AE26:AF26">
    <cfRule type="cellIs" dxfId="0" priority="453" operator="greaterThan">
      <formula>0.03</formula>
    </cfRule>
    <cfRule type="cellIs" dxfId="1" priority="454" stopIfTrue="1" operator="lessThan">
      <formula>-0.03</formula>
    </cfRule>
  </conditionalFormatting>
  <conditionalFormatting sqref="AE27">
    <cfRule type="cellIs" dxfId="0" priority="407" operator="greaterThan">
      <formula>0.03</formula>
    </cfRule>
    <cfRule type="cellIs" dxfId="1" priority="408" stopIfTrue="1" operator="lessThan">
      <formula>-0.03</formula>
    </cfRule>
  </conditionalFormatting>
  <conditionalFormatting sqref="AF27">
    <cfRule type="cellIs" dxfId="0" priority="405" operator="greaterThan">
      <formula>0.03</formula>
    </cfRule>
    <cfRule type="cellIs" dxfId="1" priority="406" stopIfTrue="1" operator="lessThan">
      <formula>-0.03</formula>
    </cfRule>
  </conditionalFormatting>
  <conditionalFormatting sqref="AG27">
    <cfRule type="cellIs" dxfId="0" priority="403" operator="greaterThan">
      <formula>0.03</formula>
    </cfRule>
    <cfRule type="cellIs" dxfId="1" priority="404" stopIfTrue="1" operator="lessThan">
      <formula>-0.03</formula>
    </cfRule>
  </conditionalFormatting>
  <conditionalFormatting sqref="AE30:AF30">
    <cfRule type="cellIs" dxfId="0" priority="401" operator="greaterThan">
      <formula>0.03</formula>
    </cfRule>
    <cfRule type="cellIs" dxfId="1" priority="402" stopIfTrue="1" operator="lessThan">
      <formula>-0.03</formula>
    </cfRule>
  </conditionalFormatting>
  <conditionalFormatting sqref="AE31">
    <cfRule type="cellIs" dxfId="0" priority="387" operator="greaterThan">
      <formula>0.03</formula>
    </cfRule>
    <cfRule type="cellIs" dxfId="1" priority="388" stopIfTrue="1" operator="lessThan">
      <formula>-0.03</formula>
    </cfRule>
  </conditionalFormatting>
  <conditionalFormatting sqref="AF31">
    <cfRule type="cellIs" dxfId="0" priority="385" operator="greaterThan">
      <formula>0.03</formula>
    </cfRule>
    <cfRule type="cellIs" dxfId="1" priority="386" stopIfTrue="1" operator="lessThan">
      <formula>-0.03</formula>
    </cfRule>
  </conditionalFormatting>
  <conditionalFormatting sqref="AG31">
    <cfRule type="cellIs" dxfId="0" priority="383" operator="greaterThan">
      <formula>0.03</formula>
    </cfRule>
    <cfRule type="cellIs" dxfId="1" priority="384" stopIfTrue="1" operator="lessThan">
      <formula>-0.03</formula>
    </cfRule>
  </conditionalFormatting>
  <conditionalFormatting sqref="AE34:AF34">
    <cfRule type="cellIs" dxfId="0" priority="375" operator="greaterThan">
      <formula>0.03</formula>
    </cfRule>
    <cfRule type="cellIs" dxfId="1" priority="376" stopIfTrue="1" operator="lessThan">
      <formula>-0.03</formula>
    </cfRule>
  </conditionalFormatting>
  <conditionalFormatting sqref="AE35">
    <cfRule type="cellIs" dxfId="0" priority="381" operator="greaterThan">
      <formula>0.03</formula>
    </cfRule>
    <cfRule type="cellIs" dxfId="1" priority="382" stopIfTrue="1" operator="lessThan">
      <formula>-0.03</formula>
    </cfRule>
  </conditionalFormatting>
  <conditionalFormatting sqref="AF35">
    <cfRule type="cellIs" dxfId="0" priority="379" operator="greaterThan">
      <formula>0.03</formula>
    </cfRule>
    <cfRule type="cellIs" dxfId="1" priority="380" stopIfTrue="1" operator="lessThan">
      <formula>-0.03</formula>
    </cfRule>
  </conditionalFormatting>
  <conditionalFormatting sqref="AG35">
    <cfRule type="cellIs" dxfId="0" priority="377" operator="greaterThan">
      <formula>0.03</formula>
    </cfRule>
    <cfRule type="cellIs" dxfId="1" priority="378" stopIfTrue="1" operator="lessThan">
      <formula>-0.03</formula>
    </cfRule>
  </conditionalFormatting>
  <conditionalFormatting sqref="AE38:AF38">
    <cfRule type="cellIs" dxfId="0" priority="373" operator="greaterThan">
      <formula>0.03</formula>
    </cfRule>
    <cfRule type="cellIs" dxfId="1" priority="374" stopIfTrue="1" operator="lessThan">
      <formula>-0.03</formula>
    </cfRule>
  </conditionalFormatting>
  <conditionalFormatting sqref="AE39">
    <cfRule type="cellIs" dxfId="0" priority="349" operator="greaterThan">
      <formula>0.03</formula>
    </cfRule>
    <cfRule type="cellIs" dxfId="1" priority="350" stopIfTrue="1" operator="lessThan">
      <formula>-0.03</formula>
    </cfRule>
  </conditionalFormatting>
  <conditionalFormatting sqref="AF39">
    <cfRule type="cellIs" dxfId="0" priority="347" operator="greaterThan">
      <formula>0.03</formula>
    </cfRule>
    <cfRule type="cellIs" dxfId="1" priority="348" stopIfTrue="1" operator="lessThan">
      <formula>-0.03</formula>
    </cfRule>
  </conditionalFormatting>
  <conditionalFormatting sqref="AG39">
    <cfRule type="cellIs" dxfId="0" priority="345" operator="greaterThan">
      <formula>0.03</formula>
    </cfRule>
    <cfRule type="cellIs" dxfId="1" priority="346" stopIfTrue="1" operator="lessThan">
      <formula>-0.03</formula>
    </cfRule>
  </conditionalFormatting>
  <conditionalFormatting sqref="AE42:AF42">
    <cfRule type="cellIs" dxfId="0" priority="337" operator="greaterThan">
      <formula>0.03</formula>
    </cfRule>
    <cfRule type="cellIs" dxfId="1" priority="338" stopIfTrue="1" operator="lessThan">
      <formula>-0.03</formula>
    </cfRule>
  </conditionalFormatting>
  <conditionalFormatting sqref="AE43">
    <cfRule type="cellIs" dxfId="0" priority="343" operator="greaterThan">
      <formula>0.03</formula>
    </cfRule>
    <cfRule type="cellIs" dxfId="1" priority="344" stopIfTrue="1" operator="lessThan">
      <formula>-0.03</formula>
    </cfRule>
  </conditionalFormatting>
  <conditionalFormatting sqref="AF43">
    <cfRule type="cellIs" dxfId="0" priority="341" operator="greaterThan">
      <formula>0.03</formula>
    </cfRule>
    <cfRule type="cellIs" dxfId="1" priority="342" stopIfTrue="1" operator="lessThan">
      <formula>-0.03</formula>
    </cfRule>
  </conditionalFormatting>
  <conditionalFormatting sqref="AG43">
    <cfRule type="cellIs" dxfId="0" priority="339" operator="greaterThan">
      <formula>0.03</formula>
    </cfRule>
    <cfRule type="cellIs" dxfId="1" priority="340" stopIfTrue="1" operator="lessThan">
      <formula>-0.03</formula>
    </cfRule>
  </conditionalFormatting>
  <conditionalFormatting sqref="AE46:AF46">
    <cfRule type="cellIs" dxfId="0" priority="335" operator="greaterThan">
      <formula>0.03</formula>
    </cfRule>
    <cfRule type="cellIs" dxfId="1" priority="336" stopIfTrue="1" operator="lessThan">
      <formula>-0.03</formula>
    </cfRule>
  </conditionalFormatting>
  <conditionalFormatting sqref="AE47">
    <cfRule type="cellIs" dxfId="0" priority="311" operator="greaterThan">
      <formula>0.03</formula>
    </cfRule>
    <cfRule type="cellIs" dxfId="1" priority="312" stopIfTrue="1" operator="lessThan">
      <formula>-0.03</formula>
    </cfRule>
  </conditionalFormatting>
  <conditionalFormatting sqref="AF47">
    <cfRule type="cellIs" dxfId="0" priority="309" operator="greaterThan">
      <formula>0.03</formula>
    </cfRule>
    <cfRule type="cellIs" dxfId="1" priority="310" stopIfTrue="1" operator="lessThan">
      <formula>-0.03</formula>
    </cfRule>
  </conditionalFormatting>
  <conditionalFormatting sqref="AG47">
    <cfRule type="cellIs" dxfId="0" priority="307" operator="greaterThan">
      <formula>0.03</formula>
    </cfRule>
    <cfRule type="cellIs" dxfId="1" priority="308" stopIfTrue="1" operator="lessThan">
      <formula>-0.03</formula>
    </cfRule>
  </conditionalFormatting>
  <conditionalFormatting sqref="AE50:AF50">
    <cfRule type="cellIs" dxfId="0" priority="287" operator="greaterThan">
      <formula>0.03</formula>
    </cfRule>
    <cfRule type="cellIs" dxfId="1" priority="288" stopIfTrue="1" operator="lessThan">
      <formula>-0.03</formula>
    </cfRule>
  </conditionalFormatting>
  <conditionalFormatting sqref="AE51">
    <cfRule type="cellIs" dxfId="0" priority="305" operator="greaterThan">
      <formula>0.03</formula>
    </cfRule>
    <cfRule type="cellIs" dxfId="1" priority="306" stopIfTrue="1" operator="lessThan">
      <formula>-0.03</formula>
    </cfRule>
  </conditionalFormatting>
  <conditionalFormatting sqref="AF51">
    <cfRule type="cellIs" dxfId="0" priority="303" operator="greaterThan">
      <formula>0.03</formula>
    </cfRule>
    <cfRule type="cellIs" dxfId="1" priority="304" stopIfTrue="1" operator="lessThan">
      <formula>-0.03</formula>
    </cfRule>
  </conditionalFormatting>
  <conditionalFormatting sqref="AG51">
    <cfRule type="cellIs" dxfId="0" priority="301" operator="greaterThan">
      <formula>0.03</formula>
    </cfRule>
    <cfRule type="cellIs" dxfId="1" priority="302" stopIfTrue="1" operator="lessThan">
      <formula>-0.03</formula>
    </cfRule>
  </conditionalFormatting>
  <conditionalFormatting sqref="AE54:AF54">
    <cfRule type="cellIs" dxfId="0" priority="285" operator="greaterThan">
      <formula>0.03</formula>
    </cfRule>
    <cfRule type="cellIs" dxfId="1" priority="286" stopIfTrue="1" operator="lessThan">
      <formula>-0.03</formula>
    </cfRule>
  </conditionalFormatting>
  <conditionalFormatting sqref="AE55">
    <cfRule type="cellIs" dxfId="0" priority="299" operator="greaterThan">
      <formula>0.03</formula>
    </cfRule>
    <cfRule type="cellIs" dxfId="1" priority="300" stopIfTrue="1" operator="lessThan">
      <formula>-0.03</formula>
    </cfRule>
  </conditionalFormatting>
  <conditionalFormatting sqref="AF55">
    <cfRule type="cellIs" dxfId="0" priority="297" operator="greaterThan">
      <formula>0.03</formula>
    </cfRule>
    <cfRule type="cellIs" dxfId="1" priority="298" stopIfTrue="1" operator="lessThan">
      <formula>-0.03</formula>
    </cfRule>
  </conditionalFormatting>
  <conditionalFormatting sqref="AG55">
    <cfRule type="cellIs" dxfId="0" priority="295" operator="greaterThan">
      <formula>0.03</formula>
    </cfRule>
    <cfRule type="cellIs" dxfId="1" priority="296" stopIfTrue="1" operator="lessThan">
      <formula>-0.03</formula>
    </cfRule>
  </conditionalFormatting>
  <conditionalFormatting sqref="AE58:AF58">
    <cfRule type="cellIs" dxfId="0" priority="283" operator="greaterThan">
      <formula>0.03</formula>
    </cfRule>
    <cfRule type="cellIs" dxfId="1" priority="284" stopIfTrue="1" operator="lessThan">
      <formula>-0.03</formula>
    </cfRule>
  </conditionalFormatting>
  <conditionalFormatting sqref="AE59">
    <cfRule type="cellIs" dxfId="0" priority="293" operator="greaterThan">
      <formula>0.03</formula>
    </cfRule>
    <cfRule type="cellIs" dxfId="1" priority="294" stopIfTrue="1" operator="lessThan">
      <formula>-0.03</formula>
    </cfRule>
  </conditionalFormatting>
  <conditionalFormatting sqref="AF59">
    <cfRule type="cellIs" dxfId="0" priority="291" operator="greaterThan">
      <formula>0.03</formula>
    </cfRule>
    <cfRule type="cellIs" dxfId="1" priority="292" stopIfTrue="1" operator="lessThan">
      <formula>-0.03</formula>
    </cfRule>
  </conditionalFormatting>
  <conditionalFormatting sqref="AG59">
    <cfRule type="cellIs" dxfId="0" priority="289" operator="greaterThan">
      <formula>0.03</formula>
    </cfRule>
    <cfRule type="cellIs" dxfId="1" priority="290" stopIfTrue="1" operator="lessThan">
      <formula>-0.03</formula>
    </cfRule>
  </conditionalFormatting>
  <conditionalFormatting sqref="AE62:AF62">
    <cfRule type="cellIs" dxfId="0" priority="281" operator="greaterThan">
      <formula>0.03</formula>
    </cfRule>
    <cfRule type="cellIs" dxfId="1" priority="282" stopIfTrue="1" operator="lessThan">
      <formula>-0.03</formula>
    </cfRule>
  </conditionalFormatting>
  <conditionalFormatting sqref="AE63">
    <cfRule type="cellIs" dxfId="0" priority="237" operator="greaterThan">
      <formula>0.03</formula>
    </cfRule>
    <cfRule type="cellIs" dxfId="1" priority="238" stopIfTrue="1" operator="lessThan">
      <formula>-0.03</formula>
    </cfRule>
  </conditionalFormatting>
  <conditionalFormatting sqref="AF63">
    <cfRule type="cellIs" dxfId="0" priority="235" operator="greaterThan">
      <formula>0.03</formula>
    </cfRule>
    <cfRule type="cellIs" dxfId="1" priority="236" stopIfTrue="1" operator="lessThan">
      <formula>-0.03</formula>
    </cfRule>
  </conditionalFormatting>
  <conditionalFormatting sqref="AG63">
    <cfRule type="cellIs" dxfId="0" priority="233" operator="greaterThan">
      <formula>0.03</formula>
    </cfRule>
    <cfRule type="cellIs" dxfId="1" priority="234" stopIfTrue="1" operator="lessThan">
      <formula>-0.03</formula>
    </cfRule>
  </conditionalFormatting>
  <conditionalFormatting sqref="AE66:AF66">
    <cfRule type="cellIs" dxfId="0" priority="213" operator="greaterThan">
      <formula>0.03</formula>
    </cfRule>
    <cfRule type="cellIs" dxfId="1" priority="214" stopIfTrue="1" operator="lessThan">
      <formula>-0.03</formula>
    </cfRule>
  </conditionalFormatting>
  <conditionalFormatting sqref="AE67">
    <cfRule type="cellIs" dxfId="0" priority="231" operator="greaterThan">
      <formula>0.03</formula>
    </cfRule>
    <cfRule type="cellIs" dxfId="1" priority="232" stopIfTrue="1" operator="lessThan">
      <formula>-0.03</formula>
    </cfRule>
  </conditionalFormatting>
  <conditionalFormatting sqref="AF67">
    <cfRule type="cellIs" dxfId="0" priority="229" operator="greaterThan">
      <formula>0.03</formula>
    </cfRule>
    <cfRule type="cellIs" dxfId="1" priority="230" stopIfTrue="1" operator="lessThan">
      <formula>-0.03</formula>
    </cfRule>
  </conditionalFormatting>
  <conditionalFormatting sqref="AG67">
    <cfRule type="cellIs" dxfId="0" priority="227" operator="greaterThan">
      <formula>0.03</formula>
    </cfRule>
    <cfRule type="cellIs" dxfId="1" priority="228" stopIfTrue="1" operator="lessThan">
      <formula>-0.03</formula>
    </cfRule>
  </conditionalFormatting>
  <conditionalFormatting sqref="AE70:AF70">
    <cfRule type="cellIs" dxfId="0" priority="211" operator="greaterThan">
      <formula>0.03</formula>
    </cfRule>
    <cfRule type="cellIs" dxfId="1" priority="212" stopIfTrue="1" operator="lessThan">
      <formula>-0.03</formula>
    </cfRule>
  </conditionalFormatting>
  <conditionalFormatting sqref="AE71">
    <cfRule type="cellIs" dxfId="0" priority="225" operator="greaterThan">
      <formula>0.03</formula>
    </cfRule>
    <cfRule type="cellIs" dxfId="1" priority="226" stopIfTrue="1" operator="lessThan">
      <formula>-0.03</formula>
    </cfRule>
  </conditionalFormatting>
  <conditionalFormatting sqref="AF71">
    <cfRule type="cellIs" dxfId="0" priority="223" operator="greaterThan">
      <formula>0.03</formula>
    </cfRule>
    <cfRule type="cellIs" dxfId="1" priority="224" stopIfTrue="1" operator="lessThan">
      <formula>-0.03</formula>
    </cfRule>
  </conditionalFormatting>
  <conditionalFormatting sqref="AG71">
    <cfRule type="cellIs" dxfId="0" priority="221" operator="greaterThan">
      <formula>0.03</formula>
    </cfRule>
    <cfRule type="cellIs" dxfId="1" priority="222" stopIfTrue="1" operator="lessThan">
      <formula>-0.03</formula>
    </cfRule>
  </conditionalFormatting>
  <conditionalFormatting sqref="AE74:AF74">
    <cfRule type="cellIs" dxfId="0" priority="209" operator="greaterThan">
      <formula>0.03</formula>
    </cfRule>
    <cfRule type="cellIs" dxfId="1" priority="210" stopIfTrue="1" operator="lessThan">
      <formula>-0.03</formula>
    </cfRule>
  </conditionalFormatting>
  <conditionalFormatting sqref="AE75">
    <cfRule type="cellIs" dxfId="0" priority="219" operator="greaterThan">
      <formula>0.03</formula>
    </cfRule>
    <cfRule type="cellIs" dxfId="1" priority="220" stopIfTrue="1" operator="lessThan">
      <formula>-0.03</formula>
    </cfRule>
  </conditionalFormatting>
  <conditionalFormatting sqref="AF75">
    <cfRule type="cellIs" dxfId="0" priority="217" operator="greaterThan">
      <formula>0.03</formula>
    </cfRule>
    <cfRule type="cellIs" dxfId="1" priority="218" stopIfTrue="1" operator="lessThan">
      <formula>-0.03</formula>
    </cfRule>
  </conditionalFormatting>
  <conditionalFormatting sqref="AG75">
    <cfRule type="cellIs" dxfId="0" priority="215" operator="greaterThan">
      <formula>0.03</formula>
    </cfRule>
    <cfRule type="cellIs" dxfId="1" priority="216" stopIfTrue="1" operator="lessThan">
      <formula>-0.03</formula>
    </cfRule>
  </conditionalFormatting>
  <conditionalFormatting sqref="AE78:AF78">
    <cfRule type="cellIs" dxfId="0" priority="207" operator="greaterThan">
      <formula>0.03</formula>
    </cfRule>
    <cfRule type="cellIs" dxfId="1" priority="208" stopIfTrue="1" operator="lessThan">
      <formula>-0.03</formula>
    </cfRule>
  </conditionalFormatting>
  <conditionalFormatting sqref="AE79">
    <cfRule type="cellIs" dxfId="0" priority="89" operator="greaterThan">
      <formula>0.03</formula>
    </cfRule>
    <cfRule type="cellIs" dxfId="1" priority="90" stopIfTrue="1" operator="lessThan">
      <formula>-0.03</formula>
    </cfRule>
  </conditionalFormatting>
  <conditionalFormatting sqref="AF79">
    <cfRule type="cellIs" dxfId="0" priority="87" operator="greaterThan">
      <formula>0.03</formula>
    </cfRule>
    <cfRule type="cellIs" dxfId="1" priority="88" stopIfTrue="1" operator="lessThan">
      <formula>-0.03</formula>
    </cfRule>
  </conditionalFormatting>
  <conditionalFormatting sqref="AG79">
    <cfRule type="cellIs" dxfId="0" priority="85" operator="greaterThan">
      <formula>0.03</formula>
    </cfRule>
    <cfRule type="cellIs" dxfId="1" priority="86" stopIfTrue="1" operator="lessThan">
      <formula>-0.03</formula>
    </cfRule>
  </conditionalFormatting>
  <conditionalFormatting sqref="AE82:AF82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conditionalFormatting sqref="AE83">
    <cfRule type="cellIs" dxfId="0" priority="83" operator="greaterThan">
      <formula>0.03</formula>
    </cfRule>
    <cfRule type="cellIs" dxfId="1" priority="84" stopIfTrue="1" operator="lessThan">
      <formula>-0.03</formula>
    </cfRule>
  </conditionalFormatting>
  <conditionalFormatting sqref="AF83">
    <cfRule type="cellIs" dxfId="0" priority="81" operator="greaterThan">
      <formula>0.03</formula>
    </cfRule>
    <cfRule type="cellIs" dxfId="1" priority="82" stopIfTrue="1" operator="lessThan">
      <formula>-0.03</formula>
    </cfRule>
  </conditionalFormatting>
  <conditionalFormatting sqref="AG83">
    <cfRule type="cellIs" dxfId="0" priority="79" operator="greaterThan">
      <formula>0.03</formula>
    </cfRule>
    <cfRule type="cellIs" dxfId="1" priority="80" stopIfTrue="1" operator="lessThan">
      <formula>-0.03</formula>
    </cfRule>
  </conditionalFormatting>
  <conditionalFormatting sqref="AE86:AF86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AE87">
    <cfRule type="cellIs" dxfId="0" priority="77" operator="greaterThan">
      <formula>0.03</formula>
    </cfRule>
    <cfRule type="cellIs" dxfId="1" priority="78" stopIfTrue="1" operator="lessThan">
      <formula>-0.03</formula>
    </cfRule>
  </conditionalFormatting>
  <conditionalFormatting sqref="AF87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conditionalFormatting sqref="AG87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AE90:AF90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AE91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AF91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AG91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AE94:AF94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AE95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AF95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AG95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AE98:AF98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AE99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AF99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AG99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AE102:AF102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AE103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AF103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AG103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AE106:AF106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AE107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AF107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AG107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AE110:AF110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AE111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AF111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AG111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AE114:AF114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AE115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AF115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AG115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AE118:AF118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AE119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AF119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AG119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AE122:AF122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AB124:AG124">
    <cfRule type="cellIs" dxfId="0" priority="499" operator="greaterThan">
      <formula>0.03</formula>
    </cfRule>
    <cfRule type="cellIs" dxfId="1" priority="500" stopIfTrue="1" operator="lessThan">
      <formula>-0.03</formula>
    </cfRule>
  </conditionalFormatting>
  <conditionalFormatting sqref="AB126:AG126">
    <cfRule type="cellIs" dxfId="0" priority="591" operator="greaterThan">
      <formula>0.03</formula>
    </cfRule>
    <cfRule type="cellIs" dxfId="1" priority="592" stopIfTrue="1" operator="lessThan">
      <formula>-0.03</formula>
    </cfRule>
  </conditionalFormatting>
  <conditionalFormatting sqref="AB129:AG129">
    <cfRule type="cellIs" dxfId="0" priority="589" operator="greaterThan">
      <formula>0.03</formula>
    </cfRule>
    <cfRule type="cellIs" dxfId="1" priority="590" stopIfTrue="1" operator="lessThan">
      <formula>-0.03</formula>
    </cfRule>
  </conditionalFormatting>
  <conditionalFormatting sqref="AB130:AG130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AB131:AG131">
    <cfRule type="cellIs" dxfId="0" priority="597" operator="greaterThan">
      <formula>0.03</formula>
    </cfRule>
    <cfRule type="cellIs" dxfId="1" priority="598" stopIfTrue="1" operator="lessThan">
      <formula>-0.03</formula>
    </cfRule>
  </conditionalFormatting>
  <conditionalFormatting sqref="AB3:AD14">
    <cfRule type="cellIs" dxfId="0" priority="1213" operator="greaterThan">
      <formula>0.03</formula>
    </cfRule>
    <cfRule type="cellIs" dxfId="1" priority="1214" stopIfTrue="1" operator="lessThan">
      <formula>-0.03</formula>
    </cfRule>
  </conditionalFormatting>
  <conditionalFormatting sqref="AB15:AD26">
    <cfRule type="cellIs" dxfId="0" priority="483" operator="greaterThan">
      <formula>0.03</formula>
    </cfRule>
    <cfRule type="cellIs" dxfId="1" priority="484" stopIfTrue="1" operator="lessThan">
      <formula>-0.03</formula>
    </cfRule>
  </conditionalFormatting>
  <conditionalFormatting sqref="AB27:AD30">
    <cfRule type="cellIs" dxfId="0" priority="409" operator="greaterThan">
      <formula>0.03</formula>
    </cfRule>
    <cfRule type="cellIs" dxfId="1" priority="410" stopIfTrue="1" operator="lessThan">
      <formula>-0.03</formula>
    </cfRule>
  </conditionalFormatting>
  <conditionalFormatting sqref="AB31:AD38">
    <cfRule type="cellIs" dxfId="0" priority="389" operator="greaterThan">
      <formula>0.03</formula>
    </cfRule>
    <cfRule type="cellIs" dxfId="1" priority="390" stopIfTrue="1" operator="lessThan">
      <formula>-0.03</formula>
    </cfRule>
  </conditionalFormatting>
  <conditionalFormatting sqref="AB39:AD46">
    <cfRule type="cellIs" dxfId="0" priority="351" operator="greaterThan">
      <formula>0.03</formula>
    </cfRule>
    <cfRule type="cellIs" dxfId="1" priority="352" stopIfTrue="1" operator="lessThan">
      <formula>-0.03</formula>
    </cfRule>
  </conditionalFormatting>
  <conditionalFormatting sqref="AB47:AD62">
    <cfRule type="cellIs" dxfId="0" priority="313" operator="greaterThan">
      <formula>0.03</formula>
    </cfRule>
    <cfRule type="cellIs" dxfId="1" priority="314" stopIfTrue="1" operator="lessThan">
      <formula>-0.03</formula>
    </cfRule>
  </conditionalFormatting>
  <conditionalFormatting sqref="AB63:AD78">
    <cfRule type="cellIs" dxfId="0" priority="239" operator="greaterThan">
      <formula>0.03</formula>
    </cfRule>
    <cfRule type="cellIs" dxfId="1" priority="240" stopIfTrue="1" operator="lessThan">
      <formula>-0.03</formula>
    </cfRule>
  </conditionalFormatting>
  <conditionalFormatting sqref="AB79:AD90">
    <cfRule type="cellIs" dxfId="0" priority="91" operator="greaterThan">
      <formula>0.03</formula>
    </cfRule>
    <cfRule type="cellIs" dxfId="1" priority="92" stopIfTrue="1" operator="lessThan">
      <formula>-0.03</formula>
    </cfRule>
  </conditionalFormatting>
  <conditionalFormatting sqref="AB91:AD106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AB107:AD122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AB123:AG123 AB125:AG125">
    <cfRule type="cellIs" dxfId="0" priority="593" operator="greaterThan">
      <formula>0.03</formula>
    </cfRule>
    <cfRule type="cellIs" dxfId="1" priority="594" stopIfTrue="1" operator="lessThan">
      <formula>-0.03</formula>
    </cfRule>
  </conditionalFormatting>
  <conditionalFormatting sqref="AB127:AG128">
    <cfRule type="cellIs" dxfId="0" priority="595" operator="greaterThan">
      <formula>0.03</formula>
    </cfRule>
    <cfRule type="cellIs" dxfId="1" priority="596" stopIfTrue="1" operator="lessThan">
      <formula>-0.03</formula>
    </cfRule>
  </conditionalFormatting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G156"/>
  <sheetViews>
    <sheetView zoomScale="130" zoomScaleNormal="130" topLeftCell="N107" workbookViewId="0">
      <selection activeCell="B63" sqref="B63:B75"/>
    </sheetView>
  </sheetViews>
  <sheetFormatPr defaultColWidth="10.75" defaultRowHeight="1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8" width="9.08333333333333" style="2" customWidth="1"/>
    <col min="9" max="10" width="8.75" style="2" customWidth="1"/>
    <col min="11" max="11" width="11.8333333333333" style="2" customWidth="1"/>
    <col min="12" max="12" width="11.8333333333333" style="3" customWidth="1"/>
    <col min="13" max="13" width="2.75" style="2" customWidth="1"/>
    <col min="14" max="14" width="9.75" style="2" customWidth="1"/>
    <col min="15" max="17" width="6.75" style="2" customWidth="1"/>
    <col min="18" max="18" width="9.08333333333333" style="2" customWidth="1"/>
    <col min="19" max="20" width="8.75" style="2" customWidth="1"/>
    <col min="21" max="21" width="11.8333333333333" style="2" customWidth="1"/>
    <col min="22" max="22" width="11.8333333333333" style="3" customWidth="1"/>
    <col min="23" max="24" width="5.58333333333333" style="2" customWidth="1"/>
    <col min="25" max="25" width="9.83333333333333" style="2" customWidth="1"/>
    <col min="26" max="26" width="10.8333333333333" style="2" customWidth="1"/>
    <col min="27" max="27" width="2.75" style="2" customWidth="1"/>
    <col min="28" max="33" width="8.75" style="2" customWidth="1"/>
    <col min="34" max="34" width="10.75" style="2" customWidth="1"/>
    <col min="35" max="64" width="10.75" style="2"/>
    <col min="65" max="16384" width="9" style="2"/>
  </cols>
  <sheetData>
    <row r="1" ht="12.75" customHeight="1" spans="4:33">
      <c r="D1" s="4" t="s">
        <v>95</v>
      </c>
      <c r="E1" s="5"/>
      <c r="F1" s="5"/>
      <c r="G1" s="5"/>
      <c r="H1" s="5"/>
      <c r="I1" s="5"/>
      <c r="J1" s="5"/>
      <c r="K1" s="5"/>
      <c r="L1" s="20"/>
      <c r="N1" s="4" t="s">
        <v>96</v>
      </c>
      <c r="O1" s="5"/>
      <c r="P1" s="5"/>
      <c r="Q1" s="5"/>
      <c r="R1" s="5"/>
      <c r="S1" s="5"/>
      <c r="T1" s="5"/>
      <c r="U1" s="5"/>
      <c r="V1" s="20"/>
      <c r="W1" s="33"/>
      <c r="X1" s="33"/>
      <c r="Y1" s="33"/>
      <c r="Z1" s="35"/>
      <c r="AA1" s="36"/>
      <c r="AB1" s="4" t="s">
        <v>97</v>
      </c>
      <c r="AC1" s="5"/>
      <c r="AD1" s="20"/>
      <c r="AE1" s="4" t="s">
        <v>98</v>
      </c>
      <c r="AF1" s="5"/>
      <c r="AG1" s="20"/>
    </row>
    <row r="2" ht="12.75" customHeight="1" spans="1:33">
      <c r="A2" s="6"/>
      <c r="B2" s="7"/>
      <c r="C2" s="8" t="s">
        <v>99</v>
      </c>
      <c r="D2" s="9" t="s">
        <v>59</v>
      </c>
      <c r="E2" s="10" t="s">
        <v>60</v>
      </c>
      <c r="F2" s="10" t="s">
        <v>61</v>
      </c>
      <c r="G2" s="10" t="s">
        <v>62</v>
      </c>
      <c r="H2" s="10" t="s">
        <v>100</v>
      </c>
      <c r="I2" s="10" t="s">
        <v>101</v>
      </c>
      <c r="J2" s="10" t="s">
        <v>102</v>
      </c>
      <c r="K2" s="10" t="s">
        <v>103</v>
      </c>
      <c r="L2" s="22" t="s">
        <v>104</v>
      </c>
      <c r="M2" s="23"/>
      <c r="N2" s="9" t="s">
        <v>59</v>
      </c>
      <c r="O2" s="10" t="s">
        <v>60</v>
      </c>
      <c r="P2" s="10" t="s">
        <v>61</v>
      </c>
      <c r="Q2" s="10" t="s">
        <v>62</v>
      </c>
      <c r="R2" s="10" t="s">
        <v>100</v>
      </c>
      <c r="S2" s="10" t="s">
        <v>101</v>
      </c>
      <c r="T2" s="10" t="s">
        <v>102</v>
      </c>
      <c r="U2" s="10" t="s">
        <v>103</v>
      </c>
      <c r="V2" s="22" t="s">
        <v>104</v>
      </c>
      <c r="W2" s="34" t="s">
        <v>105</v>
      </c>
      <c r="X2" s="21" t="s">
        <v>106</v>
      </c>
      <c r="Y2" s="21" t="s">
        <v>107</v>
      </c>
      <c r="Z2" s="37" t="s">
        <v>108</v>
      </c>
      <c r="AA2" s="37"/>
      <c r="AB2" s="9" t="s">
        <v>9</v>
      </c>
      <c r="AC2" s="10" t="s">
        <v>10</v>
      </c>
      <c r="AD2" s="22" t="s">
        <v>11</v>
      </c>
      <c r="AE2" s="9" t="s">
        <v>9</v>
      </c>
      <c r="AF2" s="10" t="s">
        <v>10</v>
      </c>
      <c r="AG2" s="22" t="s">
        <v>11</v>
      </c>
    </row>
    <row r="3" spans="1:33">
      <c r="A3" s="11" t="s">
        <v>19</v>
      </c>
      <c r="B3" s="11" t="s">
        <v>64</v>
      </c>
      <c r="C3" s="11">
        <v>22</v>
      </c>
      <c r="D3" s="12">
        <f>Reference!B121</f>
        <v>13744.9959</v>
      </c>
      <c r="E3" s="13">
        <f>Reference!C121</f>
        <v>40.2697</v>
      </c>
      <c r="F3" s="13">
        <f>Reference!D121</f>
        <v>49.4838</v>
      </c>
      <c r="G3" s="13">
        <f>Reference!E121</f>
        <v>47.8216</v>
      </c>
      <c r="H3" s="13">
        <f>Reference!F121</f>
        <v>1844769</v>
      </c>
      <c r="I3" s="13">
        <f>Reference!G121</f>
        <v>360.993</v>
      </c>
      <c r="J3" s="13">
        <f t="shared" ref="J3:J34" si="0">H3/3600</f>
        <v>512.435833333333</v>
      </c>
      <c r="K3" s="27">
        <f>Reference!H121</f>
        <v>15153008</v>
      </c>
      <c r="L3" s="28">
        <f>Reference!I121</f>
        <v>2498136</v>
      </c>
      <c r="N3" s="12">
        <f>Test!B121</f>
        <v>0</v>
      </c>
      <c r="O3" s="13">
        <f>Test!C121</f>
        <v>0</v>
      </c>
      <c r="P3" s="13">
        <f>Test!D121</f>
        <v>0</v>
      </c>
      <c r="Q3" s="13">
        <f>Test!E121</f>
        <v>0</v>
      </c>
      <c r="R3" s="13">
        <f>Test!F121</f>
        <v>0</v>
      </c>
      <c r="S3" s="13">
        <f>Test!G121</f>
        <v>0</v>
      </c>
      <c r="T3" s="13">
        <f t="shared" ref="T3:T34" si="1">R3/3600</f>
        <v>0</v>
      </c>
      <c r="U3" s="27">
        <f>Test!H121</f>
        <v>0</v>
      </c>
      <c r="V3" s="28">
        <f>Test!I121</f>
        <v>0</v>
      </c>
      <c r="W3" s="13">
        <f t="shared" ref="W3:W34" si="2">R3/H3</f>
        <v>0</v>
      </c>
      <c r="X3" s="13">
        <f t="shared" ref="X3:X34" si="3">S3/I3</f>
        <v>0</v>
      </c>
      <c r="Y3" s="13">
        <f>U3/K3</f>
        <v>0</v>
      </c>
      <c r="Z3" s="24">
        <f>V3/L3</f>
        <v>0</v>
      </c>
      <c r="AA3" s="38"/>
      <c r="AB3" s="39" t="e">
        <f>bdrate($D3:$D6,E3:E6,$N3:$N6,O3:O6)</f>
        <v>#VALUE!</v>
      </c>
      <c r="AC3" s="40" t="e">
        <f>bdrate($D3:$D6,F3:F6,$N3:$N6,P3:P6)</f>
        <v>#VALUE!</v>
      </c>
      <c r="AD3" s="41" t="e">
        <f>bdrate($D3:$D6,G3:G6,$N3:$N6,Q3:Q6)</f>
        <v>#VALUE!</v>
      </c>
      <c r="AE3" s="39" t="e">
        <f>bdrateOld($D3:$D6,E3:E6,$N3:$N6,O3:O6)</f>
        <v>#VALUE!</v>
      </c>
      <c r="AF3" s="40" t="e">
        <f>bdrateOld($D3:$D6,F3:F6,$N3:$N6,P3:P6)</f>
        <v>#VALUE!</v>
      </c>
      <c r="AG3" s="41" t="e">
        <f>bdrateOld($D3:$D6,G3:G6,$N3:$N6,Q3:Q6)</f>
        <v>#VALUE!</v>
      </c>
    </row>
    <row r="4" spans="1:33">
      <c r="A4" s="14" t="s">
        <v>109</v>
      </c>
      <c r="B4" s="14"/>
      <c r="C4" s="65">
        <v>27</v>
      </c>
      <c r="D4" s="15">
        <f>Reference!B122</f>
        <v>5702.4947</v>
      </c>
      <c r="E4" s="16">
        <f>Reference!C122</f>
        <v>39.7765</v>
      </c>
      <c r="F4" s="16">
        <f>Reference!D122</f>
        <v>48.8101</v>
      </c>
      <c r="G4" s="16">
        <f>Reference!E122</f>
        <v>46.659</v>
      </c>
      <c r="H4" s="16">
        <f>Reference!F122</f>
        <v>1142716</v>
      </c>
      <c r="I4" s="16">
        <f>Reference!G122</f>
        <v>405.506</v>
      </c>
      <c r="J4" s="16">
        <f t="shared" si="0"/>
        <v>317.421111111111</v>
      </c>
      <c r="K4" s="29">
        <f>Reference!H122</f>
        <v>15110872</v>
      </c>
      <c r="L4" s="30">
        <f>Reference!I122</f>
        <v>2367520</v>
      </c>
      <c r="N4" s="15">
        <f>Test!B122</f>
        <v>0</v>
      </c>
      <c r="O4" s="16">
        <f>Test!C122</f>
        <v>0</v>
      </c>
      <c r="P4" s="16">
        <f>Test!D122</f>
        <v>0</v>
      </c>
      <c r="Q4" s="16">
        <f>Test!E122</f>
        <v>0</v>
      </c>
      <c r="R4" s="16">
        <f>Test!F122</f>
        <v>0</v>
      </c>
      <c r="S4" s="16">
        <f>Test!G122</f>
        <v>0</v>
      </c>
      <c r="T4" s="16">
        <f t="shared" si="1"/>
        <v>0</v>
      </c>
      <c r="U4" s="29">
        <f>Test!H122</f>
        <v>0</v>
      </c>
      <c r="V4" s="30">
        <f>Test!I122</f>
        <v>0</v>
      </c>
      <c r="W4" s="16">
        <f t="shared" si="2"/>
        <v>0</v>
      </c>
      <c r="X4" s="16">
        <f t="shared" si="3"/>
        <v>0</v>
      </c>
      <c r="Y4" s="16">
        <f t="shared" ref="Y4:Z67" si="4">U4/K4</f>
        <v>0</v>
      </c>
      <c r="Z4" s="25">
        <f>V4/L4</f>
        <v>0</v>
      </c>
      <c r="AA4" s="42"/>
      <c r="AB4" s="43"/>
      <c r="AC4" s="44"/>
      <c r="AD4" s="45"/>
      <c r="AE4" s="43"/>
      <c r="AF4" s="44"/>
      <c r="AG4" s="45"/>
    </row>
    <row r="5" spans="1:33">
      <c r="A5" s="14"/>
      <c r="B5" s="14"/>
      <c r="C5" s="65">
        <v>32</v>
      </c>
      <c r="D5" s="15">
        <f>Reference!B123</f>
        <v>3031.5135</v>
      </c>
      <c r="E5" s="16">
        <f>Reference!C123</f>
        <v>39.0224</v>
      </c>
      <c r="F5" s="16">
        <f>Reference!D123</f>
        <v>47.9848</v>
      </c>
      <c r="G5" s="16">
        <f>Reference!E123</f>
        <v>45.3558</v>
      </c>
      <c r="H5" s="16">
        <f>Reference!F123</f>
        <v>433814</v>
      </c>
      <c r="I5" s="16">
        <f>Reference!G123</f>
        <v>205.951</v>
      </c>
      <c r="J5" s="16">
        <f t="shared" si="0"/>
        <v>120.503888888889</v>
      </c>
      <c r="K5" s="29">
        <f>Reference!H123</f>
        <v>9894304</v>
      </c>
      <c r="L5" s="30">
        <f>Reference!I123</f>
        <v>1310740</v>
      </c>
      <c r="N5" s="15">
        <f>Test!B123</f>
        <v>0</v>
      </c>
      <c r="O5" s="16">
        <f>Test!C123</f>
        <v>0</v>
      </c>
      <c r="P5" s="16">
        <f>Test!D123</f>
        <v>0</v>
      </c>
      <c r="Q5" s="16">
        <f>Test!E123</f>
        <v>0</v>
      </c>
      <c r="R5" s="16">
        <f>Test!F123</f>
        <v>0</v>
      </c>
      <c r="S5" s="16">
        <f>Test!G123</f>
        <v>0</v>
      </c>
      <c r="T5" s="16">
        <f t="shared" si="1"/>
        <v>0</v>
      </c>
      <c r="U5" s="29">
        <f>Test!H123</f>
        <v>0</v>
      </c>
      <c r="V5" s="30">
        <f>Test!I123</f>
        <v>0</v>
      </c>
      <c r="W5" s="16">
        <f t="shared" si="2"/>
        <v>0</v>
      </c>
      <c r="X5" s="16">
        <f t="shared" si="3"/>
        <v>0</v>
      </c>
      <c r="Y5" s="16">
        <f t="shared" si="4"/>
        <v>0</v>
      </c>
      <c r="Z5" s="25">
        <f t="shared" si="4"/>
        <v>0</v>
      </c>
      <c r="AA5" s="42"/>
      <c r="AB5" s="43"/>
      <c r="AC5" s="44"/>
      <c r="AD5" s="45"/>
      <c r="AE5" s="43"/>
      <c r="AF5" s="44"/>
      <c r="AG5" s="45"/>
    </row>
    <row r="6" ht="12.75" customHeight="1" spans="1:33">
      <c r="A6" s="14"/>
      <c r="B6" s="17"/>
      <c r="C6" s="17">
        <v>37</v>
      </c>
      <c r="D6" s="15">
        <f>Reference!B124</f>
        <v>1622.3837</v>
      </c>
      <c r="E6" s="16">
        <f>Reference!C124</f>
        <v>37.809</v>
      </c>
      <c r="F6" s="16">
        <f>Reference!D124</f>
        <v>46.9503</v>
      </c>
      <c r="G6" s="16">
        <f>Reference!E124</f>
        <v>43.771</v>
      </c>
      <c r="H6" s="16">
        <f>Reference!F124</f>
        <v>194418</v>
      </c>
      <c r="I6" s="16">
        <f>Reference!G124</f>
        <v>103.064</v>
      </c>
      <c r="J6" s="19">
        <f t="shared" si="0"/>
        <v>54.005</v>
      </c>
      <c r="K6" s="29">
        <f>Reference!H124</f>
        <v>9351256</v>
      </c>
      <c r="L6" s="30">
        <f>Reference!I124</f>
        <v>1241788</v>
      </c>
      <c r="N6" s="18">
        <f>Test!B124</f>
        <v>0</v>
      </c>
      <c r="O6" s="19">
        <f>Test!C124</f>
        <v>0</v>
      </c>
      <c r="P6" s="19">
        <f>Test!D124</f>
        <v>0</v>
      </c>
      <c r="Q6" s="19">
        <f>Test!E124</f>
        <v>0</v>
      </c>
      <c r="R6" s="19">
        <f>Test!F124</f>
        <v>0</v>
      </c>
      <c r="S6" s="19">
        <f>Test!G124</f>
        <v>0</v>
      </c>
      <c r="T6" s="19">
        <f t="shared" si="1"/>
        <v>0</v>
      </c>
      <c r="U6" s="29">
        <f>Test!H124</f>
        <v>0</v>
      </c>
      <c r="V6" s="30">
        <f>Test!I124</f>
        <v>0</v>
      </c>
      <c r="W6" s="16">
        <f t="shared" si="2"/>
        <v>0</v>
      </c>
      <c r="X6" s="16">
        <f t="shared" si="3"/>
        <v>0</v>
      </c>
      <c r="Y6" s="16">
        <f t="shared" si="4"/>
        <v>0</v>
      </c>
      <c r="Z6" s="25">
        <f t="shared" si="4"/>
        <v>0</v>
      </c>
      <c r="AA6" s="42"/>
      <c r="AB6" s="46"/>
      <c r="AC6" s="47"/>
      <c r="AD6" s="48"/>
      <c r="AE6" s="46"/>
      <c r="AF6" s="47"/>
      <c r="AG6" s="48"/>
    </row>
    <row r="7" spans="1:33">
      <c r="A7" s="14"/>
      <c r="B7" s="11" t="s">
        <v>66</v>
      </c>
      <c r="C7" s="11">
        <v>22</v>
      </c>
      <c r="D7" s="12">
        <f>Reference!B125</f>
        <v>12792.408</v>
      </c>
      <c r="E7" s="13">
        <f>Reference!C125</f>
        <v>44.3988</v>
      </c>
      <c r="F7" s="13">
        <f>Reference!D125</f>
        <v>49.7691</v>
      </c>
      <c r="G7" s="13">
        <f>Reference!E125</f>
        <v>50.4498</v>
      </c>
      <c r="H7" s="13">
        <f>Reference!F125</f>
        <v>2010758</v>
      </c>
      <c r="I7" s="13">
        <f>Reference!G125</f>
        <v>484.523</v>
      </c>
      <c r="J7" s="13">
        <f t="shared" si="0"/>
        <v>558.543888888889</v>
      </c>
      <c r="K7" s="27">
        <f>Reference!H125</f>
        <v>15375536</v>
      </c>
      <c r="L7" s="28">
        <f>Reference!I125</f>
        <v>2429700</v>
      </c>
      <c r="N7" s="12">
        <f>Test!B125</f>
        <v>0</v>
      </c>
      <c r="O7" s="13">
        <f>Test!C125</f>
        <v>0</v>
      </c>
      <c r="P7" s="13">
        <f>Test!D125</f>
        <v>0</v>
      </c>
      <c r="Q7" s="13">
        <f>Test!E125</f>
        <v>0</v>
      </c>
      <c r="R7" s="13">
        <f>Test!F125</f>
        <v>0</v>
      </c>
      <c r="S7" s="13">
        <f>Test!G125</f>
        <v>0</v>
      </c>
      <c r="T7" s="13">
        <f t="shared" si="1"/>
        <v>0</v>
      </c>
      <c r="U7" s="27">
        <f>Test!H125</f>
        <v>0</v>
      </c>
      <c r="V7" s="28">
        <f>Test!I125</f>
        <v>0</v>
      </c>
      <c r="W7" s="16">
        <f t="shared" si="2"/>
        <v>0</v>
      </c>
      <c r="X7" s="16">
        <f t="shared" si="3"/>
        <v>0</v>
      </c>
      <c r="Y7" s="16">
        <f t="shared" si="4"/>
        <v>0</v>
      </c>
      <c r="Z7" s="25">
        <f t="shared" si="4"/>
        <v>0</v>
      </c>
      <c r="AA7" s="42"/>
      <c r="AB7" s="39" t="e">
        <f>bdrate($D7:$D10,E7:E10,$N7:$N10,O7:O10)</f>
        <v>#VALUE!</v>
      </c>
      <c r="AC7" s="40" t="e">
        <f>bdrate($D7:$D10,F7:F10,$N7:$N10,P7:P10)</f>
        <v>#VALUE!</v>
      </c>
      <c r="AD7" s="40" t="e">
        <f>bdrate($D7:$D10,G7:G10,$N7:$N10,Q7:Q10)</f>
        <v>#VALUE!</v>
      </c>
      <c r="AE7" s="49" t="e">
        <f>bdrateOld($D7:$D10,E7:E10,$N7:$N10,O7:O10)</f>
        <v>#VALUE!</v>
      </c>
      <c r="AF7" s="50" t="e">
        <f>bdrateOld($D7:$D10,F7:F10,$N7:$N10,P7:P10)</f>
        <v>#VALUE!</v>
      </c>
      <c r="AG7" s="52" t="e">
        <f>bdrateOld($D7:$D10,G7:G10,$N7:$N10,Q7:Q10)</f>
        <v>#VALUE!</v>
      </c>
    </row>
    <row r="8" spans="1:33">
      <c r="A8" s="14"/>
      <c r="B8" s="14"/>
      <c r="C8" s="14">
        <v>27</v>
      </c>
      <c r="D8" s="15">
        <f>Reference!B126</f>
        <v>6374.9744</v>
      </c>
      <c r="E8" s="16">
        <f>Reference!C126</f>
        <v>43.2592</v>
      </c>
      <c r="F8" s="16">
        <f>Reference!D126</f>
        <v>48.1474</v>
      </c>
      <c r="G8" s="16">
        <f>Reference!E126</f>
        <v>48.5508</v>
      </c>
      <c r="H8" s="16">
        <f>Reference!F126</f>
        <v>1111108</v>
      </c>
      <c r="I8" s="16">
        <f>Reference!G126</f>
        <v>443.334</v>
      </c>
      <c r="J8" s="16">
        <f t="shared" si="0"/>
        <v>308.641111111111</v>
      </c>
      <c r="K8" s="29">
        <f>Reference!H126</f>
        <v>15251320</v>
      </c>
      <c r="L8" s="30">
        <f>Reference!I126</f>
        <v>2372116</v>
      </c>
      <c r="N8" s="15">
        <f>Test!B126</f>
        <v>0</v>
      </c>
      <c r="O8" s="16">
        <f>Test!C126</f>
        <v>0</v>
      </c>
      <c r="P8" s="16">
        <f>Test!D126</f>
        <v>0</v>
      </c>
      <c r="Q8" s="16">
        <f>Test!E126</f>
        <v>0</v>
      </c>
      <c r="R8" s="16">
        <f>Test!F126</f>
        <v>0</v>
      </c>
      <c r="S8" s="16">
        <f>Test!G126</f>
        <v>0</v>
      </c>
      <c r="T8" s="16">
        <f t="shared" si="1"/>
        <v>0</v>
      </c>
      <c r="U8" s="29">
        <f>Test!H126</f>
        <v>0</v>
      </c>
      <c r="V8" s="30">
        <f>Test!I126</f>
        <v>0</v>
      </c>
      <c r="W8" s="16">
        <f t="shared" si="2"/>
        <v>0</v>
      </c>
      <c r="X8" s="16">
        <f t="shared" si="3"/>
        <v>0</v>
      </c>
      <c r="Y8" s="16">
        <f t="shared" si="4"/>
        <v>0</v>
      </c>
      <c r="Z8" s="25">
        <f t="shared" si="4"/>
        <v>0</v>
      </c>
      <c r="AA8" s="42"/>
      <c r="AB8" s="43"/>
      <c r="AC8" s="44"/>
      <c r="AD8" s="44"/>
      <c r="AE8" s="43"/>
      <c r="AF8" s="44"/>
      <c r="AG8" s="45"/>
    </row>
    <row r="9" spans="1:33">
      <c r="A9" s="14"/>
      <c r="B9" s="14"/>
      <c r="C9" s="14">
        <v>32</v>
      </c>
      <c r="D9" s="15">
        <f>Reference!B127</f>
        <v>3336.8352</v>
      </c>
      <c r="E9" s="16">
        <f>Reference!C127</f>
        <v>41.5065</v>
      </c>
      <c r="F9" s="16">
        <f>Reference!D127</f>
        <v>46.2779</v>
      </c>
      <c r="G9" s="16">
        <f>Reference!E127</f>
        <v>46.4667</v>
      </c>
      <c r="H9" s="16">
        <f>Reference!F127</f>
        <v>389427</v>
      </c>
      <c r="I9" s="16">
        <f>Reference!G127</f>
        <v>150.185</v>
      </c>
      <c r="J9" s="16">
        <f t="shared" si="0"/>
        <v>108.174166666667</v>
      </c>
      <c r="K9" s="29">
        <f>Reference!H127</f>
        <v>10265660</v>
      </c>
      <c r="L9" s="30">
        <f>Reference!I127</f>
        <v>1654888</v>
      </c>
      <c r="N9" s="15">
        <f>Test!B127</f>
        <v>0</v>
      </c>
      <c r="O9" s="16">
        <f>Test!C127</f>
        <v>0</v>
      </c>
      <c r="P9" s="16">
        <f>Test!D127</f>
        <v>0</v>
      </c>
      <c r="Q9" s="16">
        <f>Test!E127</f>
        <v>0</v>
      </c>
      <c r="R9" s="16">
        <f>Test!F127</f>
        <v>0</v>
      </c>
      <c r="S9" s="16">
        <f>Test!G127</f>
        <v>0</v>
      </c>
      <c r="T9" s="16">
        <f t="shared" si="1"/>
        <v>0</v>
      </c>
      <c r="U9" s="29">
        <f>Test!H127</f>
        <v>0</v>
      </c>
      <c r="V9" s="30">
        <f>Test!I127</f>
        <v>0</v>
      </c>
      <c r="W9" s="16">
        <f t="shared" si="2"/>
        <v>0</v>
      </c>
      <c r="X9" s="16">
        <f t="shared" si="3"/>
        <v>0</v>
      </c>
      <c r="Y9" s="16">
        <f t="shared" si="4"/>
        <v>0</v>
      </c>
      <c r="Z9" s="25">
        <f t="shared" si="4"/>
        <v>0</v>
      </c>
      <c r="AA9" s="42"/>
      <c r="AB9" s="43"/>
      <c r="AC9" s="44"/>
      <c r="AD9" s="44"/>
      <c r="AE9" s="43"/>
      <c r="AF9" s="44"/>
      <c r="AG9" s="45"/>
    </row>
    <row r="10" ht="12.75" customHeight="1" spans="1:33">
      <c r="A10" s="14"/>
      <c r="B10" s="17"/>
      <c r="C10" s="17">
        <v>37</v>
      </c>
      <c r="D10" s="15">
        <f>Reference!B128</f>
        <v>1745.8464</v>
      </c>
      <c r="E10" s="16">
        <f>Reference!C128</f>
        <v>39.4865</v>
      </c>
      <c r="F10" s="16">
        <f>Reference!D128</f>
        <v>44.6073</v>
      </c>
      <c r="G10" s="16">
        <f>Reference!E128</f>
        <v>44.6407</v>
      </c>
      <c r="H10" s="16">
        <f>Reference!F128</f>
        <v>204168</v>
      </c>
      <c r="I10" s="16">
        <f>Reference!G128</f>
        <v>87.552</v>
      </c>
      <c r="J10" s="19">
        <f t="shared" si="0"/>
        <v>56.7133333333333</v>
      </c>
      <c r="K10" s="29">
        <f>Reference!H128</f>
        <v>8270568</v>
      </c>
      <c r="L10" s="30">
        <f>Reference!I128</f>
        <v>1265480</v>
      </c>
      <c r="N10" s="18">
        <f>Test!B128</f>
        <v>0</v>
      </c>
      <c r="O10" s="19">
        <f>Test!C128</f>
        <v>0</v>
      </c>
      <c r="P10" s="19">
        <f>Test!D128</f>
        <v>0</v>
      </c>
      <c r="Q10" s="19">
        <f>Test!E128</f>
        <v>0</v>
      </c>
      <c r="R10" s="19">
        <f>Test!F128</f>
        <v>0</v>
      </c>
      <c r="S10" s="19">
        <f>Test!G128</f>
        <v>0</v>
      </c>
      <c r="T10" s="19">
        <f t="shared" si="1"/>
        <v>0</v>
      </c>
      <c r="U10" s="29">
        <f>Test!H128</f>
        <v>0</v>
      </c>
      <c r="V10" s="30">
        <f>Test!I128</f>
        <v>0</v>
      </c>
      <c r="W10" s="16">
        <f t="shared" si="2"/>
        <v>0</v>
      </c>
      <c r="X10" s="16">
        <f t="shared" si="3"/>
        <v>0</v>
      </c>
      <c r="Y10" s="16">
        <f t="shared" si="4"/>
        <v>0</v>
      </c>
      <c r="Z10" s="25">
        <f t="shared" si="4"/>
        <v>0</v>
      </c>
      <c r="AA10" s="42"/>
      <c r="AB10" s="46"/>
      <c r="AC10" s="47"/>
      <c r="AD10" s="47"/>
      <c r="AE10" s="46"/>
      <c r="AF10" s="47"/>
      <c r="AG10" s="48"/>
    </row>
    <row r="11" spans="1:33">
      <c r="A11" s="14"/>
      <c r="B11" s="11" t="s">
        <v>67</v>
      </c>
      <c r="C11" s="11">
        <v>22</v>
      </c>
      <c r="D11" s="12">
        <f>Reference!B129</f>
        <v>43486.7616</v>
      </c>
      <c r="E11" s="13">
        <f>Reference!C129</f>
        <v>39.3802</v>
      </c>
      <c r="F11" s="13">
        <f>Reference!D129</f>
        <v>41.3233</v>
      </c>
      <c r="G11" s="13">
        <f>Reference!E129</f>
        <v>42.9549</v>
      </c>
      <c r="H11" s="13">
        <f>Reference!F129</f>
        <v>3486562</v>
      </c>
      <c r="I11" s="13">
        <f>Reference!G129</f>
        <v>466.005</v>
      </c>
      <c r="J11" s="13">
        <f t="shared" si="0"/>
        <v>968.489444444444</v>
      </c>
      <c r="K11" s="27">
        <f>Reference!H129</f>
        <v>15090804</v>
      </c>
      <c r="L11" s="28">
        <f>Reference!I129</f>
        <v>2934776</v>
      </c>
      <c r="N11" s="12">
        <f>Test!B129</f>
        <v>0</v>
      </c>
      <c r="O11" s="13">
        <f>Test!C129</f>
        <v>0</v>
      </c>
      <c r="P11" s="13">
        <f>Test!D129</f>
        <v>0</v>
      </c>
      <c r="Q11" s="13">
        <f>Test!E129</f>
        <v>0</v>
      </c>
      <c r="R11" s="13">
        <f>Test!F129</f>
        <v>0</v>
      </c>
      <c r="S11" s="13">
        <f>Test!G129</f>
        <v>0</v>
      </c>
      <c r="T11" s="13">
        <f t="shared" si="1"/>
        <v>0</v>
      </c>
      <c r="U11" s="27">
        <f>Test!H129</f>
        <v>0</v>
      </c>
      <c r="V11" s="28">
        <f>Test!I129</f>
        <v>0</v>
      </c>
      <c r="W11" s="16">
        <f t="shared" si="2"/>
        <v>0</v>
      </c>
      <c r="X11" s="16">
        <f t="shared" si="3"/>
        <v>0</v>
      </c>
      <c r="Y11" s="16">
        <f t="shared" si="4"/>
        <v>0</v>
      </c>
      <c r="Z11" s="25">
        <f t="shared" si="4"/>
        <v>0</v>
      </c>
      <c r="AA11" s="42"/>
      <c r="AB11" s="39" t="e">
        <f>bdrate($D11:$D14,E11:E14,$N11:$N14,O11:O14)</f>
        <v>#VALUE!</v>
      </c>
      <c r="AC11" s="40" t="e">
        <f>bdrate($D11:$D14,F11:F14,$N11:$N14,P11:P14)</f>
        <v>#VALUE!</v>
      </c>
      <c r="AD11" s="40" t="e">
        <f>bdrate($D11:$D14,G11:G14,$N11:$N14,Q11:Q14)</f>
        <v>#VALUE!</v>
      </c>
      <c r="AE11" s="49" t="e">
        <f>bdrateOld($D11:$D14,E11:E14,$N11:$N14,O11:O14)</f>
        <v>#VALUE!</v>
      </c>
      <c r="AF11" s="50" t="e">
        <f>bdrateOld($D11:$D14,F11:F14,$N11:$N14,P11:P14)</f>
        <v>#VALUE!</v>
      </c>
      <c r="AG11" s="52" t="e">
        <f>bdrateOld($D11:$D14,G11:G14,$N11:$N14,Q11:Q14)</f>
        <v>#VALUE!</v>
      </c>
    </row>
    <row r="12" spans="1:33">
      <c r="A12" s="14"/>
      <c r="B12" s="14"/>
      <c r="C12" s="14">
        <v>27</v>
      </c>
      <c r="D12" s="15">
        <f>Reference!B130</f>
        <v>10474.9288</v>
      </c>
      <c r="E12" s="16">
        <f>Reference!C130</f>
        <v>37.6816</v>
      </c>
      <c r="F12" s="16">
        <f>Reference!D130</f>
        <v>37.7133</v>
      </c>
      <c r="G12" s="16">
        <f>Reference!E130</f>
        <v>41.7541</v>
      </c>
      <c r="H12" s="16">
        <f>Reference!F130</f>
        <v>2066209</v>
      </c>
      <c r="I12" s="16">
        <f>Reference!G130</f>
        <v>318.842</v>
      </c>
      <c r="J12" s="16">
        <f t="shared" si="0"/>
        <v>573.946944444444</v>
      </c>
      <c r="K12" s="29">
        <f>Reference!H130</f>
        <v>15008912</v>
      </c>
      <c r="L12" s="30">
        <f>Reference!I130</f>
        <v>2821892</v>
      </c>
      <c r="N12" s="15">
        <f>Test!B130</f>
        <v>0</v>
      </c>
      <c r="O12" s="16">
        <f>Test!C130</f>
        <v>0</v>
      </c>
      <c r="P12" s="16">
        <f>Test!D130</f>
        <v>0</v>
      </c>
      <c r="Q12" s="16">
        <f>Test!E130</f>
        <v>0</v>
      </c>
      <c r="R12" s="16">
        <f>Test!F130</f>
        <v>0</v>
      </c>
      <c r="S12" s="16">
        <f>Test!G130</f>
        <v>0</v>
      </c>
      <c r="T12" s="16">
        <f t="shared" si="1"/>
        <v>0</v>
      </c>
      <c r="U12" s="29">
        <f>Test!H130</f>
        <v>0</v>
      </c>
      <c r="V12" s="30">
        <f>Test!I130</f>
        <v>0</v>
      </c>
      <c r="W12" s="16">
        <f t="shared" si="2"/>
        <v>0</v>
      </c>
      <c r="X12" s="16">
        <f t="shared" si="3"/>
        <v>0</v>
      </c>
      <c r="Y12" s="16">
        <f t="shared" si="4"/>
        <v>0</v>
      </c>
      <c r="Z12" s="25">
        <f t="shared" si="4"/>
        <v>0</v>
      </c>
      <c r="AA12" s="42"/>
      <c r="AB12" s="43"/>
      <c r="AC12" s="44"/>
      <c r="AD12" s="44"/>
      <c r="AE12" s="43"/>
      <c r="AF12" s="44"/>
      <c r="AG12" s="45"/>
    </row>
    <row r="13" spans="1:33">
      <c r="A13" s="14"/>
      <c r="B13" s="14"/>
      <c r="C13" s="14">
        <v>32</v>
      </c>
      <c r="D13" s="15">
        <f>Reference!B131</f>
        <v>5551.2448</v>
      </c>
      <c r="E13" s="16">
        <f>Reference!C131</f>
        <v>36.7502</v>
      </c>
      <c r="F13" s="16">
        <f>Reference!D131</f>
        <v>35.7607</v>
      </c>
      <c r="G13" s="16">
        <f>Reference!E131</f>
        <v>40.5615</v>
      </c>
      <c r="H13" s="16">
        <f>Reference!F131</f>
        <v>1296916</v>
      </c>
      <c r="I13" s="16">
        <f>Reference!G131</f>
        <v>226.833</v>
      </c>
      <c r="J13" s="16">
        <f t="shared" si="0"/>
        <v>360.254444444444</v>
      </c>
      <c r="K13" s="29">
        <f>Reference!H131</f>
        <v>14932136</v>
      </c>
      <c r="L13" s="30">
        <f>Reference!I131</f>
        <v>2903660</v>
      </c>
      <c r="N13" s="15">
        <f>Test!B131</f>
        <v>0</v>
      </c>
      <c r="O13" s="16">
        <f>Test!C131</f>
        <v>0</v>
      </c>
      <c r="P13" s="16">
        <f>Test!D131</f>
        <v>0</v>
      </c>
      <c r="Q13" s="16">
        <f>Test!E131</f>
        <v>0</v>
      </c>
      <c r="R13" s="16">
        <f>Test!F131</f>
        <v>0</v>
      </c>
      <c r="S13" s="16">
        <f>Test!G131</f>
        <v>0</v>
      </c>
      <c r="T13" s="16">
        <f t="shared" si="1"/>
        <v>0</v>
      </c>
      <c r="U13" s="29">
        <f>Test!H131</f>
        <v>0</v>
      </c>
      <c r="V13" s="30">
        <f>Test!I131</f>
        <v>0</v>
      </c>
      <c r="W13" s="16">
        <f t="shared" si="2"/>
        <v>0</v>
      </c>
      <c r="X13" s="16">
        <f t="shared" si="3"/>
        <v>0</v>
      </c>
      <c r="Y13" s="16">
        <f t="shared" si="4"/>
        <v>0</v>
      </c>
      <c r="Z13" s="25">
        <f t="shared" si="4"/>
        <v>0</v>
      </c>
      <c r="AA13" s="42"/>
      <c r="AB13" s="43"/>
      <c r="AC13" s="44"/>
      <c r="AD13" s="44"/>
      <c r="AE13" s="43"/>
      <c r="AF13" s="44"/>
      <c r="AG13" s="45"/>
    </row>
    <row r="14" ht="12.75" customHeight="1" spans="1:33">
      <c r="A14" s="14"/>
      <c r="B14" s="17"/>
      <c r="C14" s="17">
        <v>37</v>
      </c>
      <c r="D14" s="15">
        <f>Reference!B132</f>
        <v>2668.6648</v>
      </c>
      <c r="E14" s="16">
        <f>Reference!C132</f>
        <v>35.4444</v>
      </c>
      <c r="F14" s="16">
        <f>Reference!D132</f>
        <v>33.0139</v>
      </c>
      <c r="G14" s="16">
        <f>Reference!E132</f>
        <v>38.8236</v>
      </c>
      <c r="H14" s="16">
        <f>Reference!F132</f>
        <v>536630</v>
      </c>
      <c r="I14" s="16">
        <f>Reference!G132</f>
        <v>113.058</v>
      </c>
      <c r="J14" s="19">
        <f t="shared" si="0"/>
        <v>149.063888888889</v>
      </c>
      <c r="K14" s="29">
        <f>Reference!H132</f>
        <v>15008004</v>
      </c>
      <c r="L14" s="30">
        <f>Reference!I132</f>
        <v>2476084</v>
      </c>
      <c r="N14" s="18">
        <f>Test!B132</f>
        <v>0</v>
      </c>
      <c r="O14" s="19">
        <f>Test!C132</f>
        <v>0</v>
      </c>
      <c r="P14" s="19">
        <f>Test!D132</f>
        <v>0</v>
      </c>
      <c r="Q14" s="19">
        <f>Test!E132</f>
        <v>0</v>
      </c>
      <c r="R14" s="19">
        <f>Test!F132</f>
        <v>0</v>
      </c>
      <c r="S14" s="19">
        <f>Test!G132</f>
        <v>0</v>
      </c>
      <c r="T14" s="19">
        <f t="shared" si="1"/>
        <v>0</v>
      </c>
      <c r="U14" s="29">
        <f>Test!H132</f>
        <v>0</v>
      </c>
      <c r="V14" s="30">
        <f>Test!I132</f>
        <v>0</v>
      </c>
      <c r="W14" s="16">
        <f t="shared" si="2"/>
        <v>0</v>
      </c>
      <c r="X14" s="16">
        <f t="shared" si="3"/>
        <v>0</v>
      </c>
      <c r="Y14" s="16">
        <f t="shared" si="4"/>
        <v>0</v>
      </c>
      <c r="Z14" s="25">
        <f t="shared" si="4"/>
        <v>0</v>
      </c>
      <c r="AA14" s="42"/>
      <c r="AB14" s="46"/>
      <c r="AC14" s="47"/>
      <c r="AD14" s="47"/>
      <c r="AE14" s="46"/>
      <c r="AF14" s="47"/>
      <c r="AG14" s="48"/>
    </row>
    <row r="15" spans="1:33">
      <c r="A15" s="11" t="s">
        <v>21</v>
      </c>
      <c r="B15" s="11" t="s">
        <v>110</v>
      </c>
      <c r="C15" s="11">
        <v>22</v>
      </c>
      <c r="D15" s="12">
        <f>Reference!B133</f>
        <v>15271.0304</v>
      </c>
      <c r="E15" s="13">
        <f>Reference!C133</f>
        <v>40.3945</v>
      </c>
      <c r="F15" s="13">
        <f>Reference!D133</f>
        <v>42.0855</v>
      </c>
      <c r="G15" s="13">
        <f>Reference!E133</f>
        <v>43.9757</v>
      </c>
      <c r="H15" s="13">
        <f>Reference!F133</f>
        <v>1257941</v>
      </c>
      <c r="I15" s="13">
        <f>Reference!G133</f>
        <v>421.412</v>
      </c>
      <c r="J15" s="13">
        <f t="shared" si="0"/>
        <v>349.428055555556</v>
      </c>
      <c r="K15" s="27">
        <f>Reference!H133</f>
        <v>15102560</v>
      </c>
      <c r="L15" s="28">
        <f>Reference!I133</f>
        <v>2694684</v>
      </c>
      <c r="N15" s="12">
        <f>Test!B133</f>
        <v>0</v>
      </c>
      <c r="O15" s="13">
        <f>Test!C133</f>
        <v>0</v>
      </c>
      <c r="P15" s="13">
        <f>Test!D133</f>
        <v>0</v>
      </c>
      <c r="Q15" s="13">
        <f>Test!E133</f>
        <v>0</v>
      </c>
      <c r="R15" s="13">
        <f>Test!F133</f>
        <v>0</v>
      </c>
      <c r="S15" s="13">
        <f>Test!G133</f>
        <v>0</v>
      </c>
      <c r="T15" s="13">
        <f t="shared" si="1"/>
        <v>0</v>
      </c>
      <c r="U15" s="27">
        <f>Test!H133</f>
        <v>0</v>
      </c>
      <c r="V15" s="28">
        <f>Test!I133</f>
        <v>0</v>
      </c>
      <c r="W15" s="13">
        <f t="shared" si="2"/>
        <v>0</v>
      </c>
      <c r="X15" s="13">
        <f t="shared" si="3"/>
        <v>0</v>
      </c>
      <c r="Y15" s="13">
        <f t="shared" si="4"/>
        <v>0</v>
      </c>
      <c r="Z15" s="24">
        <f t="shared" si="4"/>
        <v>0</v>
      </c>
      <c r="AA15" s="38"/>
      <c r="AB15" s="39" t="e">
        <f>bdrate($D15:$D18,E15:E18,$N15:$N18,O15:O18)</f>
        <v>#VALUE!</v>
      </c>
      <c r="AC15" s="40" t="e">
        <f>bdrate($D15:$D18,F15:F18,$N15:$N18,P15:P18)</f>
        <v>#VALUE!</v>
      </c>
      <c r="AD15" s="41" t="e">
        <f>bdrate($D15:$D18,G15:G18,$N15:$N18,Q15:Q18)</f>
        <v>#VALUE!</v>
      </c>
      <c r="AE15" s="39" t="e">
        <f>bdrateOld($D15:$D18,E15:E18,$N15:$N18,O15:O18)</f>
        <v>#VALUE!</v>
      </c>
      <c r="AF15" s="40" t="e">
        <f>bdrateOld($D15:$D18,F15:F18,$N15:$N18,P15:P18)</f>
        <v>#VALUE!</v>
      </c>
      <c r="AG15" s="41" t="e">
        <f>bdrateOld($D15:$D18,G15:G18,$N15:$N18,Q15:Q18)</f>
        <v>#VALUE!</v>
      </c>
    </row>
    <row r="16" spans="1:33">
      <c r="A16" s="14" t="s">
        <v>109</v>
      </c>
      <c r="B16" s="14"/>
      <c r="C16" s="14">
        <v>27</v>
      </c>
      <c r="D16" s="15">
        <f>Reference!B134</f>
        <v>6880.3216</v>
      </c>
      <c r="E16" s="16">
        <f>Reference!C134</f>
        <v>39.732</v>
      </c>
      <c r="F16" s="16">
        <f>Reference!D134</f>
        <v>41.6558</v>
      </c>
      <c r="G16" s="16">
        <f>Reference!E134</f>
        <v>43.0093</v>
      </c>
      <c r="H16" s="16">
        <f>Reference!F134</f>
        <v>794747</v>
      </c>
      <c r="I16" s="16">
        <f>Reference!G134</f>
        <v>308.107</v>
      </c>
      <c r="J16" s="16">
        <f t="shared" si="0"/>
        <v>220.763055555556</v>
      </c>
      <c r="K16" s="29">
        <f>Reference!H134</f>
        <v>15049200</v>
      </c>
      <c r="L16" s="30">
        <f>Reference!I134</f>
        <v>2536424</v>
      </c>
      <c r="N16" s="15">
        <f>Test!B134</f>
        <v>0</v>
      </c>
      <c r="O16" s="16">
        <f>Test!C134</f>
        <v>0</v>
      </c>
      <c r="P16" s="16">
        <f>Test!D134</f>
        <v>0</v>
      </c>
      <c r="Q16" s="16">
        <f>Test!E134</f>
        <v>0</v>
      </c>
      <c r="R16" s="16">
        <f>Test!F134</f>
        <v>0</v>
      </c>
      <c r="S16" s="16">
        <f>Test!G134</f>
        <v>0</v>
      </c>
      <c r="T16" s="16">
        <f t="shared" si="1"/>
        <v>0</v>
      </c>
      <c r="U16" s="29">
        <f>Test!H134</f>
        <v>0</v>
      </c>
      <c r="V16" s="30">
        <f>Test!I134</f>
        <v>0</v>
      </c>
      <c r="W16" s="16">
        <f t="shared" si="2"/>
        <v>0</v>
      </c>
      <c r="X16" s="16">
        <f t="shared" si="3"/>
        <v>0</v>
      </c>
      <c r="Y16" s="16">
        <f t="shared" si="4"/>
        <v>0</v>
      </c>
      <c r="Z16" s="25">
        <f t="shared" si="4"/>
        <v>0</v>
      </c>
      <c r="AA16" s="42"/>
      <c r="AB16" s="43"/>
      <c r="AC16" s="44"/>
      <c r="AD16" s="45"/>
      <c r="AE16" s="43"/>
      <c r="AF16" s="44"/>
      <c r="AG16" s="45"/>
    </row>
    <row r="17" spans="1:33">
      <c r="A17" s="14"/>
      <c r="B17" s="14"/>
      <c r="C17" s="14">
        <v>32</v>
      </c>
      <c r="D17" s="15">
        <f>Reference!B135</f>
        <v>3438.3728</v>
      </c>
      <c r="E17" s="16">
        <f>Reference!C135</f>
        <v>38.5389</v>
      </c>
      <c r="F17" s="16">
        <f>Reference!D135</f>
        <v>40.9621</v>
      </c>
      <c r="G17" s="16">
        <f>Reference!E135</f>
        <v>41.52</v>
      </c>
      <c r="H17" s="16">
        <f>Reference!F135</f>
        <v>379263</v>
      </c>
      <c r="I17" s="16">
        <f>Reference!G135</f>
        <v>187.512</v>
      </c>
      <c r="J17" s="16">
        <f t="shared" si="0"/>
        <v>105.350833333333</v>
      </c>
      <c r="K17" s="29">
        <f>Reference!H135</f>
        <v>13980700</v>
      </c>
      <c r="L17" s="30">
        <f>Reference!I135</f>
        <v>2241248</v>
      </c>
      <c r="N17" s="15">
        <f>Test!B135</f>
        <v>0</v>
      </c>
      <c r="O17" s="16">
        <f>Test!C135</f>
        <v>0</v>
      </c>
      <c r="P17" s="16">
        <f>Test!D135</f>
        <v>0</v>
      </c>
      <c r="Q17" s="16">
        <f>Test!E135</f>
        <v>0</v>
      </c>
      <c r="R17" s="16">
        <f>Test!F135</f>
        <v>0</v>
      </c>
      <c r="S17" s="16">
        <f>Test!G135</f>
        <v>0</v>
      </c>
      <c r="T17" s="16">
        <f t="shared" si="1"/>
        <v>0</v>
      </c>
      <c r="U17" s="29">
        <f>Test!H135</f>
        <v>0</v>
      </c>
      <c r="V17" s="30">
        <f>Test!I135</f>
        <v>0</v>
      </c>
      <c r="W17" s="16">
        <f t="shared" si="2"/>
        <v>0</v>
      </c>
      <c r="X17" s="16">
        <f t="shared" si="3"/>
        <v>0</v>
      </c>
      <c r="Y17" s="16">
        <f t="shared" si="4"/>
        <v>0</v>
      </c>
      <c r="Z17" s="25">
        <f t="shared" si="4"/>
        <v>0</v>
      </c>
      <c r="AA17" s="42"/>
      <c r="AB17" s="43"/>
      <c r="AC17" s="44"/>
      <c r="AD17" s="45"/>
      <c r="AE17" s="43"/>
      <c r="AF17" s="44"/>
      <c r="AG17" s="45"/>
    </row>
    <row r="18" ht="12.75" customHeight="1" spans="1:33">
      <c r="A18" s="14"/>
      <c r="B18" s="17"/>
      <c r="C18" s="17">
        <v>37</v>
      </c>
      <c r="D18" s="15">
        <f>Reference!B136</f>
        <v>1882.7424</v>
      </c>
      <c r="E18" s="16">
        <f>Reference!C136</f>
        <v>37.0847</v>
      </c>
      <c r="F18" s="16">
        <f>Reference!D136</f>
        <v>40.2101</v>
      </c>
      <c r="G18" s="16">
        <f>Reference!E136</f>
        <v>40.0827</v>
      </c>
      <c r="H18" s="16">
        <f>Reference!F136</f>
        <v>290220</v>
      </c>
      <c r="I18" s="16">
        <f>Reference!G136</f>
        <v>161.823</v>
      </c>
      <c r="J18" s="19">
        <f t="shared" si="0"/>
        <v>80.6166666666667</v>
      </c>
      <c r="K18" s="29">
        <f>Reference!H136</f>
        <v>11640520</v>
      </c>
      <c r="L18" s="30">
        <f>Reference!I136</f>
        <v>1638544</v>
      </c>
      <c r="N18" s="18">
        <f>Test!B136</f>
        <v>0</v>
      </c>
      <c r="O18" s="19">
        <f>Test!C136</f>
        <v>0</v>
      </c>
      <c r="P18" s="19">
        <f>Test!D136</f>
        <v>0</v>
      </c>
      <c r="Q18" s="19">
        <f>Test!E136</f>
        <v>0</v>
      </c>
      <c r="R18" s="19">
        <f>Test!F136</f>
        <v>0</v>
      </c>
      <c r="S18" s="19">
        <f>Test!G136</f>
        <v>0</v>
      </c>
      <c r="T18" s="19">
        <f t="shared" si="1"/>
        <v>0</v>
      </c>
      <c r="U18" s="29">
        <f>Test!H136</f>
        <v>0</v>
      </c>
      <c r="V18" s="30">
        <f>Test!I136</f>
        <v>0</v>
      </c>
      <c r="W18" s="16">
        <f t="shared" si="2"/>
        <v>0</v>
      </c>
      <c r="X18" s="16">
        <f t="shared" si="3"/>
        <v>0</v>
      </c>
      <c r="Y18" s="16">
        <f t="shared" si="4"/>
        <v>0</v>
      </c>
      <c r="Z18" s="25">
        <f t="shared" si="4"/>
        <v>0</v>
      </c>
      <c r="AA18" s="42"/>
      <c r="AB18" s="46"/>
      <c r="AC18" s="47"/>
      <c r="AD18" s="48"/>
      <c r="AE18" s="46"/>
      <c r="AF18" s="47"/>
      <c r="AG18" s="48"/>
    </row>
    <row r="19" spans="1:33">
      <c r="A19" s="14"/>
      <c r="B19" s="14" t="s">
        <v>70</v>
      </c>
      <c r="C19" s="11">
        <v>22</v>
      </c>
      <c r="D19" s="12">
        <f>Reference!B137</f>
        <v>18935.888</v>
      </c>
      <c r="E19" s="13">
        <f>Reference!C137</f>
        <v>37.983</v>
      </c>
      <c r="F19" s="13">
        <f>Reference!D137</f>
        <v>46.0982</v>
      </c>
      <c r="G19" s="13">
        <f>Reference!E137</f>
        <v>43.8994</v>
      </c>
      <c r="H19" s="13">
        <f>Reference!F137</f>
        <v>1654995</v>
      </c>
      <c r="I19" s="13">
        <f>Reference!G137</f>
        <v>495.487</v>
      </c>
      <c r="J19" s="13">
        <f t="shared" si="0"/>
        <v>459.720833333333</v>
      </c>
      <c r="K19" s="27">
        <f>Reference!H137</f>
        <v>15259992</v>
      </c>
      <c r="L19" s="28">
        <f>Reference!I137</f>
        <v>2425348</v>
      </c>
      <c r="N19" s="12">
        <f>Test!B137</f>
        <v>0</v>
      </c>
      <c r="O19" s="13">
        <f>Test!C137</f>
        <v>0</v>
      </c>
      <c r="P19" s="13">
        <f>Test!D137</f>
        <v>0</v>
      </c>
      <c r="Q19" s="13">
        <f>Test!E137</f>
        <v>0</v>
      </c>
      <c r="R19" s="13">
        <f>Test!F137</f>
        <v>0</v>
      </c>
      <c r="S19" s="13">
        <f>Test!G137</f>
        <v>0</v>
      </c>
      <c r="T19" s="13">
        <f t="shared" si="1"/>
        <v>0</v>
      </c>
      <c r="U19" s="27">
        <f>Test!H137</f>
        <v>0</v>
      </c>
      <c r="V19" s="28">
        <f>Test!I137</f>
        <v>0</v>
      </c>
      <c r="W19" s="16">
        <f t="shared" si="2"/>
        <v>0</v>
      </c>
      <c r="X19" s="16">
        <f t="shared" si="3"/>
        <v>0</v>
      </c>
      <c r="Y19" s="16">
        <f t="shared" si="4"/>
        <v>0</v>
      </c>
      <c r="Z19" s="25">
        <f t="shared" si="4"/>
        <v>0</v>
      </c>
      <c r="AA19" s="42"/>
      <c r="AB19" s="39" t="e">
        <f>bdrate($D19:$D22,E19:E22,$N19:$N22,O19:O22)</f>
        <v>#VALUE!</v>
      </c>
      <c r="AC19" s="40" t="e">
        <f>bdrate($D19:$D22,F19:F22,$N19:$N22,P19:P22)</f>
        <v>#VALUE!</v>
      </c>
      <c r="AD19" s="40" t="e">
        <f>bdrate($D19:$D22,G19:G22,$N19:$N22,Q19:Q22)</f>
        <v>#VALUE!</v>
      </c>
      <c r="AE19" s="49" t="e">
        <f>bdrateOld($D19:$D22,E19:E22,$N19:$N22,O19:O22)</f>
        <v>#VALUE!</v>
      </c>
      <c r="AF19" s="50" t="e">
        <f>bdrateOld($D19:$D22,F19:F22,$N19:$N22,P19:P22)</f>
        <v>#VALUE!</v>
      </c>
      <c r="AG19" s="52" t="e">
        <f>bdrateOld($D19:$D22,G19:G22,$N19:$N22,Q19:Q22)</f>
        <v>#VALUE!</v>
      </c>
    </row>
    <row r="20" spans="1:33">
      <c r="A20" s="14"/>
      <c r="B20" s="14"/>
      <c r="C20" s="14">
        <v>27</v>
      </c>
      <c r="D20" s="15">
        <f>Reference!B138</f>
        <v>6879.6944</v>
      </c>
      <c r="E20" s="16">
        <f>Reference!C138</f>
        <v>37.4704</v>
      </c>
      <c r="F20" s="16">
        <f>Reference!D138</f>
        <v>45.4505</v>
      </c>
      <c r="G20" s="16">
        <f>Reference!E138</f>
        <v>43.2441</v>
      </c>
      <c r="H20" s="16">
        <f>Reference!F138</f>
        <v>993267</v>
      </c>
      <c r="I20" s="16">
        <f>Reference!G138</f>
        <v>398.378</v>
      </c>
      <c r="J20" s="16">
        <f t="shared" si="0"/>
        <v>275.9075</v>
      </c>
      <c r="K20" s="29">
        <f>Reference!H138</f>
        <v>15158060</v>
      </c>
      <c r="L20" s="30">
        <f>Reference!I138</f>
        <v>2302300</v>
      </c>
      <c r="N20" s="15">
        <f>Test!B138</f>
        <v>0</v>
      </c>
      <c r="O20" s="16">
        <f>Test!C138</f>
        <v>0</v>
      </c>
      <c r="P20" s="16">
        <f>Test!D138</f>
        <v>0</v>
      </c>
      <c r="Q20" s="16">
        <f>Test!E138</f>
        <v>0</v>
      </c>
      <c r="R20" s="16">
        <f>Test!F138</f>
        <v>0</v>
      </c>
      <c r="S20" s="16">
        <f>Test!G138</f>
        <v>0</v>
      </c>
      <c r="T20" s="16">
        <f t="shared" si="1"/>
        <v>0</v>
      </c>
      <c r="U20" s="29">
        <f>Test!H138</f>
        <v>0</v>
      </c>
      <c r="V20" s="30">
        <f>Test!I138</f>
        <v>0</v>
      </c>
      <c r="W20" s="16">
        <f t="shared" si="2"/>
        <v>0</v>
      </c>
      <c r="X20" s="16">
        <f t="shared" si="3"/>
        <v>0</v>
      </c>
      <c r="Y20" s="16">
        <f t="shared" si="4"/>
        <v>0</v>
      </c>
      <c r="Z20" s="25">
        <f t="shared" si="4"/>
        <v>0</v>
      </c>
      <c r="AA20" s="42"/>
      <c r="AB20" s="43"/>
      <c r="AC20" s="44"/>
      <c r="AD20" s="44"/>
      <c r="AE20" s="43"/>
      <c r="AF20" s="44"/>
      <c r="AG20" s="45"/>
    </row>
    <row r="21" spans="1:33">
      <c r="A21" s="14"/>
      <c r="B21" s="14"/>
      <c r="C21" s="14">
        <v>32</v>
      </c>
      <c r="D21" s="15">
        <f>Reference!B139</f>
        <v>3318.3024</v>
      </c>
      <c r="E21" s="16">
        <f>Reference!C139</f>
        <v>36.6889</v>
      </c>
      <c r="F21" s="16">
        <f>Reference!D139</f>
        <v>44.521</v>
      </c>
      <c r="G21" s="16">
        <f>Reference!E139</f>
        <v>42.2859</v>
      </c>
      <c r="H21" s="16">
        <f>Reference!F139</f>
        <v>540722</v>
      </c>
      <c r="I21" s="16">
        <f>Reference!G139</f>
        <v>289.541</v>
      </c>
      <c r="J21" s="16">
        <f t="shared" si="0"/>
        <v>150.200555555556</v>
      </c>
      <c r="K21" s="29">
        <f>Reference!H139</f>
        <v>15149784</v>
      </c>
      <c r="L21" s="30">
        <f>Reference!I139</f>
        <v>2207300</v>
      </c>
      <c r="N21" s="15">
        <f>Test!B139</f>
        <v>0</v>
      </c>
      <c r="O21" s="16">
        <f>Test!C139</f>
        <v>0</v>
      </c>
      <c r="P21" s="16">
        <f>Test!D139</f>
        <v>0</v>
      </c>
      <c r="Q21" s="16">
        <f>Test!E139</f>
        <v>0</v>
      </c>
      <c r="R21" s="16">
        <f>Test!F139</f>
        <v>0</v>
      </c>
      <c r="S21" s="16">
        <f>Test!G139</f>
        <v>0</v>
      </c>
      <c r="T21" s="16">
        <f t="shared" si="1"/>
        <v>0</v>
      </c>
      <c r="U21" s="29">
        <f>Test!H139</f>
        <v>0</v>
      </c>
      <c r="V21" s="30">
        <f>Test!I139</f>
        <v>0</v>
      </c>
      <c r="W21" s="16">
        <f t="shared" si="2"/>
        <v>0</v>
      </c>
      <c r="X21" s="16">
        <f t="shared" si="3"/>
        <v>0</v>
      </c>
      <c r="Y21" s="16">
        <f t="shared" si="4"/>
        <v>0</v>
      </c>
      <c r="Z21" s="25">
        <f t="shared" si="4"/>
        <v>0</v>
      </c>
      <c r="AA21" s="42"/>
      <c r="AB21" s="43"/>
      <c r="AC21" s="44"/>
      <c r="AD21" s="44"/>
      <c r="AE21" s="43"/>
      <c r="AF21" s="44"/>
      <c r="AG21" s="45"/>
    </row>
    <row r="22" ht="12.75" customHeight="1" spans="1:33">
      <c r="A22" s="14"/>
      <c r="B22" s="17"/>
      <c r="C22" s="17">
        <v>37</v>
      </c>
      <c r="D22" s="15">
        <f>Reference!B140</f>
        <v>1736.0944</v>
      </c>
      <c r="E22" s="16">
        <f>Reference!C140</f>
        <v>35.4716</v>
      </c>
      <c r="F22" s="16">
        <f>Reference!D140</f>
        <v>43.4542</v>
      </c>
      <c r="G22" s="16">
        <f>Reference!E140</f>
        <v>41.0157</v>
      </c>
      <c r="H22" s="16">
        <f>Reference!F140</f>
        <v>270971</v>
      </c>
      <c r="I22" s="16">
        <f>Reference!G140</f>
        <v>160.741</v>
      </c>
      <c r="J22" s="19">
        <f t="shared" si="0"/>
        <v>75.2697222222222</v>
      </c>
      <c r="K22" s="29">
        <f>Reference!H140</f>
        <v>14310672</v>
      </c>
      <c r="L22" s="30">
        <f>Reference!I140</f>
        <v>1984896</v>
      </c>
      <c r="N22" s="18">
        <f>Test!B140</f>
        <v>0</v>
      </c>
      <c r="O22" s="19">
        <f>Test!C140</f>
        <v>0</v>
      </c>
      <c r="P22" s="19">
        <f>Test!D140</f>
        <v>0</v>
      </c>
      <c r="Q22" s="19">
        <f>Test!E140</f>
        <v>0</v>
      </c>
      <c r="R22" s="19">
        <f>Test!F140</f>
        <v>0</v>
      </c>
      <c r="S22" s="19">
        <f>Test!G140</f>
        <v>0</v>
      </c>
      <c r="T22" s="19">
        <f t="shared" si="1"/>
        <v>0</v>
      </c>
      <c r="U22" s="29">
        <f>Test!H140</f>
        <v>0</v>
      </c>
      <c r="V22" s="30">
        <f>Test!I140</f>
        <v>0</v>
      </c>
      <c r="W22" s="16">
        <f t="shared" si="2"/>
        <v>0</v>
      </c>
      <c r="X22" s="16">
        <f t="shared" si="3"/>
        <v>0</v>
      </c>
      <c r="Y22" s="16">
        <f t="shared" si="4"/>
        <v>0</v>
      </c>
      <c r="Z22" s="25">
        <f t="shared" si="4"/>
        <v>0</v>
      </c>
      <c r="AA22" s="42"/>
      <c r="AB22" s="46"/>
      <c r="AC22" s="47"/>
      <c r="AD22" s="47"/>
      <c r="AE22" s="46"/>
      <c r="AF22" s="47"/>
      <c r="AG22" s="48"/>
    </row>
    <row r="23" spans="1:33">
      <c r="A23" s="14"/>
      <c r="B23" s="14" t="s">
        <v>71</v>
      </c>
      <c r="C23" s="11">
        <v>22</v>
      </c>
      <c r="D23" s="12">
        <f>Reference!B141</f>
        <v>81638.8533</v>
      </c>
      <c r="E23" s="13">
        <f>Reference!C141</f>
        <v>43.9042</v>
      </c>
      <c r="F23" s="13">
        <f>Reference!D141</f>
        <v>37.5192</v>
      </c>
      <c r="G23" s="13">
        <f>Reference!E141</f>
        <v>38.6855</v>
      </c>
      <c r="H23" s="13">
        <f>Reference!F141</f>
        <v>2041818</v>
      </c>
      <c r="I23" s="13">
        <f>Reference!G141</f>
        <v>580.829</v>
      </c>
      <c r="J23" s="13">
        <f t="shared" si="0"/>
        <v>567.171666666667</v>
      </c>
      <c r="K23" s="27">
        <f>Reference!H141</f>
        <v>15360600</v>
      </c>
      <c r="L23" s="28">
        <f>Reference!I141</f>
        <v>2479048</v>
      </c>
      <c r="N23" s="12">
        <f>Test!B141</f>
        <v>0</v>
      </c>
      <c r="O23" s="13">
        <f>Test!C141</f>
        <v>0</v>
      </c>
      <c r="P23" s="13">
        <f>Test!D141</f>
        <v>0</v>
      </c>
      <c r="Q23" s="13">
        <f>Test!E141</f>
        <v>0</v>
      </c>
      <c r="R23" s="13">
        <f>Test!F141</f>
        <v>0</v>
      </c>
      <c r="S23" s="13">
        <f>Test!G141</f>
        <v>0</v>
      </c>
      <c r="T23" s="13">
        <f t="shared" si="1"/>
        <v>0</v>
      </c>
      <c r="U23" s="27">
        <f>Test!H141</f>
        <v>0</v>
      </c>
      <c r="V23" s="28">
        <f>Test!I141</f>
        <v>0</v>
      </c>
      <c r="W23" s="16">
        <f t="shared" si="2"/>
        <v>0</v>
      </c>
      <c r="X23" s="16">
        <f t="shared" si="3"/>
        <v>0</v>
      </c>
      <c r="Y23" s="16">
        <f t="shared" si="4"/>
        <v>0</v>
      </c>
      <c r="Z23" s="25">
        <f t="shared" si="4"/>
        <v>0</v>
      </c>
      <c r="AA23" s="42"/>
      <c r="AB23" s="39" t="e">
        <f>bdrate($D23:$D26,E23:E26,$N23:$N26,O23:O26)</f>
        <v>#VALUE!</v>
      </c>
      <c r="AC23" s="40" t="e">
        <f>bdrate($D23:$D26,F23:F26,$N23:$N26,P23:P26)</f>
        <v>#VALUE!</v>
      </c>
      <c r="AD23" s="40" t="e">
        <f>bdrate($D23:$D26,G23:G26,$N23:$N26,Q23:Q26)</f>
        <v>#VALUE!</v>
      </c>
      <c r="AE23" s="49" t="e">
        <f>bdrateOld($D23:$D26,E23:E26,$N23:$N26,O23:O26)</f>
        <v>#VALUE!</v>
      </c>
      <c r="AF23" s="50" t="e">
        <f>bdrateOld($D23:$D26,F23:F26,$N23:$N26,P23:P26)</f>
        <v>#VALUE!</v>
      </c>
      <c r="AG23" s="52" t="e">
        <f>bdrateOld($D23:$D26,G23:G26,$N23:$N26,Q23:Q26)</f>
        <v>#VALUE!</v>
      </c>
    </row>
    <row r="24" spans="1:33">
      <c r="A24" s="14"/>
      <c r="B24" s="14"/>
      <c r="C24" s="14">
        <v>27</v>
      </c>
      <c r="D24" s="15">
        <f>Reference!B142</f>
        <v>31928.328</v>
      </c>
      <c r="E24" s="16">
        <f>Reference!C142</f>
        <v>40.1973</v>
      </c>
      <c r="F24" s="16">
        <f>Reference!D142</f>
        <v>34.9218</v>
      </c>
      <c r="G24" s="16">
        <f>Reference!E142</f>
        <v>36.6553</v>
      </c>
      <c r="H24" s="16">
        <f>Reference!F142</f>
        <v>1479966</v>
      </c>
      <c r="I24" s="16">
        <f>Reference!G142</f>
        <v>552.038</v>
      </c>
      <c r="J24" s="16">
        <f t="shared" si="0"/>
        <v>411.101666666667</v>
      </c>
      <c r="K24" s="29">
        <f>Reference!H142</f>
        <v>15320140</v>
      </c>
      <c r="L24" s="30">
        <f>Reference!I142</f>
        <v>2396844</v>
      </c>
      <c r="N24" s="15">
        <f>Test!B142</f>
        <v>0</v>
      </c>
      <c r="O24" s="16">
        <f>Test!C142</f>
        <v>0</v>
      </c>
      <c r="P24" s="16">
        <f>Test!D142</f>
        <v>0</v>
      </c>
      <c r="Q24" s="16">
        <f>Test!E142</f>
        <v>0</v>
      </c>
      <c r="R24" s="16">
        <f>Test!F142</f>
        <v>0</v>
      </c>
      <c r="S24" s="16">
        <f>Test!G142</f>
        <v>0</v>
      </c>
      <c r="T24" s="16">
        <f t="shared" si="1"/>
        <v>0</v>
      </c>
      <c r="U24" s="29">
        <f>Test!H142</f>
        <v>0</v>
      </c>
      <c r="V24" s="30">
        <f>Test!I142</f>
        <v>0</v>
      </c>
      <c r="W24" s="16">
        <f t="shared" si="2"/>
        <v>0</v>
      </c>
      <c r="X24" s="16">
        <f t="shared" si="3"/>
        <v>0</v>
      </c>
      <c r="Y24" s="16">
        <f t="shared" si="4"/>
        <v>0</v>
      </c>
      <c r="Z24" s="25">
        <f t="shared" si="4"/>
        <v>0</v>
      </c>
      <c r="AA24" s="42"/>
      <c r="AB24" s="43"/>
      <c r="AC24" s="44"/>
      <c r="AD24" s="44"/>
      <c r="AE24" s="43"/>
      <c r="AF24" s="44"/>
      <c r="AG24" s="45"/>
    </row>
    <row r="25" spans="1:33">
      <c r="A25" s="14"/>
      <c r="B25" s="14"/>
      <c r="C25" s="14">
        <v>32</v>
      </c>
      <c r="D25" s="15">
        <f>Reference!B143</f>
        <v>14260.0173</v>
      </c>
      <c r="E25" s="16">
        <f>Reference!C143</f>
        <v>36.9196</v>
      </c>
      <c r="F25" s="16">
        <f>Reference!D143</f>
        <v>33.1147</v>
      </c>
      <c r="G25" s="16">
        <f>Reference!E143</f>
        <v>35.211</v>
      </c>
      <c r="H25" s="16">
        <f>Reference!F143</f>
        <v>1076263</v>
      </c>
      <c r="I25" s="16">
        <f>Reference!G143</f>
        <v>495.789</v>
      </c>
      <c r="J25" s="16">
        <f t="shared" si="0"/>
        <v>298.961944444444</v>
      </c>
      <c r="K25" s="29">
        <f>Reference!H143</f>
        <v>15291976</v>
      </c>
      <c r="L25" s="30">
        <f>Reference!I143</f>
        <v>2381728</v>
      </c>
      <c r="N25" s="15">
        <f>Test!B143</f>
        <v>0</v>
      </c>
      <c r="O25" s="16">
        <f>Test!C143</f>
        <v>0</v>
      </c>
      <c r="P25" s="16">
        <f>Test!D143</f>
        <v>0</v>
      </c>
      <c r="Q25" s="16">
        <f>Test!E143</f>
        <v>0</v>
      </c>
      <c r="R25" s="16">
        <f>Test!F143</f>
        <v>0</v>
      </c>
      <c r="S25" s="16">
        <f>Test!G143</f>
        <v>0</v>
      </c>
      <c r="T25" s="16">
        <f t="shared" si="1"/>
        <v>0</v>
      </c>
      <c r="U25" s="29">
        <f>Test!H143</f>
        <v>0</v>
      </c>
      <c r="V25" s="30">
        <f>Test!I143</f>
        <v>0</v>
      </c>
      <c r="W25" s="16">
        <f t="shared" si="2"/>
        <v>0</v>
      </c>
      <c r="X25" s="16">
        <f t="shared" si="3"/>
        <v>0</v>
      </c>
      <c r="Y25" s="16">
        <f t="shared" si="4"/>
        <v>0</v>
      </c>
      <c r="Z25" s="25">
        <f t="shared" si="4"/>
        <v>0</v>
      </c>
      <c r="AA25" s="42"/>
      <c r="AB25" s="43"/>
      <c r="AC25" s="44"/>
      <c r="AD25" s="44"/>
      <c r="AE25" s="43"/>
      <c r="AF25" s="44"/>
      <c r="AG25" s="45"/>
    </row>
    <row r="26" ht="12.75" customHeight="1" spans="1:33">
      <c r="A26" s="14"/>
      <c r="B26" s="17"/>
      <c r="C26" s="17">
        <v>37</v>
      </c>
      <c r="D26" s="15">
        <f>Reference!B144</f>
        <v>6281.664</v>
      </c>
      <c r="E26" s="16">
        <f>Reference!C144</f>
        <v>33.9025</v>
      </c>
      <c r="F26" s="16">
        <f>Reference!D144</f>
        <v>31.4345</v>
      </c>
      <c r="G26" s="16">
        <f>Reference!E144</f>
        <v>33.6474</v>
      </c>
      <c r="H26" s="16">
        <f>Reference!F144</f>
        <v>707939</v>
      </c>
      <c r="I26" s="16">
        <f>Reference!G144</f>
        <v>415.517</v>
      </c>
      <c r="J26" s="19">
        <f t="shared" si="0"/>
        <v>196.649722222222</v>
      </c>
      <c r="K26" s="29">
        <f>Reference!H144</f>
        <v>15192204</v>
      </c>
      <c r="L26" s="30">
        <f>Reference!I144</f>
        <v>2343676</v>
      </c>
      <c r="N26" s="18">
        <f>Test!B144</f>
        <v>0</v>
      </c>
      <c r="O26" s="19">
        <f>Test!C144</f>
        <v>0</v>
      </c>
      <c r="P26" s="19">
        <f>Test!D144</f>
        <v>0</v>
      </c>
      <c r="Q26" s="19">
        <f>Test!E144</f>
        <v>0</v>
      </c>
      <c r="R26" s="19">
        <f>Test!F144</f>
        <v>0</v>
      </c>
      <c r="S26" s="19">
        <f>Test!G144</f>
        <v>0</v>
      </c>
      <c r="T26" s="19">
        <f t="shared" si="1"/>
        <v>0</v>
      </c>
      <c r="U26" s="29">
        <f>Test!H144</f>
        <v>0</v>
      </c>
      <c r="V26" s="30">
        <f>Test!I144</f>
        <v>0</v>
      </c>
      <c r="W26" s="16">
        <f t="shared" si="2"/>
        <v>0</v>
      </c>
      <c r="X26" s="16">
        <f t="shared" si="3"/>
        <v>0</v>
      </c>
      <c r="Y26" s="16">
        <f t="shared" si="4"/>
        <v>0</v>
      </c>
      <c r="Z26" s="25">
        <f t="shared" si="4"/>
        <v>0</v>
      </c>
      <c r="AA26" s="42"/>
      <c r="AB26" s="46"/>
      <c r="AC26" s="47"/>
      <c r="AD26" s="47"/>
      <c r="AE26" s="46"/>
      <c r="AF26" s="47"/>
      <c r="AG26" s="48"/>
    </row>
    <row r="27" spans="1:33">
      <c r="A27" s="11" t="s">
        <v>22</v>
      </c>
      <c r="B27" s="11" t="s">
        <v>72</v>
      </c>
      <c r="C27" s="11">
        <v>22</v>
      </c>
      <c r="D27" s="12">
        <f>Reference!B145</f>
        <v>10628.9992</v>
      </c>
      <c r="E27" s="13">
        <f>Reference!C145</f>
        <v>41.1617</v>
      </c>
      <c r="F27" s="13">
        <f>Reference!D145</f>
        <v>45.1414</v>
      </c>
      <c r="G27" s="13">
        <f>Reference!E145</f>
        <v>46.1203</v>
      </c>
      <c r="H27" s="13">
        <f>Reference!F145</f>
        <v>724381</v>
      </c>
      <c r="I27" s="13">
        <f>Reference!G145</f>
        <v>216.486</v>
      </c>
      <c r="J27" s="13">
        <f t="shared" si="0"/>
        <v>201.216944444444</v>
      </c>
      <c r="K27" s="27">
        <f>Reference!H145</f>
        <v>5642840</v>
      </c>
      <c r="L27" s="28">
        <f>Reference!I145</f>
        <v>847636</v>
      </c>
      <c r="N27" s="12">
        <f>Test!B145</f>
        <v>0</v>
      </c>
      <c r="O27" s="13">
        <f>Test!C145</f>
        <v>0</v>
      </c>
      <c r="P27" s="13">
        <f>Test!D145</f>
        <v>0</v>
      </c>
      <c r="Q27" s="13">
        <f>Test!E145</f>
        <v>0</v>
      </c>
      <c r="R27" s="13">
        <f>Test!F145</f>
        <v>0</v>
      </c>
      <c r="S27" s="13">
        <f>Test!G145</f>
        <v>0</v>
      </c>
      <c r="T27" s="13">
        <f t="shared" si="1"/>
        <v>0</v>
      </c>
      <c r="U27" s="27">
        <f>Test!H145</f>
        <v>0</v>
      </c>
      <c r="V27" s="28">
        <f>Test!I145</f>
        <v>0</v>
      </c>
      <c r="W27" s="13">
        <f t="shared" si="2"/>
        <v>0</v>
      </c>
      <c r="X27" s="13">
        <f t="shared" si="3"/>
        <v>0</v>
      </c>
      <c r="Y27" s="13">
        <f t="shared" si="4"/>
        <v>0</v>
      </c>
      <c r="Z27" s="24">
        <f t="shared" si="4"/>
        <v>0</v>
      </c>
      <c r="AA27" s="38"/>
      <c r="AB27" s="39" t="e">
        <f>bdrate($D27:$D30,E27:E30,$N27:$N30,O27:O30)</f>
        <v>#VALUE!</v>
      </c>
      <c r="AC27" s="40" t="e">
        <f>bdrate($D27:$D30,F27:F30,$N27:$N30,P27:P30)</f>
        <v>#VALUE!</v>
      </c>
      <c r="AD27" s="41" t="e">
        <f>bdrate($D27:$D30,G27:G30,$N27:$N30,Q27:Q30)</f>
        <v>#VALUE!</v>
      </c>
      <c r="AE27" s="39" t="e">
        <f>bdrateOld($D27:$D30,E27:E30,$N27:$N30,O27:O30)</f>
        <v>#VALUE!</v>
      </c>
      <c r="AF27" s="40" t="e">
        <f>bdrateOld($D27:$D30,F27:F30,$N27:$N30,P27:P30)</f>
        <v>#VALUE!</v>
      </c>
      <c r="AG27" s="41" t="e">
        <f>bdrateOld($D27:$D30,G27:G30,$N27:$N30,Q27:Q30)</f>
        <v>#VALUE!</v>
      </c>
    </row>
    <row r="28" spans="1:33">
      <c r="A28" s="14" t="s">
        <v>111</v>
      </c>
      <c r="B28" s="14"/>
      <c r="C28" s="14">
        <v>27</v>
      </c>
      <c r="D28" s="15">
        <f>Reference!B146</f>
        <v>4384.9904</v>
      </c>
      <c r="E28" s="16">
        <f>Reference!C146</f>
        <v>39.3329</v>
      </c>
      <c r="F28" s="16">
        <f>Reference!D146</f>
        <v>43.8697</v>
      </c>
      <c r="G28" s="16">
        <f>Reference!E146</f>
        <v>44.854</v>
      </c>
      <c r="H28" s="16">
        <f>Reference!F146</f>
        <v>487851</v>
      </c>
      <c r="I28" s="16">
        <f>Reference!G146</f>
        <v>190.573</v>
      </c>
      <c r="J28" s="16">
        <f t="shared" si="0"/>
        <v>135.514166666667</v>
      </c>
      <c r="K28" s="29">
        <f>Reference!H146</f>
        <v>5630700</v>
      </c>
      <c r="L28" s="30">
        <f>Reference!I146</f>
        <v>819860</v>
      </c>
      <c r="N28" s="15">
        <f>Test!B146</f>
        <v>0</v>
      </c>
      <c r="O28" s="16">
        <f>Test!C146</f>
        <v>0</v>
      </c>
      <c r="P28" s="16">
        <f>Test!D146</f>
        <v>0</v>
      </c>
      <c r="Q28" s="16">
        <f>Test!E146</f>
        <v>0</v>
      </c>
      <c r="R28" s="16">
        <f>Test!F146</f>
        <v>0</v>
      </c>
      <c r="S28" s="16">
        <f>Test!G146</f>
        <v>0</v>
      </c>
      <c r="T28" s="16">
        <f t="shared" si="1"/>
        <v>0</v>
      </c>
      <c r="U28" s="29">
        <f>Test!H146</f>
        <v>0</v>
      </c>
      <c r="V28" s="30">
        <f>Test!I146</f>
        <v>0</v>
      </c>
      <c r="W28" s="16">
        <f t="shared" si="2"/>
        <v>0</v>
      </c>
      <c r="X28" s="16">
        <f t="shared" si="3"/>
        <v>0</v>
      </c>
      <c r="Y28" s="16">
        <f t="shared" si="4"/>
        <v>0</v>
      </c>
      <c r="Z28" s="25">
        <f t="shared" si="4"/>
        <v>0</v>
      </c>
      <c r="AA28" s="42"/>
      <c r="AB28" s="43"/>
      <c r="AC28" s="44"/>
      <c r="AD28" s="45"/>
      <c r="AE28" s="43"/>
      <c r="AF28" s="44"/>
      <c r="AG28" s="45"/>
    </row>
    <row r="29" spans="1:33">
      <c r="A29" s="14"/>
      <c r="B29" s="14"/>
      <c r="C29" s="14">
        <v>32</v>
      </c>
      <c r="D29" s="15">
        <f>Reference!B147</f>
        <v>2008.6376</v>
      </c>
      <c r="E29" s="16">
        <f>Reference!C147</f>
        <v>37.275</v>
      </c>
      <c r="F29" s="16">
        <f>Reference!D147</f>
        <v>42.4533</v>
      </c>
      <c r="G29" s="16">
        <f>Reference!E147</f>
        <v>43.3342</v>
      </c>
      <c r="H29" s="16">
        <f>Reference!F147</f>
        <v>295848</v>
      </c>
      <c r="I29" s="16">
        <f>Reference!G147</f>
        <v>132.522</v>
      </c>
      <c r="J29" s="16">
        <f t="shared" si="0"/>
        <v>82.18</v>
      </c>
      <c r="K29" s="29">
        <f>Reference!H147</f>
        <v>5611752</v>
      </c>
      <c r="L29" s="30">
        <f>Reference!I147</f>
        <v>777484</v>
      </c>
      <c r="N29" s="15">
        <f>Test!B147</f>
        <v>0</v>
      </c>
      <c r="O29" s="16">
        <f>Test!C147</f>
        <v>0</v>
      </c>
      <c r="P29" s="16">
        <f>Test!D147</f>
        <v>0</v>
      </c>
      <c r="Q29" s="16">
        <f>Test!E147</f>
        <v>0</v>
      </c>
      <c r="R29" s="16">
        <f>Test!F147</f>
        <v>0</v>
      </c>
      <c r="S29" s="16">
        <f>Test!G147</f>
        <v>0</v>
      </c>
      <c r="T29" s="16">
        <f t="shared" si="1"/>
        <v>0</v>
      </c>
      <c r="U29" s="29">
        <f>Test!H147</f>
        <v>0</v>
      </c>
      <c r="V29" s="30">
        <f>Test!I147</f>
        <v>0</v>
      </c>
      <c r="W29" s="16">
        <f t="shared" si="2"/>
        <v>0</v>
      </c>
      <c r="X29" s="16">
        <f t="shared" si="3"/>
        <v>0</v>
      </c>
      <c r="Y29" s="16">
        <f t="shared" si="4"/>
        <v>0</v>
      </c>
      <c r="Z29" s="25">
        <f t="shared" si="4"/>
        <v>0</v>
      </c>
      <c r="AA29" s="42"/>
      <c r="AB29" s="43"/>
      <c r="AC29" s="44"/>
      <c r="AD29" s="45"/>
      <c r="AE29" s="43"/>
      <c r="AF29" s="44"/>
      <c r="AG29" s="45"/>
    </row>
    <row r="30" ht="12.75" customHeight="1" spans="1:33">
      <c r="A30" s="14"/>
      <c r="B30" s="17"/>
      <c r="C30" s="17">
        <v>37</v>
      </c>
      <c r="D30" s="15">
        <f>Reference!B148</f>
        <v>931.104</v>
      </c>
      <c r="E30" s="16">
        <f>Reference!C148</f>
        <v>35.1567</v>
      </c>
      <c r="F30" s="16">
        <f>Reference!D148</f>
        <v>41.0768</v>
      </c>
      <c r="G30" s="16">
        <f>Reference!E148</f>
        <v>41.9094</v>
      </c>
      <c r="H30" s="16">
        <f>Reference!F148</f>
        <v>181763</v>
      </c>
      <c r="I30" s="16">
        <f>Reference!G148</f>
        <v>98.147</v>
      </c>
      <c r="J30" s="19">
        <f t="shared" si="0"/>
        <v>50.4897222222222</v>
      </c>
      <c r="K30" s="29">
        <f>Reference!H148</f>
        <v>5606080</v>
      </c>
      <c r="L30" s="30">
        <f>Reference!I148</f>
        <v>784400</v>
      </c>
      <c r="N30" s="18">
        <f>Test!B148</f>
        <v>0</v>
      </c>
      <c r="O30" s="19">
        <f>Test!C148</f>
        <v>0</v>
      </c>
      <c r="P30" s="19">
        <f>Test!D148</f>
        <v>0</v>
      </c>
      <c r="Q30" s="19">
        <f>Test!E148</f>
        <v>0</v>
      </c>
      <c r="R30" s="19">
        <f>Test!F148</f>
        <v>0</v>
      </c>
      <c r="S30" s="19">
        <f>Test!G148</f>
        <v>0</v>
      </c>
      <c r="T30" s="19">
        <f t="shared" si="1"/>
        <v>0</v>
      </c>
      <c r="U30" s="29">
        <f>Test!H148</f>
        <v>0</v>
      </c>
      <c r="V30" s="30">
        <f>Test!I148</f>
        <v>0</v>
      </c>
      <c r="W30" s="16">
        <f t="shared" si="2"/>
        <v>0</v>
      </c>
      <c r="X30" s="16">
        <f t="shared" si="3"/>
        <v>0</v>
      </c>
      <c r="Y30" s="16">
        <f t="shared" si="4"/>
        <v>0</v>
      </c>
      <c r="Z30" s="25">
        <f t="shared" si="4"/>
        <v>0</v>
      </c>
      <c r="AA30" s="42"/>
      <c r="AB30" s="46"/>
      <c r="AC30" s="47"/>
      <c r="AD30" s="48"/>
      <c r="AE30" s="46"/>
      <c r="AF30" s="47"/>
      <c r="AG30" s="48"/>
    </row>
    <row r="31" spans="1:33">
      <c r="A31" s="14"/>
      <c r="B31" s="11" t="s">
        <v>73</v>
      </c>
      <c r="C31" s="11">
        <v>22</v>
      </c>
      <c r="D31" s="12">
        <f>Reference!B149</f>
        <v>7811.8296</v>
      </c>
      <c r="E31" s="13">
        <f>Reference!C149</f>
        <v>45.2285</v>
      </c>
      <c r="F31" s="13">
        <f>Reference!D149</f>
        <v>48.7127</v>
      </c>
      <c r="G31" s="13">
        <f>Reference!E149</f>
        <v>49.3827</v>
      </c>
      <c r="H31" s="13">
        <f>Reference!F149</f>
        <v>768126</v>
      </c>
      <c r="I31" s="13">
        <f>Reference!G149</f>
        <v>220.147</v>
      </c>
      <c r="J31" s="13">
        <f t="shared" si="0"/>
        <v>213.368333333333</v>
      </c>
      <c r="K31" s="27">
        <f>Reference!H149</f>
        <v>5634800</v>
      </c>
      <c r="L31" s="28">
        <f>Reference!I149</f>
        <v>843292</v>
      </c>
      <c r="M31" s="58"/>
      <c r="N31" s="12">
        <f>Test!B149</f>
        <v>0</v>
      </c>
      <c r="O31" s="13">
        <f>Test!C149</f>
        <v>0</v>
      </c>
      <c r="P31" s="13">
        <f>Test!D149</f>
        <v>0</v>
      </c>
      <c r="Q31" s="13">
        <f>Test!E149</f>
        <v>0</v>
      </c>
      <c r="R31" s="13">
        <f>Test!F149</f>
        <v>0</v>
      </c>
      <c r="S31" s="13">
        <f>Test!G149</f>
        <v>0</v>
      </c>
      <c r="T31" s="13">
        <f t="shared" si="1"/>
        <v>0</v>
      </c>
      <c r="U31" s="27">
        <f>Test!H149</f>
        <v>0</v>
      </c>
      <c r="V31" s="28">
        <f>Test!I149</f>
        <v>0</v>
      </c>
      <c r="W31" s="16">
        <f t="shared" si="2"/>
        <v>0</v>
      </c>
      <c r="X31" s="16">
        <f t="shared" si="3"/>
        <v>0</v>
      </c>
      <c r="Y31" s="16">
        <f t="shared" si="4"/>
        <v>0</v>
      </c>
      <c r="Z31" s="25">
        <f t="shared" si="4"/>
        <v>0</v>
      </c>
      <c r="AA31" s="42"/>
      <c r="AB31" s="39" t="e">
        <f>bdrate($D31:$D34,E31:E34,$N31:$N34,O31:O34)</f>
        <v>#VALUE!</v>
      </c>
      <c r="AC31" s="40" t="e">
        <f>bdrate($D31:$D34,F31:F34,$N31:$N34,P31:P34)</f>
        <v>#VALUE!</v>
      </c>
      <c r="AD31" s="40" t="e">
        <f>bdrate($D31:$D34,G31:G34,$N31:$N34,Q31:Q34)</f>
        <v>#VALUE!</v>
      </c>
      <c r="AE31" s="49" t="e">
        <f>bdrateOld($D31:$D34,E31:E34,$N31:$N34,O31:O34)</f>
        <v>#VALUE!</v>
      </c>
      <c r="AF31" s="50" t="e">
        <f>bdrateOld($D31:$D34,F31:F34,$N31:$N34,P31:P34)</f>
        <v>#VALUE!</v>
      </c>
      <c r="AG31" s="52" t="e">
        <f>bdrateOld($D31:$D34,G31:G34,$N31:$N34,Q31:Q34)</f>
        <v>#VALUE!</v>
      </c>
    </row>
    <row r="32" spans="1:33">
      <c r="A32" s="14"/>
      <c r="B32" s="14"/>
      <c r="C32" s="14">
        <v>27</v>
      </c>
      <c r="D32" s="15">
        <f>Reference!B150</f>
        <v>4001.3192</v>
      </c>
      <c r="E32" s="16">
        <f>Reference!C150</f>
        <v>42.2945</v>
      </c>
      <c r="F32" s="16">
        <f>Reference!D150</f>
        <v>46.5277</v>
      </c>
      <c r="G32" s="16">
        <f>Reference!E150</f>
        <v>46.7858</v>
      </c>
      <c r="H32" s="16">
        <f>Reference!F150</f>
        <v>575435</v>
      </c>
      <c r="I32" s="16">
        <f>Reference!G150</f>
        <v>174.276</v>
      </c>
      <c r="J32" s="16">
        <f t="shared" si="0"/>
        <v>159.843055555556</v>
      </c>
      <c r="K32" s="29">
        <f>Reference!H150</f>
        <v>5618912</v>
      </c>
      <c r="L32" s="30">
        <f>Reference!I150</f>
        <v>820648</v>
      </c>
      <c r="M32" s="58"/>
      <c r="N32" s="15">
        <f>Test!B150</f>
        <v>0</v>
      </c>
      <c r="O32" s="16">
        <f>Test!C150</f>
        <v>0</v>
      </c>
      <c r="P32" s="16">
        <f>Test!D150</f>
        <v>0</v>
      </c>
      <c r="Q32" s="16">
        <f>Test!E150</f>
        <v>0</v>
      </c>
      <c r="R32" s="16">
        <f>Test!F150</f>
        <v>0</v>
      </c>
      <c r="S32" s="16">
        <f>Test!G150</f>
        <v>0</v>
      </c>
      <c r="T32" s="16">
        <f t="shared" si="1"/>
        <v>0</v>
      </c>
      <c r="U32" s="29">
        <f>Test!H150</f>
        <v>0</v>
      </c>
      <c r="V32" s="30">
        <f>Test!I150</f>
        <v>0</v>
      </c>
      <c r="W32" s="16">
        <f t="shared" si="2"/>
        <v>0</v>
      </c>
      <c r="X32" s="16">
        <f t="shared" si="3"/>
        <v>0</v>
      </c>
      <c r="Y32" s="16">
        <f t="shared" si="4"/>
        <v>0</v>
      </c>
      <c r="Z32" s="25">
        <f t="shared" si="4"/>
        <v>0</v>
      </c>
      <c r="AA32" s="42"/>
      <c r="AB32" s="43"/>
      <c r="AC32" s="44"/>
      <c r="AD32" s="44"/>
      <c r="AE32" s="43"/>
      <c r="AF32" s="44"/>
      <c r="AG32" s="45"/>
    </row>
    <row r="33" spans="1:33">
      <c r="A33" s="14"/>
      <c r="B33" s="14"/>
      <c r="C33" s="14">
        <v>32</v>
      </c>
      <c r="D33" s="15">
        <f>Reference!B151</f>
        <v>2144.6288</v>
      </c>
      <c r="E33" s="16">
        <f>Reference!C151</f>
        <v>39.2314</v>
      </c>
      <c r="F33" s="16">
        <f>Reference!D151</f>
        <v>44.6626</v>
      </c>
      <c r="G33" s="16">
        <f>Reference!E151</f>
        <v>44.6414</v>
      </c>
      <c r="H33" s="16">
        <f>Reference!F151</f>
        <v>437147</v>
      </c>
      <c r="I33" s="16">
        <f>Reference!G151</f>
        <v>138.18</v>
      </c>
      <c r="J33" s="16">
        <f t="shared" si="0"/>
        <v>121.429722222222</v>
      </c>
      <c r="K33" s="29">
        <f>Reference!H151</f>
        <v>5608628</v>
      </c>
      <c r="L33" s="30">
        <f>Reference!I151</f>
        <v>764068</v>
      </c>
      <c r="M33" s="58"/>
      <c r="N33" s="15">
        <f>Test!B151</f>
        <v>0</v>
      </c>
      <c r="O33" s="16">
        <f>Test!C151</f>
        <v>0</v>
      </c>
      <c r="P33" s="16">
        <f>Test!D151</f>
        <v>0</v>
      </c>
      <c r="Q33" s="16">
        <f>Test!E151</f>
        <v>0</v>
      </c>
      <c r="R33" s="16">
        <f>Test!F151</f>
        <v>0</v>
      </c>
      <c r="S33" s="16">
        <f>Test!G151</f>
        <v>0</v>
      </c>
      <c r="T33" s="16">
        <f t="shared" si="1"/>
        <v>0</v>
      </c>
      <c r="U33" s="29">
        <f>Test!H151</f>
        <v>0</v>
      </c>
      <c r="V33" s="30">
        <f>Test!I151</f>
        <v>0</v>
      </c>
      <c r="W33" s="16">
        <f t="shared" si="2"/>
        <v>0</v>
      </c>
      <c r="X33" s="16">
        <f t="shared" si="3"/>
        <v>0</v>
      </c>
      <c r="Y33" s="16">
        <f t="shared" si="4"/>
        <v>0</v>
      </c>
      <c r="Z33" s="25">
        <f t="shared" si="4"/>
        <v>0</v>
      </c>
      <c r="AA33" s="42"/>
      <c r="AB33" s="43"/>
      <c r="AC33" s="44"/>
      <c r="AD33" s="44"/>
      <c r="AE33" s="43"/>
      <c r="AF33" s="44"/>
      <c r="AG33" s="45"/>
    </row>
    <row r="34" ht="12.75" customHeight="1" spans="1:33">
      <c r="A34" s="14"/>
      <c r="B34" s="17"/>
      <c r="C34" s="17">
        <v>37</v>
      </c>
      <c r="D34" s="15">
        <f>Reference!B152</f>
        <v>1151.68</v>
      </c>
      <c r="E34" s="16">
        <f>Reference!C152</f>
        <v>36.3664</v>
      </c>
      <c r="F34" s="16">
        <f>Reference!D152</f>
        <v>42.8852</v>
      </c>
      <c r="G34" s="16">
        <f>Reference!E152</f>
        <v>42.7318</v>
      </c>
      <c r="H34" s="16">
        <f>Reference!F152</f>
        <v>265276</v>
      </c>
      <c r="I34" s="16">
        <f>Reference!G152</f>
        <v>95.062</v>
      </c>
      <c r="J34" s="19">
        <f t="shared" si="0"/>
        <v>73.6877777777778</v>
      </c>
      <c r="K34" s="29">
        <f>Reference!H152</f>
        <v>5468932</v>
      </c>
      <c r="L34" s="30">
        <f>Reference!I152</f>
        <v>750584</v>
      </c>
      <c r="M34" s="58"/>
      <c r="N34" s="18">
        <f>Test!B152</f>
        <v>0</v>
      </c>
      <c r="O34" s="19">
        <f>Test!C152</f>
        <v>0</v>
      </c>
      <c r="P34" s="19">
        <f>Test!D152</f>
        <v>0</v>
      </c>
      <c r="Q34" s="19">
        <f>Test!E152</f>
        <v>0</v>
      </c>
      <c r="R34" s="19">
        <f>Test!F152</f>
        <v>0</v>
      </c>
      <c r="S34" s="19">
        <f>Test!G152</f>
        <v>0</v>
      </c>
      <c r="T34" s="19">
        <f t="shared" si="1"/>
        <v>0</v>
      </c>
      <c r="U34" s="29">
        <f>Test!H152</f>
        <v>0</v>
      </c>
      <c r="V34" s="30">
        <f>Test!I152</f>
        <v>0</v>
      </c>
      <c r="W34" s="16">
        <f t="shared" si="2"/>
        <v>0</v>
      </c>
      <c r="X34" s="16">
        <f t="shared" si="3"/>
        <v>0</v>
      </c>
      <c r="Y34" s="16">
        <f t="shared" si="4"/>
        <v>0</v>
      </c>
      <c r="Z34" s="25">
        <f t="shared" si="4"/>
        <v>0</v>
      </c>
      <c r="AA34" s="42"/>
      <c r="AB34" s="46"/>
      <c r="AC34" s="47"/>
      <c r="AD34" s="47"/>
      <c r="AE34" s="46"/>
      <c r="AF34" s="47"/>
      <c r="AG34" s="48"/>
    </row>
    <row r="35" spans="1:33">
      <c r="A35" s="14"/>
      <c r="B35" s="11" t="s">
        <v>74</v>
      </c>
      <c r="C35" s="11">
        <v>22</v>
      </c>
      <c r="D35" s="12">
        <f>Reference!B153</f>
        <v>7804.136</v>
      </c>
      <c r="E35" s="13">
        <f>Reference!C153</f>
        <v>38.7142</v>
      </c>
      <c r="F35" s="13">
        <f>Reference!D153</f>
        <v>40.3825</v>
      </c>
      <c r="G35" s="13">
        <f>Reference!E153</f>
        <v>44.7336</v>
      </c>
      <c r="H35" s="13">
        <f>Reference!F153</f>
        <v>585505</v>
      </c>
      <c r="I35" s="13">
        <f>Reference!G153</f>
        <v>156.588</v>
      </c>
      <c r="J35" s="13">
        <f t="shared" ref="J35:J66" si="5">H35/3600</f>
        <v>162.640277777778</v>
      </c>
      <c r="K35" s="27">
        <f>Reference!H153</f>
        <v>5644844</v>
      </c>
      <c r="L35" s="28">
        <f>Reference!I153</f>
        <v>826408</v>
      </c>
      <c r="N35" s="12">
        <f>Test!B153</f>
        <v>0</v>
      </c>
      <c r="O35" s="13">
        <f>Test!C153</f>
        <v>0</v>
      </c>
      <c r="P35" s="13">
        <f>Test!D153</f>
        <v>0</v>
      </c>
      <c r="Q35" s="13">
        <f>Test!E153</f>
        <v>0</v>
      </c>
      <c r="R35" s="13">
        <f>Test!F153</f>
        <v>0</v>
      </c>
      <c r="S35" s="13">
        <f>Test!G153</f>
        <v>0</v>
      </c>
      <c r="T35" s="13">
        <f t="shared" ref="T35:T66" si="6">R35/3600</f>
        <v>0</v>
      </c>
      <c r="U35" s="27">
        <f>Test!H153</f>
        <v>0</v>
      </c>
      <c r="V35" s="28">
        <f>Test!I153</f>
        <v>0</v>
      </c>
      <c r="W35" s="16">
        <f t="shared" ref="W35:W66" si="7">R35/H35</f>
        <v>0</v>
      </c>
      <c r="X35" s="16">
        <f t="shared" ref="X35:X66" si="8">S35/I35</f>
        <v>0</v>
      </c>
      <c r="Y35" s="16">
        <f t="shared" si="4"/>
        <v>0</v>
      </c>
      <c r="Z35" s="25">
        <f t="shared" si="4"/>
        <v>0</v>
      </c>
      <c r="AA35" s="42"/>
      <c r="AB35" s="39" t="e">
        <f>bdrate($D35:$D38,E35:E38,$N35:$N38,O35:O38)</f>
        <v>#VALUE!</v>
      </c>
      <c r="AC35" s="40" t="e">
        <f>bdrate($D35:$D38,F35:F38,$N35:$N38,P35:P38)</f>
        <v>#VALUE!</v>
      </c>
      <c r="AD35" s="40" t="e">
        <f>bdrate($D35:$D38,G35:G38,$N35:$N38,Q35:Q38)</f>
        <v>#VALUE!</v>
      </c>
      <c r="AE35" s="49" t="e">
        <f>bdrateOld($D35:$D38,E35:E38,$N35:$N38,O35:O38)</f>
        <v>#VALUE!</v>
      </c>
      <c r="AF35" s="50" t="e">
        <f>bdrateOld($D35:$D38,F35:F38,$N35:$N38,P35:P38)</f>
        <v>#VALUE!</v>
      </c>
      <c r="AG35" s="52" t="e">
        <f>bdrateOld($D35:$D38,G35:G38,$N35:$N38,Q35:Q38)</f>
        <v>#VALUE!</v>
      </c>
    </row>
    <row r="36" spans="1:33">
      <c r="A36" s="14"/>
      <c r="B36" s="14"/>
      <c r="C36" s="14">
        <v>27</v>
      </c>
      <c r="D36" s="15">
        <f>Reference!B154</f>
        <v>3073.8304</v>
      </c>
      <c r="E36" s="16">
        <f>Reference!C154</f>
        <v>37.5068</v>
      </c>
      <c r="F36" s="16">
        <f>Reference!D154</f>
        <v>39.8405</v>
      </c>
      <c r="G36" s="16">
        <f>Reference!E154</f>
        <v>43.2208</v>
      </c>
      <c r="H36" s="16">
        <f>Reference!F154</f>
        <v>441692</v>
      </c>
      <c r="I36" s="16">
        <f>Reference!G154</f>
        <v>128.023</v>
      </c>
      <c r="J36" s="16">
        <f t="shared" si="5"/>
        <v>122.692222222222</v>
      </c>
      <c r="K36" s="29">
        <f>Reference!H154</f>
        <v>5624208</v>
      </c>
      <c r="L36" s="30">
        <f>Reference!I154</f>
        <v>803052</v>
      </c>
      <c r="N36" s="15">
        <f>Test!B154</f>
        <v>0</v>
      </c>
      <c r="O36" s="16">
        <f>Test!C154</f>
        <v>0</v>
      </c>
      <c r="P36" s="16">
        <f>Test!D154</f>
        <v>0</v>
      </c>
      <c r="Q36" s="16">
        <f>Test!E154</f>
        <v>0</v>
      </c>
      <c r="R36" s="16">
        <f>Test!F154</f>
        <v>0</v>
      </c>
      <c r="S36" s="16">
        <f>Test!G154</f>
        <v>0</v>
      </c>
      <c r="T36" s="16">
        <f t="shared" si="6"/>
        <v>0</v>
      </c>
      <c r="U36" s="29">
        <f>Test!H154</f>
        <v>0</v>
      </c>
      <c r="V36" s="30">
        <f>Test!I154</f>
        <v>0</v>
      </c>
      <c r="W36" s="16">
        <f t="shared" si="7"/>
        <v>0</v>
      </c>
      <c r="X36" s="16">
        <f t="shared" si="8"/>
        <v>0</v>
      </c>
      <c r="Y36" s="16">
        <f t="shared" si="4"/>
        <v>0</v>
      </c>
      <c r="Z36" s="25">
        <f t="shared" si="4"/>
        <v>0</v>
      </c>
      <c r="AA36" s="42"/>
      <c r="AB36" s="43"/>
      <c r="AC36" s="44"/>
      <c r="AD36" s="44"/>
      <c r="AE36" s="43"/>
      <c r="AF36" s="44"/>
      <c r="AG36" s="45"/>
    </row>
    <row r="37" spans="1:33">
      <c r="A37" s="14"/>
      <c r="B37" s="14"/>
      <c r="C37" s="14">
        <v>32</v>
      </c>
      <c r="D37" s="15">
        <f>Reference!B155</f>
        <v>1492.3096</v>
      </c>
      <c r="E37" s="16">
        <f>Reference!C155</f>
        <v>35.9185</v>
      </c>
      <c r="F37" s="16">
        <f>Reference!D155</f>
        <v>39.15</v>
      </c>
      <c r="G37" s="16">
        <f>Reference!E155</f>
        <v>41.5722</v>
      </c>
      <c r="H37" s="16">
        <f>Reference!F155</f>
        <v>325110</v>
      </c>
      <c r="I37" s="16">
        <f>Reference!G155</f>
        <v>105.162</v>
      </c>
      <c r="J37" s="16">
        <f t="shared" si="5"/>
        <v>90.3083333333333</v>
      </c>
      <c r="K37" s="29">
        <f>Reference!H155</f>
        <v>5611304</v>
      </c>
      <c r="L37" s="30">
        <f>Reference!I155</f>
        <v>764704</v>
      </c>
      <c r="N37" s="15">
        <f>Test!B155</f>
        <v>0</v>
      </c>
      <c r="O37" s="16">
        <f>Test!C155</f>
        <v>0</v>
      </c>
      <c r="P37" s="16">
        <f>Test!D155</f>
        <v>0</v>
      </c>
      <c r="Q37" s="16">
        <f>Test!E155</f>
        <v>0</v>
      </c>
      <c r="R37" s="16">
        <f>Test!F155</f>
        <v>0</v>
      </c>
      <c r="S37" s="16">
        <f>Test!G155</f>
        <v>0</v>
      </c>
      <c r="T37" s="16">
        <f t="shared" si="6"/>
        <v>0</v>
      </c>
      <c r="U37" s="29">
        <f>Test!H155</f>
        <v>0</v>
      </c>
      <c r="V37" s="30">
        <f>Test!I155</f>
        <v>0</v>
      </c>
      <c r="W37" s="16">
        <f t="shared" si="7"/>
        <v>0</v>
      </c>
      <c r="X37" s="16">
        <f t="shared" si="8"/>
        <v>0</v>
      </c>
      <c r="Y37" s="16">
        <f t="shared" si="4"/>
        <v>0</v>
      </c>
      <c r="Z37" s="25">
        <f t="shared" si="4"/>
        <v>0</v>
      </c>
      <c r="AA37" s="42"/>
      <c r="AB37" s="43"/>
      <c r="AC37" s="44"/>
      <c r="AD37" s="44"/>
      <c r="AE37" s="43"/>
      <c r="AF37" s="44"/>
      <c r="AG37" s="45"/>
    </row>
    <row r="38" ht="12.75" customHeight="1" spans="1:33">
      <c r="A38" s="14"/>
      <c r="B38" s="17"/>
      <c r="C38" s="17">
        <v>37</v>
      </c>
      <c r="D38" s="15">
        <f>Reference!B156</f>
        <v>748.8616</v>
      </c>
      <c r="E38" s="16">
        <f>Reference!C156</f>
        <v>33.9625</v>
      </c>
      <c r="F38" s="16">
        <f>Reference!D156</f>
        <v>38.2072</v>
      </c>
      <c r="G38" s="16">
        <f>Reference!E156</f>
        <v>39.837</v>
      </c>
      <c r="H38" s="16">
        <f>Reference!F156</f>
        <v>234150</v>
      </c>
      <c r="I38" s="16">
        <f>Reference!G156</f>
        <v>101.569</v>
      </c>
      <c r="J38" s="19">
        <f t="shared" si="5"/>
        <v>65.0416666666667</v>
      </c>
      <c r="K38" s="29">
        <f>Reference!H156</f>
        <v>5601492</v>
      </c>
      <c r="L38" s="30">
        <f>Reference!I156</f>
        <v>731724</v>
      </c>
      <c r="N38" s="18">
        <f>Test!B156</f>
        <v>0</v>
      </c>
      <c r="O38" s="19">
        <f>Test!C156</f>
        <v>0</v>
      </c>
      <c r="P38" s="19">
        <f>Test!D156</f>
        <v>0</v>
      </c>
      <c r="Q38" s="19">
        <f>Test!E156</f>
        <v>0</v>
      </c>
      <c r="R38" s="19">
        <f>Test!F156</f>
        <v>0</v>
      </c>
      <c r="S38" s="19">
        <f>Test!G156</f>
        <v>0</v>
      </c>
      <c r="T38" s="19">
        <f t="shared" si="6"/>
        <v>0</v>
      </c>
      <c r="U38" s="29">
        <f>Test!H156</f>
        <v>0</v>
      </c>
      <c r="V38" s="30">
        <f>Test!I156</f>
        <v>0</v>
      </c>
      <c r="W38" s="16">
        <f t="shared" si="7"/>
        <v>0</v>
      </c>
      <c r="X38" s="16">
        <f t="shared" si="8"/>
        <v>0</v>
      </c>
      <c r="Y38" s="16">
        <f t="shared" si="4"/>
        <v>0</v>
      </c>
      <c r="Z38" s="25">
        <f t="shared" si="4"/>
        <v>0</v>
      </c>
      <c r="AA38" s="42"/>
      <c r="AB38" s="46"/>
      <c r="AC38" s="47"/>
      <c r="AD38" s="47"/>
      <c r="AE38" s="46"/>
      <c r="AF38" s="47"/>
      <c r="AG38" s="48"/>
    </row>
    <row r="39" spans="1:33">
      <c r="A39" s="14"/>
      <c r="B39" s="11" t="s">
        <v>79</v>
      </c>
      <c r="C39" s="11">
        <v>22</v>
      </c>
      <c r="D39" s="12">
        <f>Reference!B157</f>
        <v>9552.6576</v>
      </c>
      <c r="E39" s="13">
        <f>Reference!C157</f>
        <v>39.4261</v>
      </c>
      <c r="F39" s="13">
        <f>Reference!D157</f>
        <v>44.5402</v>
      </c>
      <c r="G39" s="13">
        <f>Reference!E157</f>
        <v>46.19</v>
      </c>
      <c r="H39" s="13">
        <f>Reference!F157</f>
        <v>894749</v>
      </c>
      <c r="I39" s="13">
        <f>Reference!G157</f>
        <v>216.26</v>
      </c>
      <c r="J39" s="13">
        <f t="shared" si="5"/>
        <v>248.541388888889</v>
      </c>
      <c r="K39" s="27">
        <f>Reference!H157</f>
        <v>5645388</v>
      </c>
      <c r="L39" s="28">
        <f>Reference!I157</f>
        <v>825340</v>
      </c>
      <c r="N39" s="12">
        <f>Test!B157</f>
        <v>0</v>
      </c>
      <c r="O39" s="13">
        <f>Test!C157</f>
        <v>0</v>
      </c>
      <c r="P39" s="13">
        <f>Test!D157</f>
        <v>0</v>
      </c>
      <c r="Q39" s="13">
        <f>Test!E157</f>
        <v>0</v>
      </c>
      <c r="R39" s="13">
        <f>Test!F157</f>
        <v>0</v>
      </c>
      <c r="S39" s="13">
        <f>Test!G157</f>
        <v>0</v>
      </c>
      <c r="T39" s="13">
        <f t="shared" si="6"/>
        <v>0</v>
      </c>
      <c r="U39" s="27">
        <f>Test!H157</f>
        <v>0</v>
      </c>
      <c r="V39" s="28">
        <f>Test!I157</f>
        <v>0</v>
      </c>
      <c r="W39" s="16">
        <f t="shared" si="7"/>
        <v>0</v>
      </c>
      <c r="X39" s="16">
        <f t="shared" si="8"/>
        <v>0</v>
      </c>
      <c r="Y39" s="16">
        <f t="shared" si="4"/>
        <v>0</v>
      </c>
      <c r="Z39" s="25">
        <f t="shared" si="4"/>
        <v>0</v>
      </c>
      <c r="AA39" s="42"/>
      <c r="AB39" s="39" t="e">
        <f>bdrate($D39:$D42,E39:E42,$N39:$N42,O39:O42)</f>
        <v>#VALUE!</v>
      </c>
      <c r="AC39" s="40" t="e">
        <f>bdrate($D39:$D42,F39:F42,$N39:$N42,P39:P42)</f>
        <v>#VALUE!</v>
      </c>
      <c r="AD39" s="40" t="e">
        <f>bdrate($D39:$D42,G39:G42,$N39:$N42,Q39:Q42)</f>
        <v>#VALUE!</v>
      </c>
      <c r="AE39" s="49" t="e">
        <f>bdrateOld($D39:$D42,E39:E42,$N39:$N42,O39:O42)</f>
        <v>#VALUE!</v>
      </c>
      <c r="AF39" s="50" t="e">
        <f>bdrateOld($D39:$D42,F39:F42,$N39:$N42,P39:P42)</f>
        <v>#VALUE!</v>
      </c>
      <c r="AG39" s="52" t="e">
        <f>bdrateOld($D39:$D42,G39:G42,$N39:$N42,Q39:Q42)</f>
        <v>#VALUE!</v>
      </c>
    </row>
    <row r="40" spans="1:33">
      <c r="A40" s="14"/>
      <c r="B40" s="14"/>
      <c r="C40" s="14">
        <v>27</v>
      </c>
      <c r="D40" s="15">
        <f>Reference!B158</f>
        <v>3815.7152</v>
      </c>
      <c r="E40" s="16">
        <f>Reference!C158</f>
        <v>38.1845</v>
      </c>
      <c r="F40" s="16">
        <f>Reference!D158</f>
        <v>43.4463</v>
      </c>
      <c r="G40" s="16">
        <f>Reference!E158</f>
        <v>44.2451</v>
      </c>
      <c r="H40" s="16">
        <f>Reference!F158</f>
        <v>463880</v>
      </c>
      <c r="I40" s="16">
        <f>Reference!G158</f>
        <v>134.126</v>
      </c>
      <c r="J40" s="16">
        <f t="shared" si="5"/>
        <v>128.855555555556</v>
      </c>
      <c r="K40" s="29">
        <f>Reference!H158</f>
        <v>5624256</v>
      </c>
      <c r="L40" s="30">
        <f>Reference!I158</f>
        <v>784088</v>
      </c>
      <c r="N40" s="15">
        <f>Test!B158</f>
        <v>0</v>
      </c>
      <c r="O40" s="16">
        <f>Test!C158</f>
        <v>0</v>
      </c>
      <c r="P40" s="16">
        <f>Test!D158</f>
        <v>0</v>
      </c>
      <c r="Q40" s="16">
        <f>Test!E158</f>
        <v>0</v>
      </c>
      <c r="R40" s="16">
        <f>Test!F158</f>
        <v>0</v>
      </c>
      <c r="S40" s="16">
        <f>Test!G158</f>
        <v>0</v>
      </c>
      <c r="T40" s="16">
        <f t="shared" si="6"/>
        <v>0</v>
      </c>
      <c r="U40" s="29">
        <f>Test!H158</f>
        <v>0</v>
      </c>
      <c r="V40" s="30">
        <f>Test!I158</f>
        <v>0</v>
      </c>
      <c r="W40" s="16">
        <f t="shared" si="7"/>
        <v>0</v>
      </c>
      <c r="X40" s="16">
        <f t="shared" si="8"/>
        <v>0</v>
      </c>
      <c r="Y40" s="16">
        <f t="shared" si="4"/>
        <v>0</v>
      </c>
      <c r="Z40" s="25">
        <f t="shared" si="4"/>
        <v>0</v>
      </c>
      <c r="AA40" s="42"/>
      <c r="AB40" s="43"/>
      <c r="AC40" s="44"/>
      <c r="AD40" s="44"/>
      <c r="AE40" s="43"/>
      <c r="AF40" s="44"/>
      <c r="AG40" s="45"/>
    </row>
    <row r="41" spans="1:33">
      <c r="A41" s="14"/>
      <c r="B41" s="14"/>
      <c r="C41" s="14">
        <v>32</v>
      </c>
      <c r="D41" s="15">
        <f>Reference!B159</f>
        <v>1849.4224</v>
      </c>
      <c r="E41" s="16">
        <f>Reference!C159</f>
        <v>36.6523</v>
      </c>
      <c r="F41" s="16">
        <f>Reference!D159</f>
        <v>42.3123</v>
      </c>
      <c r="G41" s="16">
        <f>Reference!E159</f>
        <v>42.5156</v>
      </c>
      <c r="H41" s="16">
        <f>Reference!F159</f>
        <v>321538</v>
      </c>
      <c r="I41" s="16">
        <f>Reference!G159</f>
        <v>105.326</v>
      </c>
      <c r="J41" s="16">
        <f t="shared" si="5"/>
        <v>89.3161111111111</v>
      </c>
      <c r="K41" s="29">
        <f>Reference!H159</f>
        <v>5607412</v>
      </c>
      <c r="L41" s="30">
        <f>Reference!I159</f>
        <v>776768</v>
      </c>
      <c r="N41" s="15">
        <f>Test!B159</f>
        <v>0</v>
      </c>
      <c r="O41" s="16">
        <f>Test!C159</f>
        <v>0</v>
      </c>
      <c r="P41" s="16">
        <f>Test!D159</f>
        <v>0</v>
      </c>
      <c r="Q41" s="16">
        <f>Test!E159</f>
        <v>0</v>
      </c>
      <c r="R41" s="16">
        <f>Test!F159</f>
        <v>0</v>
      </c>
      <c r="S41" s="16">
        <f>Test!G159</f>
        <v>0</v>
      </c>
      <c r="T41" s="16">
        <f t="shared" si="6"/>
        <v>0</v>
      </c>
      <c r="U41" s="29">
        <f>Test!H159</f>
        <v>0</v>
      </c>
      <c r="V41" s="30">
        <f>Test!I159</f>
        <v>0</v>
      </c>
      <c r="W41" s="16">
        <f t="shared" si="7"/>
        <v>0</v>
      </c>
      <c r="X41" s="16">
        <f t="shared" si="8"/>
        <v>0</v>
      </c>
      <c r="Y41" s="16">
        <f t="shared" si="4"/>
        <v>0</v>
      </c>
      <c r="Z41" s="25">
        <f t="shared" si="4"/>
        <v>0</v>
      </c>
      <c r="AA41" s="42"/>
      <c r="AB41" s="43"/>
      <c r="AC41" s="44"/>
      <c r="AD41" s="44"/>
      <c r="AE41" s="43"/>
      <c r="AF41" s="44"/>
      <c r="AG41" s="45"/>
    </row>
    <row r="42" ht="12.75" customHeight="1" spans="1:33">
      <c r="A42" s="14"/>
      <c r="B42" s="17"/>
      <c r="C42" s="17">
        <v>37</v>
      </c>
      <c r="D42" s="15">
        <f>Reference!B160</f>
        <v>933.7904</v>
      </c>
      <c r="E42" s="16">
        <f>Reference!C160</f>
        <v>34.7939</v>
      </c>
      <c r="F42" s="16">
        <f>Reference!D160</f>
        <v>41.0689</v>
      </c>
      <c r="G42" s="16">
        <f>Reference!E160</f>
        <v>40.5739</v>
      </c>
      <c r="H42" s="16">
        <f>Reference!F160</f>
        <v>217546</v>
      </c>
      <c r="I42" s="16">
        <f>Reference!G160</f>
        <v>99.996</v>
      </c>
      <c r="J42" s="19">
        <f t="shared" si="5"/>
        <v>60.4294444444444</v>
      </c>
      <c r="K42" s="29">
        <f>Reference!H160</f>
        <v>5596748</v>
      </c>
      <c r="L42" s="30">
        <f>Reference!I160</f>
        <v>759872</v>
      </c>
      <c r="N42" s="18">
        <f>Test!B160</f>
        <v>0</v>
      </c>
      <c r="O42" s="19">
        <f>Test!C160</f>
        <v>0</v>
      </c>
      <c r="P42" s="19">
        <f>Test!D160</f>
        <v>0</v>
      </c>
      <c r="Q42" s="19">
        <f>Test!E160</f>
        <v>0</v>
      </c>
      <c r="R42" s="19">
        <f>Test!F160</f>
        <v>0</v>
      </c>
      <c r="S42" s="19">
        <f>Test!G160</f>
        <v>0</v>
      </c>
      <c r="T42" s="19">
        <f t="shared" si="6"/>
        <v>0</v>
      </c>
      <c r="U42" s="29">
        <f>Test!H160</f>
        <v>0</v>
      </c>
      <c r="V42" s="30">
        <f>Test!I160</f>
        <v>0</v>
      </c>
      <c r="W42" s="16">
        <f t="shared" si="7"/>
        <v>0</v>
      </c>
      <c r="X42" s="16">
        <f t="shared" si="8"/>
        <v>0</v>
      </c>
      <c r="Y42" s="16">
        <f t="shared" si="4"/>
        <v>0</v>
      </c>
      <c r="Z42" s="25">
        <f t="shared" si="4"/>
        <v>0</v>
      </c>
      <c r="AA42" s="42"/>
      <c r="AB42" s="46"/>
      <c r="AC42" s="47"/>
      <c r="AD42" s="47"/>
      <c r="AE42" s="46"/>
      <c r="AF42" s="47"/>
      <c r="AG42" s="48"/>
    </row>
    <row r="43" spans="1:33">
      <c r="A43" s="14"/>
      <c r="B43" s="11" t="s">
        <v>80</v>
      </c>
      <c r="C43" s="11">
        <v>22</v>
      </c>
      <c r="D43" s="12">
        <f>Reference!B161</f>
        <v>19482.8856</v>
      </c>
      <c r="E43" s="13">
        <f>Reference!C161</f>
        <v>37.1986</v>
      </c>
      <c r="F43" s="13">
        <f>Reference!D161</f>
        <v>43.1862</v>
      </c>
      <c r="G43" s="13">
        <f>Reference!E161</f>
        <v>45.4779</v>
      </c>
      <c r="H43" s="13">
        <f>Reference!F161</f>
        <v>698488</v>
      </c>
      <c r="I43" s="13">
        <f>Reference!G161</f>
        <v>160.52</v>
      </c>
      <c r="J43" s="13">
        <f t="shared" si="5"/>
        <v>194.024444444444</v>
      </c>
      <c r="K43" s="27">
        <f>Reference!H161</f>
        <v>5659604</v>
      </c>
      <c r="L43" s="28">
        <f>Reference!I161</f>
        <v>798700</v>
      </c>
      <c r="N43" s="12">
        <f>Test!B161</f>
        <v>0</v>
      </c>
      <c r="O43" s="13">
        <f>Test!C161</f>
        <v>0</v>
      </c>
      <c r="P43" s="13">
        <f>Test!D161</f>
        <v>0</v>
      </c>
      <c r="Q43" s="13">
        <f>Test!E161</f>
        <v>0</v>
      </c>
      <c r="R43" s="13">
        <f>Test!F161</f>
        <v>0</v>
      </c>
      <c r="S43" s="13">
        <f>Test!G161</f>
        <v>0</v>
      </c>
      <c r="T43" s="13">
        <f t="shared" si="6"/>
        <v>0</v>
      </c>
      <c r="U43" s="27">
        <f>Test!H161</f>
        <v>0</v>
      </c>
      <c r="V43" s="28">
        <f>Test!I161</f>
        <v>0</v>
      </c>
      <c r="W43" s="16">
        <f t="shared" si="7"/>
        <v>0</v>
      </c>
      <c r="X43" s="16">
        <f t="shared" si="8"/>
        <v>0</v>
      </c>
      <c r="Y43" s="16">
        <f t="shared" si="4"/>
        <v>0</v>
      </c>
      <c r="Z43" s="25">
        <f t="shared" si="4"/>
        <v>0</v>
      </c>
      <c r="AA43" s="42"/>
      <c r="AB43" s="39" t="e">
        <f>bdrate($D43:$D46,E43:E46,$N43:$N46,O43:O46)</f>
        <v>#VALUE!</v>
      </c>
      <c r="AC43" s="40" t="e">
        <f>bdrate($D43:$D46,F43:F46,$N43:$N46,P43:P46)</f>
        <v>#VALUE!</v>
      </c>
      <c r="AD43" s="40" t="e">
        <f>bdrate($D43:$D46,G43:G46,$N43:$N46,Q43:Q46)</f>
        <v>#VALUE!</v>
      </c>
      <c r="AE43" s="49" t="e">
        <f>bdrateOld($D43:$D46,E43:E46,$N43:$N46,O43:O46)</f>
        <v>#VALUE!</v>
      </c>
      <c r="AF43" s="50" t="e">
        <f>bdrateOld($D43:$D46,F43:F46,$N43:$N46,P43:P46)</f>
        <v>#VALUE!</v>
      </c>
      <c r="AG43" s="52" t="e">
        <f>bdrateOld($D43:$D46,G43:G46,$N43:$N46,Q43:Q46)</f>
        <v>#VALUE!</v>
      </c>
    </row>
    <row r="44" spans="1:33">
      <c r="A44" s="14"/>
      <c r="B44" s="14"/>
      <c r="C44" s="14">
        <v>27</v>
      </c>
      <c r="D44" s="15">
        <f>Reference!B162</f>
        <v>3312.4512</v>
      </c>
      <c r="E44" s="16">
        <f>Reference!C162</f>
        <v>35.8191</v>
      </c>
      <c r="F44" s="16">
        <f>Reference!D162</f>
        <v>42.4576</v>
      </c>
      <c r="G44" s="16">
        <f>Reference!E162</f>
        <v>44.8117</v>
      </c>
      <c r="H44" s="16">
        <f>Reference!F162</f>
        <v>300164</v>
      </c>
      <c r="I44" s="16">
        <f>Reference!G162</f>
        <v>118.499</v>
      </c>
      <c r="J44" s="16">
        <f t="shared" si="5"/>
        <v>83.3788888888889</v>
      </c>
      <c r="K44" s="29">
        <f>Reference!H162</f>
        <v>5636168</v>
      </c>
      <c r="L44" s="30">
        <f>Reference!I162</f>
        <v>771056</v>
      </c>
      <c r="N44" s="15">
        <f>Test!B162</f>
        <v>0</v>
      </c>
      <c r="O44" s="16">
        <f>Test!C162</f>
        <v>0</v>
      </c>
      <c r="P44" s="16">
        <f>Test!D162</f>
        <v>0</v>
      </c>
      <c r="Q44" s="16">
        <f>Test!E162</f>
        <v>0</v>
      </c>
      <c r="R44" s="16">
        <f>Test!F162</f>
        <v>0</v>
      </c>
      <c r="S44" s="16">
        <f>Test!G162</f>
        <v>0</v>
      </c>
      <c r="T44" s="16">
        <f t="shared" si="6"/>
        <v>0</v>
      </c>
      <c r="U44" s="29">
        <f>Test!H162</f>
        <v>0</v>
      </c>
      <c r="V44" s="30">
        <f>Test!I162</f>
        <v>0</v>
      </c>
      <c r="W44" s="16">
        <f t="shared" si="7"/>
        <v>0</v>
      </c>
      <c r="X44" s="16">
        <f t="shared" si="8"/>
        <v>0</v>
      </c>
      <c r="Y44" s="16">
        <f t="shared" si="4"/>
        <v>0</v>
      </c>
      <c r="Z44" s="25">
        <f t="shared" si="4"/>
        <v>0</v>
      </c>
      <c r="AA44" s="42"/>
      <c r="AB44" s="43"/>
      <c r="AC44" s="44"/>
      <c r="AD44" s="44"/>
      <c r="AE44" s="43"/>
      <c r="AF44" s="44"/>
      <c r="AG44" s="45"/>
    </row>
    <row r="45" spans="1:33">
      <c r="A45" s="14"/>
      <c r="B45" s="14"/>
      <c r="C45" s="14">
        <v>32</v>
      </c>
      <c r="D45" s="15">
        <f>Reference!B163</f>
        <v>1381.6424</v>
      </c>
      <c r="E45" s="16">
        <f>Reference!C163</f>
        <v>34.7801</v>
      </c>
      <c r="F45" s="16">
        <f>Reference!D163</f>
        <v>41.4284</v>
      </c>
      <c r="G45" s="16">
        <f>Reference!E163</f>
        <v>43.8678</v>
      </c>
      <c r="H45" s="16">
        <f>Reference!F163</f>
        <v>152345</v>
      </c>
      <c r="I45" s="16">
        <f>Reference!G163</f>
        <v>112.871</v>
      </c>
      <c r="J45" s="16">
        <f t="shared" si="5"/>
        <v>42.3180555555556</v>
      </c>
      <c r="K45" s="29">
        <f>Reference!H163</f>
        <v>5621552</v>
      </c>
      <c r="L45" s="30">
        <f>Reference!I163</f>
        <v>760220</v>
      </c>
      <c r="N45" s="15">
        <f>Test!B163</f>
        <v>0</v>
      </c>
      <c r="O45" s="16">
        <f>Test!C163</f>
        <v>0</v>
      </c>
      <c r="P45" s="16">
        <f>Test!D163</f>
        <v>0</v>
      </c>
      <c r="Q45" s="16">
        <f>Test!E163</f>
        <v>0</v>
      </c>
      <c r="R45" s="16">
        <f>Test!F163</f>
        <v>0</v>
      </c>
      <c r="S45" s="16">
        <f>Test!G163</f>
        <v>0</v>
      </c>
      <c r="T45" s="16">
        <f t="shared" si="6"/>
        <v>0</v>
      </c>
      <c r="U45" s="29">
        <f>Test!H163</f>
        <v>0</v>
      </c>
      <c r="V45" s="30">
        <f>Test!I163</f>
        <v>0</v>
      </c>
      <c r="W45" s="16">
        <f t="shared" si="7"/>
        <v>0</v>
      </c>
      <c r="X45" s="16">
        <f t="shared" si="8"/>
        <v>0</v>
      </c>
      <c r="Y45" s="16">
        <f t="shared" si="4"/>
        <v>0</v>
      </c>
      <c r="Z45" s="25">
        <f t="shared" si="4"/>
        <v>0</v>
      </c>
      <c r="AA45" s="42"/>
      <c r="AB45" s="43"/>
      <c r="AC45" s="44"/>
      <c r="AD45" s="44"/>
      <c r="AE45" s="43"/>
      <c r="AF45" s="44"/>
      <c r="AG45" s="45"/>
    </row>
    <row r="46" ht="12.75" customHeight="1" spans="1:33">
      <c r="A46" s="17"/>
      <c r="B46" s="17"/>
      <c r="C46" s="17">
        <v>37</v>
      </c>
      <c r="D46" s="15">
        <f>Reference!B164</f>
        <v>656.3432</v>
      </c>
      <c r="E46" s="16">
        <f>Reference!C164</f>
        <v>33.3811</v>
      </c>
      <c r="F46" s="16">
        <f>Reference!D164</f>
        <v>40.1969</v>
      </c>
      <c r="G46" s="16">
        <f>Reference!E164</f>
        <v>42.6986</v>
      </c>
      <c r="H46" s="16">
        <f>Reference!F164</f>
        <v>88352</v>
      </c>
      <c r="I46" s="16">
        <f>Reference!G164</f>
        <v>92.111</v>
      </c>
      <c r="J46" s="19">
        <f t="shared" si="5"/>
        <v>24.5422222222222</v>
      </c>
      <c r="K46" s="29">
        <f>Reference!H164</f>
        <v>5609024</v>
      </c>
      <c r="L46" s="30">
        <f>Reference!I164</f>
        <v>745216</v>
      </c>
      <c r="N46" s="18">
        <f>Test!B164</f>
        <v>0</v>
      </c>
      <c r="O46" s="19">
        <f>Test!C164</f>
        <v>0</v>
      </c>
      <c r="P46" s="19">
        <f>Test!D164</f>
        <v>0</v>
      </c>
      <c r="Q46" s="19">
        <f>Test!E164</f>
        <v>0</v>
      </c>
      <c r="R46" s="19">
        <f>Test!F164</f>
        <v>0</v>
      </c>
      <c r="S46" s="19">
        <f>Test!G164</f>
        <v>0</v>
      </c>
      <c r="T46" s="19">
        <f t="shared" si="6"/>
        <v>0</v>
      </c>
      <c r="U46" s="29">
        <f>Test!H164</f>
        <v>0</v>
      </c>
      <c r="V46" s="30">
        <f>Test!I164</f>
        <v>0</v>
      </c>
      <c r="W46" s="16">
        <f t="shared" si="7"/>
        <v>0</v>
      </c>
      <c r="X46" s="16">
        <f t="shared" si="8"/>
        <v>0</v>
      </c>
      <c r="Y46" s="16">
        <f t="shared" si="4"/>
        <v>0</v>
      </c>
      <c r="Z46" s="25">
        <f t="shared" si="4"/>
        <v>0</v>
      </c>
      <c r="AA46" s="42"/>
      <c r="AB46" s="46"/>
      <c r="AC46" s="47"/>
      <c r="AD46" s="47"/>
      <c r="AE46" s="46"/>
      <c r="AF46" s="47"/>
      <c r="AG46" s="48"/>
    </row>
    <row r="47" spans="1:33">
      <c r="A47" s="11" t="s">
        <v>23</v>
      </c>
      <c r="B47" s="11" t="s">
        <v>81</v>
      </c>
      <c r="C47" s="11">
        <v>22</v>
      </c>
      <c r="D47" s="12">
        <f>Reference!B165</f>
        <v>2241.6184</v>
      </c>
      <c r="E47" s="13">
        <f>Reference!C165</f>
        <v>42.2519</v>
      </c>
      <c r="F47" s="13">
        <f>Reference!D165</f>
        <v>44.5586</v>
      </c>
      <c r="G47" s="13">
        <f>Reference!E165</f>
        <v>45.5385</v>
      </c>
      <c r="H47" s="13">
        <f>Reference!F165</f>
        <v>65654</v>
      </c>
      <c r="I47" s="13">
        <f>Reference!G165</f>
        <v>32.658</v>
      </c>
      <c r="J47" s="13">
        <f t="shared" si="5"/>
        <v>18.2372222222222</v>
      </c>
      <c r="K47" s="27">
        <f>Reference!H165</f>
        <v>2055340</v>
      </c>
      <c r="L47" s="28">
        <f>Reference!I165</f>
        <v>431164</v>
      </c>
      <c r="M47" s="58"/>
      <c r="N47" s="12">
        <f>Test!B165</f>
        <v>0</v>
      </c>
      <c r="O47" s="13">
        <f>Test!C165</f>
        <v>0</v>
      </c>
      <c r="P47" s="13">
        <f>Test!D165</f>
        <v>0</v>
      </c>
      <c r="Q47" s="13">
        <f>Test!E165</f>
        <v>0</v>
      </c>
      <c r="R47" s="13">
        <f>Test!F165</f>
        <v>0</v>
      </c>
      <c r="S47" s="13">
        <f>Test!G165</f>
        <v>0</v>
      </c>
      <c r="T47" s="13">
        <f t="shared" si="6"/>
        <v>0</v>
      </c>
      <c r="U47" s="27">
        <f>Test!H165</f>
        <v>0</v>
      </c>
      <c r="V47" s="28">
        <f>Test!I165</f>
        <v>0</v>
      </c>
      <c r="W47" s="13">
        <f t="shared" si="7"/>
        <v>0</v>
      </c>
      <c r="X47" s="13">
        <f t="shared" si="8"/>
        <v>0</v>
      </c>
      <c r="Y47" s="13">
        <f t="shared" si="4"/>
        <v>0</v>
      </c>
      <c r="Z47" s="24">
        <f t="shared" si="4"/>
        <v>0</v>
      </c>
      <c r="AA47" s="66"/>
      <c r="AB47" s="67" t="e">
        <f>bdrate($D47:$D50,E47:E50,$N47:$N50,O47:O50)</f>
        <v>#VALUE!</v>
      </c>
      <c r="AC47" s="68" t="e">
        <f>bdrate($D47:$D50,F47:F50,$N47:$N50,P47:P50)</f>
        <v>#VALUE!</v>
      </c>
      <c r="AD47" s="69" t="e">
        <f>bdrate($D47:$D50,G47:G50,$N47:$N50,Q47:Q50)</f>
        <v>#VALUE!</v>
      </c>
      <c r="AE47" s="39" t="e">
        <f>bdrateOld($D47:$D50,E47:E50,$N47:$N50,O47:O50)</f>
        <v>#VALUE!</v>
      </c>
      <c r="AF47" s="40" t="e">
        <f>bdrateOld($D47:$D50,F47:F50,$N47:$N50,P47:P50)</f>
        <v>#VALUE!</v>
      </c>
      <c r="AG47" s="41" t="e">
        <f>bdrateOld($D47:$D50,G47:G50,$N47:$N50,Q47:Q50)</f>
        <v>#VALUE!</v>
      </c>
    </row>
    <row r="48" spans="1:33">
      <c r="A48" s="14" t="s">
        <v>112</v>
      </c>
      <c r="B48" s="14"/>
      <c r="C48" s="14">
        <v>27</v>
      </c>
      <c r="D48" s="15">
        <f>Reference!B166</f>
        <v>1074.5136</v>
      </c>
      <c r="E48" s="16">
        <f>Reference!C166</f>
        <v>39.3384</v>
      </c>
      <c r="F48" s="16">
        <f>Reference!D166</f>
        <v>42.333</v>
      </c>
      <c r="G48" s="16">
        <f>Reference!E166</f>
        <v>42.7897</v>
      </c>
      <c r="H48" s="16">
        <f>Reference!F166</f>
        <v>48538</v>
      </c>
      <c r="I48" s="16">
        <f>Reference!G166</f>
        <v>27.539</v>
      </c>
      <c r="J48" s="16">
        <f t="shared" si="5"/>
        <v>13.4827777777778</v>
      </c>
      <c r="K48" s="29">
        <f>Reference!H166</f>
        <v>2047648</v>
      </c>
      <c r="L48" s="30">
        <f>Reference!I166</f>
        <v>422220</v>
      </c>
      <c r="M48" s="58"/>
      <c r="N48" s="15">
        <f>Test!B166</f>
        <v>0</v>
      </c>
      <c r="O48" s="16">
        <f>Test!C166</f>
        <v>0</v>
      </c>
      <c r="P48" s="16">
        <f>Test!D166</f>
        <v>0</v>
      </c>
      <c r="Q48" s="16">
        <f>Test!E166</f>
        <v>0</v>
      </c>
      <c r="R48" s="16">
        <f>Test!F166</f>
        <v>0</v>
      </c>
      <c r="S48" s="16">
        <f>Test!G166</f>
        <v>0</v>
      </c>
      <c r="T48" s="16">
        <f t="shared" si="6"/>
        <v>0</v>
      </c>
      <c r="U48" s="29">
        <f>Test!H166</f>
        <v>0</v>
      </c>
      <c r="V48" s="30">
        <f>Test!I166</f>
        <v>0</v>
      </c>
      <c r="W48" s="16">
        <f t="shared" si="7"/>
        <v>0</v>
      </c>
      <c r="X48" s="16">
        <f t="shared" si="8"/>
        <v>0</v>
      </c>
      <c r="Y48" s="16">
        <f t="shared" si="4"/>
        <v>0</v>
      </c>
      <c r="Z48" s="25">
        <f t="shared" si="4"/>
        <v>0</v>
      </c>
      <c r="AA48" s="58"/>
      <c r="AB48" s="70"/>
      <c r="AC48" s="71"/>
      <c r="AD48" s="72"/>
      <c r="AE48" s="43"/>
      <c r="AF48" s="44"/>
      <c r="AG48" s="45"/>
    </row>
    <row r="49" spans="1:33">
      <c r="A49" s="14"/>
      <c r="B49" s="14"/>
      <c r="C49" s="14">
        <v>32</v>
      </c>
      <c r="D49" s="15">
        <f>Reference!B167</f>
        <v>542.2048</v>
      </c>
      <c r="E49" s="16">
        <f>Reference!C167</f>
        <v>36.4531</v>
      </c>
      <c r="F49" s="16">
        <f>Reference!D167</f>
        <v>40.4073</v>
      </c>
      <c r="G49" s="16">
        <f>Reference!E167</f>
        <v>40.6432</v>
      </c>
      <c r="H49" s="16">
        <f>Reference!F167</f>
        <v>36068</v>
      </c>
      <c r="I49" s="16">
        <f>Reference!G167</f>
        <v>22.2</v>
      </c>
      <c r="J49" s="16">
        <f t="shared" si="5"/>
        <v>10.0188888888889</v>
      </c>
      <c r="K49" s="29">
        <f>Reference!H167</f>
        <v>2041316</v>
      </c>
      <c r="L49" s="30">
        <f>Reference!I167</f>
        <v>416832</v>
      </c>
      <c r="M49" s="58"/>
      <c r="N49" s="15">
        <f>Test!B167</f>
        <v>0</v>
      </c>
      <c r="O49" s="16">
        <f>Test!C167</f>
        <v>0</v>
      </c>
      <c r="P49" s="16">
        <f>Test!D167</f>
        <v>0</v>
      </c>
      <c r="Q49" s="16">
        <f>Test!E167</f>
        <v>0</v>
      </c>
      <c r="R49" s="16">
        <f>Test!F167</f>
        <v>0</v>
      </c>
      <c r="S49" s="16">
        <f>Test!G167</f>
        <v>0</v>
      </c>
      <c r="T49" s="16">
        <f t="shared" si="6"/>
        <v>0</v>
      </c>
      <c r="U49" s="29">
        <f>Test!H167</f>
        <v>0</v>
      </c>
      <c r="V49" s="30">
        <f>Test!I167</f>
        <v>0</v>
      </c>
      <c r="W49" s="16">
        <f t="shared" si="7"/>
        <v>0</v>
      </c>
      <c r="X49" s="16">
        <f t="shared" si="8"/>
        <v>0</v>
      </c>
      <c r="Y49" s="16">
        <f t="shared" si="4"/>
        <v>0</v>
      </c>
      <c r="Z49" s="25">
        <f t="shared" si="4"/>
        <v>0</v>
      </c>
      <c r="AA49" s="58"/>
      <c r="AB49" s="70"/>
      <c r="AC49" s="71"/>
      <c r="AD49" s="72"/>
      <c r="AE49" s="43"/>
      <c r="AF49" s="44"/>
      <c r="AG49" s="45"/>
    </row>
    <row r="50" ht="12.75" customHeight="1" spans="1:33">
      <c r="A50" s="14"/>
      <c r="B50" s="17"/>
      <c r="C50" s="17">
        <v>37</v>
      </c>
      <c r="D50" s="15">
        <f>Reference!B168</f>
        <v>277.9728</v>
      </c>
      <c r="E50" s="16">
        <f>Reference!C168</f>
        <v>33.7377</v>
      </c>
      <c r="F50" s="16">
        <f>Reference!D168</f>
        <v>38.4197</v>
      </c>
      <c r="G50" s="16">
        <f>Reference!E168</f>
        <v>38.4108</v>
      </c>
      <c r="H50" s="16">
        <f>Reference!F168</f>
        <v>25664</v>
      </c>
      <c r="I50" s="16">
        <f>Reference!G168</f>
        <v>19.165</v>
      </c>
      <c r="J50" s="19">
        <f t="shared" si="5"/>
        <v>7.12888888888889</v>
      </c>
      <c r="K50" s="29">
        <f>Reference!H168</f>
        <v>2035988</v>
      </c>
      <c r="L50" s="30">
        <f>Reference!I168</f>
        <v>412824</v>
      </c>
      <c r="M50" s="58"/>
      <c r="N50" s="18">
        <f>Test!B168</f>
        <v>0</v>
      </c>
      <c r="O50" s="19">
        <f>Test!C168</f>
        <v>0</v>
      </c>
      <c r="P50" s="19">
        <f>Test!D168</f>
        <v>0</v>
      </c>
      <c r="Q50" s="19">
        <f>Test!E168</f>
        <v>0</v>
      </c>
      <c r="R50" s="19">
        <f>Test!F168</f>
        <v>0</v>
      </c>
      <c r="S50" s="19">
        <f>Test!G168</f>
        <v>0</v>
      </c>
      <c r="T50" s="19">
        <f t="shared" si="6"/>
        <v>0</v>
      </c>
      <c r="U50" s="29">
        <f>Test!H168</f>
        <v>0</v>
      </c>
      <c r="V50" s="30">
        <f>Test!I168</f>
        <v>0</v>
      </c>
      <c r="W50" s="16">
        <f t="shared" si="7"/>
        <v>0</v>
      </c>
      <c r="X50" s="16">
        <f t="shared" si="8"/>
        <v>0</v>
      </c>
      <c r="Y50" s="16">
        <f t="shared" si="4"/>
        <v>0</v>
      </c>
      <c r="Z50" s="25">
        <f t="shared" si="4"/>
        <v>0</v>
      </c>
      <c r="AA50" s="58"/>
      <c r="AB50" s="73"/>
      <c r="AC50" s="74"/>
      <c r="AD50" s="75"/>
      <c r="AE50" s="46"/>
      <c r="AF50" s="47"/>
      <c r="AG50" s="48"/>
    </row>
    <row r="51" spans="1:33">
      <c r="A51" s="14"/>
      <c r="B51" s="11" t="s">
        <v>82</v>
      </c>
      <c r="C51" s="11">
        <v>22</v>
      </c>
      <c r="D51" s="12">
        <f>Reference!B169</f>
        <v>2345.3464</v>
      </c>
      <c r="E51" s="13">
        <f>Reference!C169</f>
        <v>40.9965</v>
      </c>
      <c r="F51" s="13">
        <f>Reference!D169</f>
        <v>44.8853</v>
      </c>
      <c r="G51" s="13">
        <f>Reference!E169</f>
        <v>46.7601</v>
      </c>
      <c r="H51" s="13">
        <f>Reference!F169</f>
        <v>66407</v>
      </c>
      <c r="I51" s="13">
        <f>Reference!G169</f>
        <v>41.636</v>
      </c>
      <c r="J51" s="13">
        <f t="shared" si="5"/>
        <v>18.4463888888889</v>
      </c>
      <c r="K51" s="27">
        <f>Reference!H169</f>
        <v>2051224</v>
      </c>
      <c r="L51" s="28">
        <f>Reference!I169</f>
        <v>425252</v>
      </c>
      <c r="M51" s="58"/>
      <c r="N51" s="12">
        <f>Test!B169</f>
        <v>0</v>
      </c>
      <c r="O51" s="13">
        <f>Test!C169</f>
        <v>0</v>
      </c>
      <c r="P51" s="13">
        <f>Test!D169</f>
        <v>0</v>
      </c>
      <c r="Q51" s="13">
        <f>Test!E169</f>
        <v>0</v>
      </c>
      <c r="R51" s="13">
        <f>Test!F169</f>
        <v>0</v>
      </c>
      <c r="S51" s="13">
        <f>Test!G169</f>
        <v>0</v>
      </c>
      <c r="T51" s="13">
        <f t="shared" si="6"/>
        <v>0</v>
      </c>
      <c r="U51" s="27">
        <f>Test!H169</f>
        <v>0</v>
      </c>
      <c r="V51" s="28">
        <f>Test!I169</f>
        <v>0</v>
      </c>
      <c r="W51" s="16">
        <f t="shared" si="7"/>
        <v>0</v>
      </c>
      <c r="X51" s="16">
        <f t="shared" si="8"/>
        <v>0</v>
      </c>
      <c r="Y51" s="16">
        <f t="shared" si="4"/>
        <v>0</v>
      </c>
      <c r="Z51" s="25">
        <f t="shared" si="4"/>
        <v>0</v>
      </c>
      <c r="AA51" s="58"/>
      <c r="AB51" s="67" t="e">
        <f>bdrate($D51:$D54,E51:E54,$N51:$N54,O51:O54)</f>
        <v>#VALUE!</v>
      </c>
      <c r="AC51" s="68" t="e">
        <f>bdrate($D51:$D54,F51:F54,$N51:$N54,P51:P54)</f>
        <v>#VALUE!</v>
      </c>
      <c r="AD51" s="68" t="e">
        <f>bdrate($D51:$D54,G51:G54,$N51:$N54,Q51:Q54)</f>
        <v>#VALUE!</v>
      </c>
      <c r="AE51" s="49" t="e">
        <f>bdrateOld($D51:$D54,E51:E54,$N51:$N54,O51:O54)</f>
        <v>#VALUE!</v>
      </c>
      <c r="AF51" s="50" t="e">
        <f>bdrateOld($D51:$D54,F51:F54,$N51:$N54,P51:P54)</f>
        <v>#VALUE!</v>
      </c>
      <c r="AG51" s="52" t="e">
        <f>bdrateOld($D51:$D54,G51:G54,$N51:$N54,Q51:Q54)</f>
        <v>#VALUE!</v>
      </c>
    </row>
    <row r="52" spans="1:33">
      <c r="A52" s="14"/>
      <c r="B52" s="14"/>
      <c r="C52" s="14">
        <v>27</v>
      </c>
      <c r="D52" s="15">
        <f>Reference!B170</f>
        <v>1125.0792</v>
      </c>
      <c r="E52" s="16">
        <f>Reference!C170</f>
        <v>38.8295</v>
      </c>
      <c r="F52" s="16">
        <f>Reference!D170</f>
        <v>43.2829</v>
      </c>
      <c r="G52" s="16">
        <f>Reference!E170</f>
        <v>44.6383</v>
      </c>
      <c r="H52" s="16">
        <f>Reference!F170</f>
        <v>48500</v>
      </c>
      <c r="I52" s="16">
        <f>Reference!G170</f>
        <v>34.211</v>
      </c>
      <c r="J52" s="16">
        <f t="shared" si="5"/>
        <v>13.4722222222222</v>
      </c>
      <c r="K52" s="29">
        <f>Reference!H170</f>
        <v>2046800</v>
      </c>
      <c r="L52" s="30">
        <f>Reference!I170</f>
        <v>422488</v>
      </c>
      <c r="M52" s="58"/>
      <c r="N52" s="15">
        <f>Test!B170</f>
        <v>0</v>
      </c>
      <c r="O52" s="16">
        <f>Test!C170</f>
        <v>0</v>
      </c>
      <c r="P52" s="16">
        <f>Test!D170</f>
        <v>0</v>
      </c>
      <c r="Q52" s="16">
        <f>Test!E170</f>
        <v>0</v>
      </c>
      <c r="R52" s="16">
        <f>Test!F170</f>
        <v>0</v>
      </c>
      <c r="S52" s="16">
        <f>Test!G170</f>
        <v>0</v>
      </c>
      <c r="T52" s="16">
        <f t="shared" si="6"/>
        <v>0</v>
      </c>
      <c r="U52" s="29">
        <f>Test!H170</f>
        <v>0</v>
      </c>
      <c r="V52" s="30">
        <f>Test!I170</f>
        <v>0</v>
      </c>
      <c r="W52" s="16">
        <f t="shared" si="7"/>
        <v>0</v>
      </c>
      <c r="X52" s="16">
        <f t="shared" si="8"/>
        <v>0</v>
      </c>
      <c r="Y52" s="16">
        <f t="shared" si="4"/>
        <v>0</v>
      </c>
      <c r="Z52" s="25">
        <f t="shared" si="4"/>
        <v>0</v>
      </c>
      <c r="AA52" s="58"/>
      <c r="AB52" s="70"/>
      <c r="AC52" s="71"/>
      <c r="AD52" s="71"/>
      <c r="AE52" s="43"/>
      <c r="AF52" s="44"/>
      <c r="AG52" s="45"/>
    </row>
    <row r="53" spans="1:33">
      <c r="A53" s="14"/>
      <c r="B53" s="14"/>
      <c r="C53" s="14">
        <v>32</v>
      </c>
      <c r="D53" s="15">
        <f>Reference!B171</f>
        <v>576.4432</v>
      </c>
      <c r="E53" s="16">
        <f>Reference!C171</f>
        <v>36.368</v>
      </c>
      <c r="F53" s="16">
        <f>Reference!D171</f>
        <v>41.387</v>
      </c>
      <c r="G53" s="16">
        <f>Reference!E171</f>
        <v>42.3847</v>
      </c>
      <c r="H53" s="16">
        <f>Reference!F171</f>
        <v>34962</v>
      </c>
      <c r="I53" s="16">
        <f>Reference!G171</f>
        <v>25.686</v>
      </c>
      <c r="J53" s="16">
        <f t="shared" si="5"/>
        <v>9.71166666666667</v>
      </c>
      <c r="K53" s="29">
        <f>Reference!H171</f>
        <v>2042472</v>
      </c>
      <c r="L53" s="30">
        <f>Reference!I171</f>
        <v>419516</v>
      </c>
      <c r="M53" s="58"/>
      <c r="N53" s="15">
        <f>Test!B171</f>
        <v>0</v>
      </c>
      <c r="O53" s="16">
        <f>Test!C171</f>
        <v>0</v>
      </c>
      <c r="P53" s="16">
        <f>Test!D171</f>
        <v>0</v>
      </c>
      <c r="Q53" s="16">
        <f>Test!E171</f>
        <v>0</v>
      </c>
      <c r="R53" s="16">
        <f>Test!F171</f>
        <v>0</v>
      </c>
      <c r="S53" s="16">
        <f>Test!G171</f>
        <v>0</v>
      </c>
      <c r="T53" s="16">
        <f t="shared" si="6"/>
        <v>0</v>
      </c>
      <c r="U53" s="29">
        <f>Test!H171</f>
        <v>0</v>
      </c>
      <c r="V53" s="30">
        <f>Test!I171</f>
        <v>0</v>
      </c>
      <c r="W53" s="16">
        <f t="shared" si="7"/>
        <v>0</v>
      </c>
      <c r="X53" s="16">
        <f t="shared" si="8"/>
        <v>0</v>
      </c>
      <c r="Y53" s="16">
        <f t="shared" si="4"/>
        <v>0</v>
      </c>
      <c r="Z53" s="25">
        <f t="shared" si="4"/>
        <v>0</v>
      </c>
      <c r="AA53" s="58"/>
      <c r="AB53" s="70"/>
      <c r="AC53" s="71"/>
      <c r="AD53" s="71"/>
      <c r="AE53" s="43"/>
      <c r="AF53" s="44"/>
      <c r="AG53" s="45"/>
    </row>
    <row r="54" ht="12.75" customHeight="1" spans="1:33">
      <c r="A54" s="14"/>
      <c r="B54" s="17"/>
      <c r="C54" s="17">
        <v>37</v>
      </c>
      <c r="D54" s="15">
        <f>Reference!B172</f>
        <v>306.3136</v>
      </c>
      <c r="E54" s="16">
        <f>Reference!C172</f>
        <v>33.7937</v>
      </c>
      <c r="F54" s="16">
        <f>Reference!D172</f>
        <v>39.6462</v>
      </c>
      <c r="G54" s="16">
        <f>Reference!E172</f>
        <v>40.3925</v>
      </c>
      <c r="H54" s="16">
        <f>Reference!F172</f>
        <v>24284</v>
      </c>
      <c r="I54" s="16">
        <f>Reference!G172</f>
        <v>21.219</v>
      </c>
      <c r="J54" s="19">
        <f t="shared" si="5"/>
        <v>6.74555555555556</v>
      </c>
      <c r="K54" s="29">
        <f>Reference!H172</f>
        <v>2038944</v>
      </c>
      <c r="L54" s="30">
        <f>Reference!I172</f>
        <v>412764</v>
      </c>
      <c r="M54" s="58"/>
      <c r="N54" s="18">
        <f>Test!B172</f>
        <v>0</v>
      </c>
      <c r="O54" s="19">
        <f>Test!C172</f>
        <v>0</v>
      </c>
      <c r="P54" s="19">
        <f>Test!D172</f>
        <v>0</v>
      </c>
      <c r="Q54" s="19">
        <f>Test!E172</f>
        <v>0</v>
      </c>
      <c r="R54" s="19">
        <f>Test!F172</f>
        <v>0</v>
      </c>
      <c r="S54" s="19">
        <f>Test!G172</f>
        <v>0</v>
      </c>
      <c r="T54" s="19">
        <f t="shared" si="6"/>
        <v>0</v>
      </c>
      <c r="U54" s="29">
        <f>Test!H172</f>
        <v>0</v>
      </c>
      <c r="V54" s="30">
        <f>Test!I172</f>
        <v>0</v>
      </c>
      <c r="W54" s="16">
        <f t="shared" si="7"/>
        <v>0</v>
      </c>
      <c r="X54" s="16">
        <f t="shared" si="8"/>
        <v>0</v>
      </c>
      <c r="Y54" s="16">
        <f t="shared" si="4"/>
        <v>0</v>
      </c>
      <c r="Z54" s="25">
        <f t="shared" si="4"/>
        <v>0</v>
      </c>
      <c r="AA54" s="58"/>
      <c r="AB54" s="73"/>
      <c r="AC54" s="74"/>
      <c r="AD54" s="74"/>
      <c r="AE54" s="46"/>
      <c r="AF54" s="47"/>
      <c r="AG54" s="48"/>
    </row>
    <row r="55" spans="1:33">
      <c r="A55" s="14"/>
      <c r="B55" s="11" t="s">
        <v>113</v>
      </c>
      <c r="C55" s="11">
        <v>22</v>
      </c>
      <c r="D55" s="12">
        <f>Reference!B173</f>
        <v>4367.6696</v>
      </c>
      <c r="E55" s="13">
        <f>Reference!C173</f>
        <v>39.4735</v>
      </c>
      <c r="F55" s="13">
        <f>Reference!D173</f>
        <v>43.0965</v>
      </c>
      <c r="G55" s="13">
        <f>Reference!E173</f>
        <v>44.4112</v>
      </c>
      <c r="H55" s="13">
        <f>Reference!F173</f>
        <v>78681</v>
      </c>
      <c r="I55" s="13">
        <f>Reference!G173</f>
        <v>46.175</v>
      </c>
      <c r="J55" s="13">
        <f t="shared" si="5"/>
        <v>21.8558333333333</v>
      </c>
      <c r="K55" s="27">
        <f>Reference!H173</f>
        <v>2064196</v>
      </c>
      <c r="L55" s="28">
        <f>Reference!I173</f>
        <v>453144</v>
      </c>
      <c r="M55" s="58"/>
      <c r="N55" s="12">
        <f>Test!B173</f>
        <v>0</v>
      </c>
      <c r="O55" s="13">
        <f>Test!C173</f>
        <v>0</v>
      </c>
      <c r="P55" s="13">
        <f>Test!D173</f>
        <v>0</v>
      </c>
      <c r="Q55" s="13">
        <f>Test!E173</f>
        <v>0</v>
      </c>
      <c r="R55" s="13">
        <f>Test!F173</f>
        <v>0</v>
      </c>
      <c r="S55" s="13">
        <f>Test!G173</f>
        <v>0</v>
      </c>
      <c r="T55" s="13">
        <f t="shared" si="6"/>
        <v>0</v>
      </c>
      <c r="U55" s="27">
        <f>Test!H173</f>
        <v>0</v>
      </c>
      <c r="V55" s="28">
        <f>Test!I173</f>
        <v>0</v>
      </c>
      <c r="W55" s="16">
        <f t="shared" si="7"/>
        <v>0</v>
      </c>
      <c r="X55" s="16">
        <f t="shared" si="8"/>
        <v>0</v>
      </c>
      <c r="Y55" s="16">
        <f t="shared" si="4"/>
        <v>0</v>
      </c>
      <c r="Z55" s="25">
        <f t="shared" si="4"/>
        <v>0</v>
      </c>
      <c r="AA55" s="58"/>
      <c r="AB55" s="67" t="e">
        <f>bdrate($D55:$D58,E55:E58,$N55:$N58,O55:O58)</f>
        <v>#VALUE!</v>
      </c>
      <c r="AC55" s="68" t="e">
        <f>bdrate($D55:$D58,F55:F58,$N55:$N58,P55:P58)</f>
        <v>#VALUE!</v>
      </c>
      <c r="AD55" s="68" t="e">
        <f>bdrate($D55:$D58,G55:G58,$N55:$N58,Q55:Q58)</f>
        <v>#VALUE!</v>
      </c>
      <c r="AE55" s="49" t="e">
        <f>bdrateOld($D55:$D58,E55:E58,$N55:$N58,O55:O58)</f>
        <v>#VALUE!</v>
      </c>
      <c r="AF55" s="50" t="e">
        <f>bdrateOld($D55:$D58,F55:F58,$N55:$N58,P55:P58)</f>
        <v>#VALUE!</v>
      </c>
      <c r="AG55" s="52" t="e">
        <f>bdrateOld($D55:$D58,G55:G58,$N55:$N58,Q55:Q58)</f>
        <v>#VALUE!</v>
      </c>
    </row>
    <row r="56" spans="1:33">
      <c r="A56" s="14"/>
      <c r="B56" s="14"/>
      <c r="C56" s="14">
        <v>27</v>
      </c>
      <c r="D56" s="15">
        <f>Reference!B174</f>
        <v>2040.6168</v>
      </c>
      <c r="E56" s="16">
        <f>Reference!C174</f>
        <v>36.3853</v>
      </c>
      <c r="F56" s="16">
        <f>Reference!D174</f>
        <v>40.6034</v>
      </c>
      <c r="G56" s="16">
        <f>Reference!E174</f>
        <v>41.6842</v>
      </c>
      <c r="H56" s="16">
        <f>Reference!F174</f>
        <v>56840</v>
      </c>
      <c r="I56" s="16">
        <f>Reference!G174</f>
        <v>39.793</v>
      </c>
      <c r="J56" s="16">
        <f t="shared" si="5"/>
        <v>15.7888888888889</v>
      </c>
      <c r="K56" s="29">
        <f>Reference!H174</f>
        <v>2059484</v>
      </c>
      <c r="L56" s="30">
        <f>Reference!I174</f>
        <v>432732</v>
      </c>
      <c r="M56" s="58"/>
      <c r="N56" s="15">
        <f>Test!B174</f>
        <v>0</v>
      </c>
      <c r="O56" s="16">
        <f>Test!C174</f>
        <v>0</v>
      </c>
      <c r="P56" s="16">
        <f>Test!D174</f>
        <v>0</v>
      </c>
      <c r="Q56" s="16">
        <f>Test!E174</f>
        <v>0</v>
      </c>
      <c r="R56" s="16">
        <f>Test!F174</f>
        <v>0</v>
      </c>
      <c r="S56" s="16">
        <f>Test!G174</f>
        <v>0</v>
      </c>
      <c r="T56" s="16">
        <f t="shared" si="6"/>
        <v>0</v>
      </c>
      <c r="U56" s="29">
        <f>Test!H174</f>
        <v>0</v>
      </c>
      <c r="V56" s="30">
        <f>Test!I174</f>
        <v>0</v>
      </c>
      <c r="W56" s="16">
        <f t="shared" si="7"/>
        <v>0</v>
      </c>
      <c r="X56" s="16">
        <f t="shared" si="8"/>
        <v>0</v>
      </c>
      <c r="Y56" s="16">
        <f t="shared" si="4"/>
        <v>0</v>
      </c>
      <c r="Z56" s="25">
        <f t="shared" si="4"/>
        <v>0</v>
      </c>
      <c r="AA56" s="58"/>
      <c r="AB56" s="70"/>
      <c r="AC56" s="71"/>
      <c r="AD56" s="71"/>
      <c r="AE56" s="43"/>
      <c r="AF56" s="44"/>
      <c r="AG56" s="45"/>
    </row>
    <row r="57" spans="1:33">
      <c r="A57" s="14"/>
      <c r="B57" s="14"/>
      <c r="C57" s="14">
        <v>32</v>
      </c>
      <c r="D57" s="15">
        <f>Reference!B175</f>
        <v>997.3808</v>
      </c>
      <c r="E57" s="16">
        <f>Reference!C175</f>
        <v>33.3823</v>
      </c>
      <c r="F57" s="16">
        <f>Reference!D175</f>
        <v>38.4549</v>
      </c>
      <c r="G57" s="16">
        <f>Reference!E175</f>
        <v>39.2922</v>
      </c>
      <c r="H57" s="16">
        <f>Reference!F175</f>
        <v>42041</v>
      </c>
      <c r="I57" s="16">
        <f>Reference!G175</f>
        <v>33.838</v>
      </c>
      <c r="J57" s="16">
        <f t="shared" si="5"/>
        <v>11.6780555555556</v>
      </c>
      <c r="K57" s="29">
        <f>Reference!H175</f>
        <v>2054664</v>
      </c>
      <c r="L57" s="30">
        <f>Reference!I175</f>
        <v>428592</v>
      </c>
      <c r="M57" s="58"/>
      <c r="N57" s="15">
        <f>Test!B175</f>
        <v>0</v>
      </c>
      <c r="O57" s="16">
        <f>Test!C175</f>
        <v>0</v>
      </c>
      <c r="P57" s="16">
        <f>Test!D175</f>
        <v>0</v>
      </c>
      <c r="Q57" s="16">
        <f>Test!E175</f>
        <v>0</v>
      </c>
      <c r="R57" s="16">
        <f>Test!F175</f>
        <v>0</v>
      </c>
      <c r="S57" s="16">
        <f>Test!G175</f>
        <v>0</v>
      </c>
      <c r="T57" s="16">
        <f t="shared" si="6"/>
        <v>0</v>
      </c>
      <c r="U57" s="29">
        <f>Test!H175</f>
        <v>0</v>
      </c>
      <c r="V57" s="30">
        <f>Test!I175</f>
        <v>0</v>
      </c>
      <c r="W57" s="16">
        <f t="shared" si="7"/>
        <v>0</v>
      </c>
      <c r="X57" s="16">
        <f t="shared" si="8"/>
        <v>0</v>
      </c>
      <c r="Y57" s="16">
        <f t="shared" si="4"/>
        <v>0</v>
      </c>
      <c r="Z57" s="25">
        <f t="shared" si="4"/>
        <v>0</v>
      </c>
      <c r="AA57" s="58"/>
      <c r="AB57" s="70"/>
      <c r="AC57" s="71"/>
      <c r="AD57" s="71"/>
      <c r="AE57" s="43"/>
      <c r="AF57" s="44"/>
      <c r="AG57" s="45"/>
    </row>
    <row r="58" ht="12.75" customHeight="1" spans="1:33">
      <c r="A58" s="14"/>
      <c r="B58" s="17"/>
      <c r="C58" s="17">
        <v>37</v>
      </c>
      <c r="D58" s="15">
        <f>Reference!B176</f>
        <v>483.7096</v>
      </c>
      <c r="E58" s="16">
        <f>Reference!C176</f>
        <v>30.5691</v>
      </c>
      <c r="F58" s="16">
        <f>Reference!D176</f>
        <v>36.6063</v>
      </c>
      <c r="G58" s="16">
        <f>Reference!E176</f>
        <v>37.2499</v>
      </c>
      <c r="H58" s="16">
        <f>Reference!F176</f>
        <v>29479</v>
      </c>
      <c r="I58" s="16">
        <f>Reference!G176</f>
        <v>28.349</v>
      </c>
      <c r="J58" s="19">
        <f t="shared" si="5"/>
        <v>8.18861111111111</v>
      </c>
      <c r="K58" s="29">
        <f>Reference!H176</f>
        <v>2048356</v>
      </c>
      <c r="L58" s="30">
        <f>Reference!I176</f>
        <v>423664</v>
      </c>
      <c r="M58" s="58"/>
      <c r="N58" s="18">
        <f>Test!B176</f>
        <v>0</v>
      </c>
      <c r="O58" s="19">
        <f>Test!C176</f>
        <v>0</v>
      </c>
      <c r="P58" s="19">
        <f>Test!D176</f>
        <v>0</v>
      </c>
      <c r="Q58" s="19">
        <f>Test!E176</f>
        <v>0</v>
      </c>
      <c r="R58" s="19">
        <f>Test!F176</f>
        <v>0</v>
      </c>
      <c r="S58" s="19">
        <f>Test!G176</f>
        <v>0</v>
      </c>
      <c r="T58" s="19">
        <f t="shared" si="6"/>
        <v>0</v>
      </c>
      <c r="U58" s="29">
        <f>Test!H176</f>
        <v>0</v>
      </c>
      <c r="V58" s="30">
        <f>Test!I176</f>
        <v>0</v>
      </c>
      <c r="W58" s="16">
        <f t="shared" si="7"/>
        <v>0</v>
      </c>
      <c r="X58" s="16">
        <f t="shared" si="8"/>
        <v>0</v>
      </c>
      <c r="Y58" s="16">
        <f t="shared" si="4"/>
        <v>0</v>
      </c>
      <c r="Z58" s="25">
        <f t="shared" si="4"/>
        <v>0</v>
      </c>
      <c r="AA58" s="58"/>
      <c r="AB58" s="73"/>
      <c r="AC58" s="74"/>
      <c r="AD58" s="74"/>
      <c r="AE58" s="46"/>
      <c r="AF58" s="47"/>
      <c r="AG58" s="48"/>
    </row>
    <row r="59" spans="1:33">
      <c r="A59" s="14"/>
      <c r="B59" s="11" t="s">
        <v>87</v>
      </c>
      <c r="C59" s="11">
        <v>22</v>
      </c>
      <c r="D59" s="12">
        <f>Reference!B177</f>
        <v>3308.1488</v>
      </c>
      <c r="E59" s="13">
        <f>Reference!C177</f>
        <v>39.4571</v>
      </c>
      <c r="F59" s="13">
        <f>Reference!D177</f>
        <v>41.8455</v>
      </c>
      <c r="G59" s="13">
        <f>Reference!E177</f>
        <v>43.4905</v>
      </c>
      <c r="H59" s="13">
        <f>Reference!F177</f>
        <v>72891</v>
      </c>
      <c r="I59" s="13">
        <f>Reference!G177</f>
        <v>30.869</v>
      </c>
      <c r="J59" s="13">
        <f t="shared" si="5"/>
        <v>20.2475</v>
      </c>
      <c r="K59" s="27">
        <f>Reference!H177</f>
        <v>2048140</v>
      </c>
      <c r="L59" s="28">
        <f>Reference!I177</f>
        <v>424428</v>
      </c>
      <c r="M59" s="58"/>
      <c r="N59" s="12">
        <f>Test!B177</f>
        <v>0</v>
      </c>
      <c r="O59" s="13">
        <f>Test!C177</f>
        <v>0</v>
      </c>
      <c r="P59" s="13">
        <f>Test!D177</f>
        <v>0</v>
      </c>
      <c r="Q59" s="13">
        <f>Test!E177</f>
        <v>0</v>
      </c>
      <c r="R59" s="13">
        <f>Test!F177</f>
        <v>0</v>
      </c>
      <c r="S59" s="13">
        <f>Test!G177</f>
        <v>0</v>
      </c>
      <c r="T59" s="13">
        <f t="shared" si="6"/>
        <v>0</v>
      </c>
      <c r="U59" s="27">
        <f>Test!H177</f>
        <v>0</v>
      </c>
      <c r="V59" s="28">
        <f>Test!I177</f>
        <v>0</v>
      </c>
      <c r="W59" s="16">
        <f t="shared" si="7"/>
        <v>0</v>
      </c>
      <c r="X59" s="16">
        <f t="shared" si="8"/>
        <v>0</v>
      </c>
      <c r="Y59" s="16">
        <f t="shared" si="4"/>
        <v>0</v>
      </c>
      <c r="Z59" s="25">
        <f t="shared" si="4"/>
        <v>0</v>
      </c>
      <c r="AA59" s="58"/>
      <c r="AB59" s="67" t="e">
        <f>bdrate($D59:$D62,E59:E62,$N59:$N62,O59:O62)</f>
        <v>#VALUE!</v>
      </c>
      <c r="AC59" s="68" t="e">
        <f>bdrate($D59:$D62,F59:F62,$N59:$N62,P59:P62)</f>
        <v>#VALUE!</v>
      </c>
      <c r="AD59" s="68" t="e">
        <f>bdrate($D59:$D62,G59:G62,$N59:$N62,Q59:Q62)</f>
        <v>#VALUE!</v>
      </c>
      <c r="AE59" s="49" t="e">
        <f>bdrateOld($D59:$D62,E59:E62,$N59:$N62,O59:O62)</f>
        <v>#VALUE!</v>
      </c>
      <c r="AF59" s="50" t="e">
        <f>bdrateOld($D59:$D62,F59:F62,$N59:$N62,P59:P62)</f>
        <v>#VALUE!</v>
      </c>
      <c r="AG59" s="52" t="e">
        <f>bdrateOld($D59:$D62,G59:G62,$N59:$N62,Q59:Q62)</f>
        <v>#VALUE!</v>
      </c>
    </row>
    <row r="60" spans="1:33">
      <c r="A60" s="14"/>
      <c r="B60" s="14"/>
      <c r="C60" s="14">
        <v>27</v>
      </c>
      <c r="D60" s="15">
        <f>Reference!B178</f>
        <v>1361.7976</v>
      </c>
      <c r="E60" s="16">
        <f>Reference!C178</f>
        <v>36.6613</v>
      </c>
      <c r="F60" s="16">
        <f>Reference!D178</f>
        <v>39.5587</v>
      </c>
      <c r="G60" s="16">
        <f>Reference!E178</f>
        <v>41.3142</v>
      </c>
      <c r="H60" s="16">
        <f>Reference!F178</f>
        <v>50215</v>
      </c>
      <c r="I60" s="16">
        <f>Reference!G178</f>
        <v>25.433</v>
      </c>
      <c r="J60" s="16">
        <f t="shared" si="5"/>
        <v>13.9486111111111</v>
      </c>
      <c r="K60" s="29">
        <f>Reference!H178</f>
        <v>2043292</v>
      </c>
      <c r="L60" s="30">
        <f>Reference!I178</f>
        <v>417792</v>
      </c>
      <c r="M60" s="58"/>
      <c r="N60" s="15">
        <f>Test!B178</f>
        <v>0</v>
      </c>
      <c r="O60" s="16">
        <f>Test!C178</f>
        <v>0</v>
      </c>
      <c r="P60" s="16">
        <f>Test!D178</f>
        <v>0</v>
      </c>
      <c r="Q60" s="16">
        <f>Test!E178</f>
        <v>0</v>
      </c>
      <c r="R60" s="16">
        <f>Test!F178</f>
        <v>0</v>
      </c>
      <c r="S60" s="16">
        <f>Test!G178</f>
        <v>0</v>
      </c>
      <c r="T60" s="16">
        <f t="shared" si="6"/>
        <v>0</v>
      </c>
      <c r="U60" s="29">
        <f>Test!H178</f>
        <v>0</v>
      </c>
      <c r="V60" s="30">
        <f>Test!I178</f>
        <v>0</v>
      </c>
      <c r="W60" s="16">
        <f t="shared" si="7"/>
        <v>0</v>
      </c>
      <c r="X60" s="16">
        <f t="shared" si="8"/>
        <v>0</v>
      </c>
      <c r="Y60" s="16">
        <f t="shared" si="4"/>
        <v>0</v>
      </c>
      <c r="Z60" s="25">
        <f t="shared" si="4"/>
        <v>0</v>
      </c>
      <c r="AA60" s="58"/>
      <c r="AB60" s="70"/>
      <c r="AC60" s="71"/>
      <c r="AD60" s="71"/>
      <c r="AE60" s="43"/>
      <c r="AF60" s="44"/>
      <c r="AG60" s="45"/>
    </row>
    <row r="61" spans="1:33">
      <c r="A61" s="14"/>
      <c r="B61" s="14"/>
      <c r="C61" s="14">
        <v>32</v>
      </c>
      <c r="D61" s="15">
        <f>Reference!B179</f>
        <v>636.6088</v>
      </c>
      <c r="E61" s="16">
        <f>Reference!C179</f>
        <v>33.9865</v>
      </c>
      <c r="F61" s="16">
        <f>Reference!D179</f>
        <v>37.5407</v>
      </c>
      <c r="G61" s="16">
        <f>Reference!E179</f>
        <v>39.6141</v>
      </c>
      <c r="H61" s="16">
        <f>Reference!F179</f>
        <v>35232</v>
      </c>
      <c r="I61" s="16">
        <f>Reference!G179</f>
        <v>20.182</v>
      </c>
      <c r="J61" s="16">
        <f t="shared" si="5"/>
        <v>9.78666666666667</v>
      </c>
      <c r="K61" s="29">
        <f>Reference!H179</f>
        <v>2041248</v>
      </c>
      <c r="L61" s="30">
        <f>Reference!I179</f>
        <v>415540</v>
      </c>
      <c r="M61" s="58"/>
      <c r="N61" s="15">
        <f>Test!B179</f>
        <v>0</v>
      </c>
      <c r="O61" s="16">
        <f>Test!C179</f>
        <v>0</v>
      </c>
      <c r="P61" s="16">
        <f>Test!D179</f>
        <v>0</v>
      </c>
      <c r="Q61" s="16">
        <f>Test!E179</f>
        <v>0</v>
      </c>
      <c r="R61" s="16">
        <f>Test!F179</f>
        <v>0</v>
      </c>
      <c r="S61" s="16">
        <f>Test!G179</f>
        <v>0</v>
      </c>
      <c r="T61" s="16">
        <f t="shared" si="6"/>
        <v>0</v>
      </c>
      <c r="U61" s="29">
        <f>Test!H179</f>
        <v>0</v>
      </c>
      <c r="V61" s="30">
        <f>Test!I179</f>
        <v>0</v>
      </c>
      <c r="W61" s="16">
        <f t="shared" si="7"/>
        <v>0</v>
      </c>
      <c r="X61" s="16">
        <f t="shared" si="8"/>
        <v>0</v>
      </c>
      <c r="Y61" s="16">
        <f t="shared" si="4"/>
        <v>0</v>
      </c>
      <c r="Z61" s="25">
        <f t="shared" si="4"/>
        <v>0</v>
      </c>
      <c r="AA61" s="58"/>
      <c r="AB61" s="70"/>
      <c r="AC61" s="71"/>
      <c r="AD61" s="71"/>
      <c r="AE61" s="43"/>
      <c r="AF61" s="44"/>
      <c r="AG61" s="45"/>
    </row>
    <row r="62" ht="12.75" customHeight="1" spans="1:33">
      <c r="A62" s="17"/>
      <c r="B62" s="17"/>
      <c r="C62" s="17">
        <v>37</v>
      </c>
      <c r="D62" s="15">
        <f>Reference!B180</f>
        <v>307.4736</v>
      </c>
      <c r="E62" s="16">
        <f>Reference!C180</f>
        <v>31.2867</v>
      </c>
      <c r="F62" s="16">
        <f>Reference!D180</f>
        <v>35.9654</v>
      </c>
      <c r="G62" s="16">
        <f>Reference!E180</f>
        <v>37.9088</v>
      </c>
      <c r="H62" s="16">
        <f>Reference!F180</f>
        <v>22894</v>
      </c>
      <c r="I62" s="16">
        <f>Reference!G180</f>
        <v>16.458</v>
      </c>
      <c r="J62" s="19">
        <f t="shared" si="5"/>
        <v>6.35944444444444</v>
      </c>
      <c r="K62" s="29">
        <f>Reference!H180</f>
        <v>2037888</v>
      </c>
      <c r="L62" s="30">
        <f>Reference!I180</f>
        <v>414968</v>
      </c>
      <c r="M62" s="58"/>
      <c r="N62" s="18">
        <f>Test!B180</f>
        <v>0</v>
      </c>
      <c r="O62" s="19">
        <f>Test!C180</f>
        <v>0</v>
      </c>
      <c r="P62" s="19">
        <f>Test!D180</f>
        <v>0</v>
      </c>
      <c r="Q62" s="19">
        <f>Test!E180</f>
        <v>0</v>
      </c>
      <c r="R62" s="19">
        <f>Test!F180</f>
        <v>0</v>
      </c>
      <c r="S62" s="19">
        <f>Test!G180</f>
        <v>0</v>
      </c>
      <c r="T62" s="19">
        <f t="shared" si="6"/>
        <v>0</v>
      </c>
      <c r="U62" s="29">
        <f>Test!H180</f>
        <v>0</v>
      </c>
      <c r="V62" s="30">
        <f>Test!I180</f>
        <v>0</v>
      </c>
      <c r="W62" s="19">
        <f t="shared" si="7"/>
        <v>0</v>
      </c>
      <c r="X62" s="19">
        <f t="shared" si="8"/>
        <v>0</v>
      </c>
      <c r="Y62" s="19">
        <f t="shared" si="4"/>
        <v>0</v>
      </c>
      <c r="Z62" s="26">
        <f t="shared" si="4"/>
        <v>0</v>
      </c>
      <c r="AA62" s="76"/>
      <c r="AB62" s="73"/>
      <c r="AC62" s="74"/>
      <c r="AD62" s="74"/>
      <c r="AE62" s="46"/>
      <c r="AF62" s="47"/>
      <c r="AG62" s="48"/>
    </row>
    <row r="63" spans="1:33">
      <c r="A63" s="11" t="s">
        <v>27</v>
      </c>
      <c r="B63" s="11" t="s">
        <v>85</v>
      </c>
      <c r="C63" s="11">
        <f>C59</f>
        <v>22</v>
      </c>
      <c r="D63" s="12">
        <f>Reference!B181</f>
        <v>1062.8808</v>
      </c>
      <c r="E63" s="13">
        <f>Reference!C181</f>
        <v>41.8751</v>
      </c>
      <c r="F63" s="13">
        <f>Reference!D181</f>
        <v>45.132</v>
      </c>
      <c r="G63" s="13">
        <f>Reference!E181</f>
        <v>44.0554</v>
      </c>
      <c r="H63" s="13">
        <f>Reference!F181</f>
        <v>29126</v>
      </c>
      <c r="I63" s="13">
        <f>Reference!G181</f>
        <v>14.338</v>
      </c>
      <c r="J63" s="13">
        <f t="shared" si="5"/>
        <v>8.09055555555556</v>
      </c>
      <c r="K63" s="27">
        <f>Reference!H181</f>
        <v>1335304</v>
      </c>
      <c r="L63" s="28">
        <f>Reference!I181</f>
        <v>337360</v>
      </c>
      <c r="M63" s="58"/>
      <c r="N63" s="12">
        <f>Test!B181</f>
        <v>0</v>
      </c>
      <c r="O63" s="13">
        <f>Test!C181</f>
        <v>0</v>
      </c>
      <c r="P63" s="13">
        <f>Test!D181</f>
        <v>0</v>
      </c>
      <c r="Q63" s="13">
        <f>Test!E181</f>
        <v>0</v>
      </c>
      <c r="R63" s="13">
        <f>Test!F181</f>
        <v>0</v>
      </c>
      <c r="S63" s="13">
        <f>Test!G181</f>
        <v>0</v>
      </c>
      <c r="T63" s="13">
        <f t="shared" si="6"/>
        <v>0</v>
      </c>
      <c r="U63" s="27">
        <f>Test!H181</f>
        <v>0</v>
      </c>
      <c r="V63" s="28">
        <f>Test!I181</f>
        <v>0</v>
      </c>
      <c r="W63" s="13">
        <f t="shared" si="7"/>
        <v>0</v>
      </c>
      <c r="X63" s="13">
        <f t="shared" si="8"/>
        <v>0</v>
      </c>
      <c r="Y63" s="13">
        <f t="shared" si="4"/>
        <v>0</v>
      </c>
      <c r="Z63" s="24">
        <f t="shared" si="4"/>
        <v>0</v>
      </c>
      <c r="AA63" s="66"/>
      <c r="AB63" s="67" t="e">
        <f>bdrate($D63:$D66,E63:E66,$N63:$N66,O63:O66)</f>
        <v>#VALUE!</v>
      </c>
      <c r="AC63" s="68" t="e">
        <f>bdrate($D63:$D66,F63:F66,$N63:$N66,P63:P66)</f>
        <v>#VALUE!</v>
      </c>
      <c r="AD63" s="69" t="e">
        <f>bdrate($D63:$D66,G63:G66,$N63:$N66,Q63:Q66)</f>
        <v>#VALUE!</v>
      </c>
      <c r="AE63" s="39" t="e">
        <f>bdrateOld($D63:$D66,E63:E66,$N63:$N66,O63:O66)</f>
        <v>#VALUE!</v>
      </c>
      <c r="AF63" s="40" t="e">
        <f>bdrateOld($D63:$D66,F63:F66,$N63:$N66,P63:P66)</f>
        <v>#VALUE!</v>
      </c>
      <c r="AG63" s="41" t="e">
        <f>bdrateOld($D63:$D66,G63:G66,$N63:$N66,Q63:Q66)</f>
        <v>#VALUE!</v>
      </c>
    </row>
    <row r="64" spans="1:33">
      <c r="A64" s="14" t="s">
        <v>114</v>
      </c>
      <c r="B64" s="14"/>
      <c r="C64" s="14">
        <f>C60</f>
        <v>27</v>
      </c>
      <c r="D64" s="15">
        <f>Reference!B182</f>
        <v>508.0784</v>
      </c>
      <c r="E64" s="16">
        <f>Reference!C182</f>
        <v>37.9875</v>
      </c>
      <c r="F64" s="16">
        <f>Reference!D182</f>
        <v>42.4418</v>
      </c>
      <c r="G64" s="16">
        <f>Reference!E182</f>
        <v>40.8654</v>
      </c>
      <c r="H64" s="16">
        <f>Reference!F182</f>
        <v>22729</v>
      </c>
      <c r="I64" s="16">
        <f>Reference!G182</f>
        <v>12.236</v>
      </c>
      <c r="J64" s="16">
        <f t="shared" si="5"/>
        <v>6.31361111111111</v>
      </c>
      <c r="K64" s="29">
        <f>Reference!H182</f>
        <v>1334132</v>
      </c>
      <c r="L64" s="30">
        <f>Reference!I182</f>
        <v>336376</v>
      </c>
      <c r="M64" s="58"/>
      <c r="N64" s="15">
        <f>Test!B182</f>
        <v>0</v>
      </c>
      <c r="O64" s="16">
        <f>Test!C182</f>
        <v>0</v>
      </c>
      <c r="P64" s="16">
        <f>Test!D182</f>
        <v>0</v>
      </c>
      <c r="Q64" s="16">
        <f>Test!E182</f>
        <v>0</v>
      </c>
      <c r="R64" s="16">
        <f>Test!F182</f>
        <v>0</v>
      </c>
      <c r="S64" s="16">
        <f>Test!G182</f>
        <v>0</v>
      </c>
      <c r="T64" s="16">
        <f t="shared" si="6"/>
        <v>0</v>
      </c>
      <c r="U64" s="29">
        <f>Test!H182</f>
        <v>0</v>
      </c>
      <c r="V64" s="30">
        <f>Test!I182</f>
        <v>0</v>
      </c>
      <c r="W64" s="16">
        <f t="shared" si="7"/>
        <v>0</v>
      </c>
      <c r="X64" s="16">
        <f t="shared" si="8"/>
        <v>0</v>
      </c>
      <c r="Y64" s="16">
        <f t="shared" si="4"/>
        <v>0</v>
      </c>
      <c r="Z64" s="25">
        <f t="shared" si="4"/>
        <v>0</v>
      </c>
      <c r="AA64" s="58"/>
      <c r="AB64" s="70"/>
      <c r="AC64" s="71"/>
      <c r="AD64" s="72"/>
      <c r="AE64" s="43"/>
      <c r="AF64" s="44"/>
      <c r="AG64" s="45"/>
    </row>
    <row r="65" spans="1:33">
      <c r="A65" s="14"/>
      <c r="B65" s="14"/>
      <c r="C65" s="14">
        <f>C61</f>
        <v>32</v>
      </c>
      <c r="D65" s="15">
        <f>Reference!B183</f>
        <v>253.1016</v>
      </c>
      <c r="E65" s="16">
        <f>Reference!C183</f>
        <v>34.6856</v>
      </c>
      <c r="F65" s="16">
        <f>Reference!D183</f>
        <v>40.2215</v>
      </c>
      <c r="G65" s="16">
        <f>Reference!E183</f>
        <v>38.5513</v>
      </c>
      <c r="H65" s="16">
        <f>Reference!F183</f>
        <v>17051</v>
      </c>
      <c r="I65" s="16">
        <f>Reference!G183</f>
        <v>10.012</v>
      </c>
      <c r="J65" s="16">
        <f t="shared" si="5"/>
        <v>4.73638888888889</v>
      </c>
      <c r="K65" s="29">
        <f>Reference!H183</f>
        <v>1332900</v>
      </c>
      <c r="L65" s="30">
        <f>Reference!I183</f>
        <v>335180</v>
      </c>
      <c r="M65" s="58"/>
      <c r="N65" s="15">
        <f>Test!B183</f>
        <v>0</v>
      </c>
      <c r="O65" s="16">
        <f>Test!C183</f>
        <v>0</v>
      </c>
      <c r="P65" s="16">
        <f>Test!D183</f>
        <v>0</v>
      </c>
      <c r="Q65" s="16">
        <f>Test!E183</f>
        <v>0</v>
      </c>
      <c r="R65" s="16">
        <f>Test!F183</f>
        <v>0</v>
      </c>
      <c r="S65" s="16">
        <f>Test!G183</f>
        <v>0</v>
      </c>
      <c r="T65" s="16">
        <f t="shared" si="6"/>
        <v>0</v>
      </c>
      <c r="U65" s="29">
        <f>Test!H183</f>
        <v>0</v>
      </c>
      <c r="V65" s="30">
        <f>Test!I183</f>
        <v>0</v>
      </c>
      <c r="W65" s="16">
        <f t="shared" si="7"/>
        <v>0</v>
      </c>
      <c r="X65" s="16">
        <f t="shared" si="8"/>
        <v>0</v>
      </c>
      <c r="Y65" s="16">
        <f t="shared" si="4"/>
        <v>0</v>
      </c>
      <c r="Z65" s="25">
        <f t="shared" si="4"/>
        <v>0</v>
      </c>
      <c r="AA65" s="58"/>
      <c r="AB65" s="70"/>
      <c r="AC65" s="71"/>
      <c r="AD65" s="72"/>
      <c r="AE65" s="43"/>
      <c r="AF65" s="44"/>
      <c r="AG65" s="45"/>
    </row>
    <row r="66" ht="12.75" customHeight="1" spans="1:33">
      <c r="A66" s="14"/>
      <c r="B66" s="17"/>
      <c r="C66" s="17">
        <f>C62</f>
        <v>37</v>
      </c>
      <c r="D66" s="15">
        <f>Reference!B184</f>
        <v>129.4048</v>
      </c>
      <c r="E66" s="16">
        <f>Reference!C184</f>
        <v>31.8004</v>
      </c>
      <c r="F66" s="16">
        <f>Reference!D184</f>
        <v>38.2699</v>
      </c>
      <c r="G66" s="16">
        <f>Reference!E184</f>
        <v>36.3386</v>
      </c>
      <c r="H66" s="16">
        <f>Reference!F184</f>
        <v>11909</v>
      </c>
      <c r="I66" s="16">
        <f>Reference!G184</f>
        <v>8.491</v>
      </c>
      <c r="J66" s="19">
        <f t="shared" si="5"/>
        <v>3.30805555555556</v>
      </c>
      <c r="K66" s="29">
        <f>Reference!H184</f>
        <v>1332308</v>
      </c>
      <c r="L66" s="30">
        <f>Reference!I184</f>
        <v>333924</v>
      </c>
      <c r="M66" s="58"/>
      <c r="N66" s="18">
        <f>Test!B184</f>
        <v>0</v>
      </c>
      <c r="O66" s="19">
        <f>Test!C184</f>
        <v>0</v>
      </c>
      <c r="P66" s="19">
        <f>Test!D184</f>
        <v>0</v>
      </c>
      <c r="Q66" s="19">
        <f>Test!E184</f>
        <v>0</v>
      </c>
      <c r="R66" s="19">
        <f>Test!F184</f>
        <v>0</v>
      </c>
      <c r="S66" s="19">
        <f>Test!G184</f>
        <v>0</v>
      </c>
      <c r="T66" s="19">
        <f t="shared" si="6"/>
        <v>0</v>
      </c>
      <c r="U66" s="29">
        <f>Test!H184</f>
        <v>0</v>
      </c>
      <c r="V66" s="30">
        <f>Test!I184</f>
        <v>0</v>
      </c>
      <c r="W66" s="16">
        <f t="shared" si="7"/>
        <v>0</v>
      </c>
      <c r="X66" s="16">
        <f t="shared" si="8"/>
        <v>0</v>
      </c>
      <c r="Y66" s="16">
        <f t="shared" si="4"/>
        <v>0</v>
      </c>
      <c r="Z66" s="25">
        <f t="shared" si="4"/>
        <v>0</v>
      </c>
      <c r="AA66" s="58"/>
      <c r="AB66" s="73"/>
      <c r="AC66" s="74"/>
      <c r="AD66" s="75"/>
      <c r="AE66" s="46"/>
      <c r="AF66" s="47"/>
      <c r="AG66" s="48"/>
    </row>
    <row r="67" spans="1:33">
      <c r="A67" s="14"/>
      <c r="B67" s="11" t="s">
        <v>86</v>
      </c>
      <c r="C67" s="11">
        <v>22</v>
      </c>
      <c r="D67" s="12">
        <f>Reference!B185</f>
        <v>977.2328</v>
      </c>
      <c r="E67" s="13">
        <f>Reference!C185</f>
        <v>39.2461</v>
      </c>
      <c r="F67" s="13">
        <f>Reference!D185</f>
        <v>45.3587</v>
      </c>
      <c r="G67" s="13">
        <f>Reference!E185</f>
        <v>46.8792</v>
      </c>
      <c r="H67" s="13">
        <f>Reference!F185</f>
        <v>27054</v>
      </c>
      <c r="I67" s="13">
        <f>Reference!G185</f>
        <v>15.706</v>
      </c>
      <c r="J67" s="13">
        <f t="shared" ref="J67:J78" si="9">H67/3600</f>
        <v>7.515</v>
      </c>
      <c r="K67" s="27">
        <f>Reference!H185</f>
        <v>1335376</v>
      </c>
      <c r="L67" s="28">
        <f>Reference!I185</f>
        <v>338464</v>
      </c>
      <c r="M67" s="58"/>
      <c r="N67" s="12">
        <f>Test!B185</f>
        <v>0</v>
      </c>
      <c r="O67" s="13">
        <f>Test!C185</f>
        <v>0</v>
      </c>
      <c r="P67" s="13">
        <f>Test!D185</f>
        <v>0</v>
      </c>
      <c r="Q67" s="13">
        <f>Test!E185</f>
        <v>0</v>
      </c>
      <c r="R67" s="13">
        <f>Test!F185</f>
        <v>0</v>
      </c>
      <c r="S67" s="13">
        <f>Test!G185</f>
        <v>0</v>
      </c>
      <c r="T67" s="13">
        <f t="shared" ref="T67:T78" si="10">R67/3600</f>
        <v>0</v>
      </c>
      <c r="U67" s="27">
        <f>Test!H185</f>
        <v>0</v>
      </c>
      <c r="V67" s="28">
        <f>Test!I185</f>
        <v>0</v>
      </c>
      <c r="W67" s="16">
        <f t="shared" ref="W67:W78" si="11">R67/H67</f>
        <v>0</v>
      </c>
      <c r="X67" s="16">
        <f t="shared" ref="X67:X78" si="12">S67/I67</f>
        <v>0</v>
      </c>
      <c r="Y67" s="16">
        <f t="shared" si="4"/>
        <v>0</v>
      </c>
      <c r="Z67" s="25">
        <f t="shared" si="4"/>
        <v>0</v>
      </c>
      <c r="AA67" s="58"/>
      <c r="AB67" s="67" t="e">
        <f>bdrate($D67:$D70,E67:E70,$N67:$N70,O67:O70)</f>
        <v>#VALUE!</v>
      </c>
      <c r="AC67" s="68" t="e">
        <f>bdrate($D67:$D70,F67:F70,$N67:$N70,P67:P70)</f>
        <v>#VALUE!</v>
      </c>
      <c r="AD67" s="68" t="e">
        <f>bdrate($D67:$D70,G67:G70,$N67:$N70,Q67:Q70)</f>
        <v>#VALUE!</v>
      </c>
      <c r="AE67" s="49" t="e">
        <f>bdrateOld($D67:$D70,E67:E70,$N67:$N70,O67:O70)</f>
        <v>#VALUE!</v>
      </c>
      <c r="AF67" s="50" t="e">
        <f>bdrateOld($D67:$D70,F67:F70,$N67:$N70,P67:P70)</f>
        <v>#VALUE!</v>
      </c>
      <c r="AG67" s="52" t="e">
        <f>bdrateOld($D67:$D70,G67:G70,$N67:$N70,Q67:Q70)</f>
        <v>#VALUE!</v>
      </c>
    </row>
    <row r="68" spans="1:33">
      <c r="A68" s="14"/>
      <c r="B68" s="14"/>
      <c r="C68" s="14">
        <v>27</v>
      </c>
      <c r="D68" s="15">
        <f>Reference!B186</f>
        <v>389.1392</v>
      </c>
      <c r="E68" s="16">
        <f>Reference!C186</f>
        <v>36.4403</v>
      </c>
      <c r="F68" s="16">
        <f>Reference!D186</f>
        <v>43.4896</v>
      </c>
      <c r="G68" s="16">
        <f>Reference!E186</f>
        <v>44.8318</v>
      </c>
      <c r="H68" s="16">
        <f>Reference!F186</f>
        <v>13863</v>
      </c>
      <c r="I68" s="16">
        <f>Reference!G186</f>
        <v>12.905</v>
      </c>
      <c r="J68" s="16">
        <f t="shared" si="9"/>
        <v>3.85083333333333</v>
      </c>
      <c r="K68" s="29">
        <f>Reference!H186</f>
        <v>1334440</v>
      </c>
      <c r="L68" s="30">
        <f>Reference!I186</f>
        <v>336852</v>
      </c>
      <c r="M68" s="58"/>
      <c r="N68" s="15">
        <f>Test!B186</f>
        <v>0</v>
      </c>
      <c r="O68" s="16">
        <f>Test!C186</f>
        <v>0</v>
      </c>
      <c r="P68" s="16">
        <f>Test!D186</f>
        <v>0</v>
      </c>
      <c r="Q68" s="16">
        <f>Test!E186</f>
        <v>0</v>
      </c>
      <c r="R68" s="16">
        <f>Test!F186</f>
        <v>0</v>
      </c>
      <c r="S68" s="16">
        <f>Test!G186</f>
        <v>0</v>
      </c>
      <c r="T68" s="16">
        <f t="shared" si="10"/>
        <v>0</v>
      </c>
      <c r="U68" s="29">
        <f>Test!H186</f>
        <v>0</v>
      </c>
      <c r="V68" s="30">
        <f>Test!I186</f>
        <v>0</v>
      </c>
      <c r="W68" s="16">
        <f t="shared" si="11"/>
        <v>0</v>
      </c>
      <c r="X68" s="16">
        <f t="shared" si="12"/>
        <v>0</v>
      </c>
      <c r="Y68" s="16">
        <f t="shared" ref="Y68:Z78" si="13">U68/K68</f>
        <v>0</v>
      </c>
      <c r="Z68" s="25">
        <f t="shared" si="13"/>
        <v>0</v>
      </c>
      <c r="AA68" s="58"/>
      <c r="AB68" s="70"/>
      <c r="AC68" s="71"/>
      <c r="AD68" s="71"/>
      <c r="AE68" s="43"/>
      <c r="AF68" s="44"/>
      <c r="AG68" s="45"/>
    </row>
    <row r="69" spans="1:33">
      <c r="A69" s="14"/>
      <c r="B69" s="14"/>
      <c r="C69" s="14">
        <v>32</v>
      </c>
      <c r="D69" s="15">
        <f>Reference!B187</f>
        <v>188.0048</v>
      </c>
      <c r="E69" s="16">
        <f>Reference!C187</f>
        <v>33.8278</v>
      </c>
      <c r="F69" s="16">
        <f>Reference!D187</f>
        <v>41.3363</v>
      </c>
      <c r="G69" s="16">
        <f>Reference!E187</f>
        <v>42.6101</v>
      </c>
      <c r="H69" s="16">
        <f>Reference!F187</f>
        <v>8282</v>
      </c>
      <c r="I69" s="16">
        <f>Reference!G187</f>
        <v>11.418</v>
      </c>
      <c r="J69" s="16">
        <f t="shared" si="9"/>
        <v>2.30055555555556</v>
      </c>
      <c r="K69" s="29">
        <f>Reference!H187</f>
        <v>1332960</v>
      </c>
      <c r="L69" s="30">
        <f>Reference!I187</f>
        <v>336464</v>
      </c>
      <c r="M69" s="58"/>
      <c r="N69" s="15">
        <f>Test!B187</f>
        <v>0</v>
      </c>
      <c r="O69" s="16">
        <f>Test!C187</f>
        <v>0</v>
      </c>
      <c r="P69" s="16">
        <f>Test!D187</f>
        <v>0</v>
      </c>
      <c r="Q69" s="16">
        <f>Test!E187</f>
        <v>0</v>
      </c>
      <c r="R69" s="16">
        <f>Test!F187</f>
        <v>0</v>
      </c>
      <c r="S69" s="16">
        <f>Test!G187</f>
        <v>0</v>
      </c>
      <c r="T69" s="16">
        <f t="shared" si="10"/>
        <v>0</v>
      </c>
      <c r="U69" s="29">
        <f>Test!H187</f>
        <v>0</v>
      </c>
      <c r="V69" s="30">
        <f>Test!I187</f>
        <v>0</v>
      </c>
      <c r="W69" s="16">
        <f t="shared" si="11"/>
        <v>0</v>
      </c>
      <c r="X69" s="16">
        <f t="shared" si="12"/>
        <v>0</v>
      </c>
      <c r="Y69" s="16">
        <f t="shared" si="13"/>
        <v>0</v>
      </c>
      <c r="Z69" s="25">
        <f t="shared" si="13"/>
        <v>0</v>
      </c>
      <c r="AA69" s="58"/>
      <c r="AB69" s="70"/>
      <c r="AC69" s="71"/>
      <c r="AD69" s="71"/>
      <c r="AE69" s="43"/>
      <c r="AF69" s="44"/>
      <c r="AG69" s="45"/>
    </row>
    <row r="70" ht="12.75" customHeight="1" spans="1:33">
      <c r="A70" s="14"/>
      <c r="B70" s="17"/>
      <c r="C70" s="17">
        <v>37</v>
      </c>
      <c r="D70" s="15">
        <f>Reference!B188</f>
        <v>101.7992</v>
      </c>
      <c r="E70" s="16">
        <f>Reference!C188</f>
        <v>31.3658</v>
      </c>
      <c r="F70" s="16">
        <f>Reference!D188</f>
        <v>39.2371</v>
      </c>
      <c r="G70" s="16">
        <f>Reference!E188</f>
        <v>40.3563</v>
      </c>
      <c r="H70" s="16">
        <f>Reference!F188</f>
        <v>5926</v>
      </c>
      <c r="I70" s="16">
        <f>Reference!G188</f>
        <v>10.319</v>
      </c>
      <c r="J70" s="19">
        <f t="shared" si="9"/>
        <v>1.64611111111111</v>
      </c>
      <c r="K70" s="29">
        <f>Reference!H188</f>
        <v>1331504</v>
      </c>
      <c r="L70" s="30">
        <f>Reference!I188</f>
        <v>334448</v>
      </c>
      <c r="M70" s="58"/>
      <c r="N70" s="18">
        <f>Test!B188</f>
        <v>0</v>
      </c>
      <c r="O70" s="19">
        <f>Test!C188</f>
        <v>0</v>
      </c>
      <c r="P70" s="19">
        <f>Test!D188</f>
        <v>0</v>
      </c>
      <c r="Q70" s="19">
        <f>Test!E188</f>
        <v>0</v>
      </c>
      <c r="R70" s="19">
        <f>Test!F188</f>
        <v>0</v>
      </c>
      <c r="S70" s="19">
        <f>Test!G188</f>
        <v>0</v>
      </c>
      <c r="T70" s="19">
        <f t="shared" si="10"/>
        <v>0</v>
      </c>
      <c r="U70" s="29">
        <f>Test!H188</f>
        <v>0</v>
      </c>
      <c r="V70" s="30">
        <f>Test!I188</f>
        <v>0</v>
      </c>
      <c r="W70" s="16">
        <f t="shared" si="11"/>
        <v>0</v>
      </c>
      <c r="X70" s="16">
        <f t="shared" si="12"/>
        <v>0</v>
      </c>
      <c r="Y70" s="16">
        <f t="shared" si="13"/>
        <v>0</v>
      </c>
      <c r="Z70" s="25">
        <f t="shared" si="13"/>
        <v>0</v>
      </c>
      <c r="AA70" s="58"/>
      <c r="AB70" s="73"/>
      <c r="AC70" s="74"/>
      <c r="AD70" s="74"/>
      <c r="AE70" s="46"/>
      <c r="AF70" s="47"/>
      <c r="AG70" s="48"/>
    </row>
    <row r="71" spans="1:33">
      <c r="A71" s="14"/>
      <c r="B71" s="11" t="s">
        <v>58</v>
      </c>
      <c r="C71" s="11">
        <v>22</v>
      </c>
      <c r="D71" s="12">
        <f>Reference!B189</f>
        <v>1085.3032</v>
      </c>
      <c r="E71" s="13">
        <f>Reference!C189</f>
        <v>39.1634</v>
      </c>
      <c r="F71" s="13">
        <f>Reference!D189</f>
        <v>42.7247</v>
      </c>
      <c r="G71" s="13">
        <f>Reference!E189</f>
        <v>44.1563</v>
      </c>
      <c r="H71" s="13">
        <f>Reference!F189</f>
        <v>24193</v>
      </c>
      <c r="I71" s="13">
        <f>Reference!G189</f>
        <v>14.231</v>
      </c>
      <c r="J71" s="13">
        <f t="shared" si="9"/>
        <v>6.72027777777778</v>
      </c>
      <c r="K71" s="27">
        <f>Reference!H189</f>
        <v>1337276</v>
      </c>
      <c r="L71" s="28">
        <f>Reference!I189</f>
        <v>338800</v>
      </c>
      <c r="M71" s="58"/>
      <c r="N71" s="12">
        <f>Test!B189</f>
        <v>0</v>
      </c>
      <c r="O71" s="13">
        <f>Test!C189</f>
        <v>0</v>
      </c>
      <c r="P71" s="13">
        <f>Test!D189</f>
        <v>0</v>
      </c>
      <c r="Q71" s="13">
        <f>Test!E189</f>
        <v>0</v>
      </c>
      <c r="R71" s="13">
        <f>Test!F189</f>
        <v>0</v>
      </c>
      <c r="S71" s="13">
        <f>Test!G189</f>
        <v>0</v>
      </c>
      <c r="T71" s="13">
        <f t="shared" si="10"/>
        <v>0</v>
      </c>
      <c r="U71" s="27">
        <f>Test!H189</f>
        <v>0</v>
      </c>
      <c r="V71" s="28">
        <f>Test!I189</f>
        <v>0</v>
      </c>
      <c r="W71" s="16">
        <f t="shared" si="11"/>
        <v>0</v>
      </c>
      <c r="X71" s="16">
        <f t="shared" si="12"/>
        <v>0</v>
      </c>
      <c r="Y71" s="16">
        <f t="shared" si="13"/>
        <v>0</v>
      </c>
      <c r="Z71" s="25">
        <f t="shared" si="13"/>
        <v>0</v>
      </c>
      <c r="AA71" s="58"/>
      <c r="AB71" s="67" t="e">
        <f>bdrate($D71:$D74,E71:E74,$N71:$N74,O71:O74)</f>
        <v>#VALUE!</v>
      </c>
      <c r="AC71" s="68" t="e">
        <f>bdrate($D71:$D74,F71:F74,$N71:$N74,P71:P74)</f>
        <v>#VALUE!</v>
      </c>
      <c r="AD71" s="68" t="e">
        <f>bdrate($D71:$D74,G71:G74,$N71:$N74,Q71:Q74)</f>
        <v>#VALUE!</v>
      </c>
      <c r="AE71" s="49" t="e">
        <f>bdrateOld($D71:$D74,E71:E74,$N71:$N74,O71:O74)</f>
        <v>#VALUE!</v>
      </c>
      <c r="AF71" s="50" t="e">
        <f>bdrateOld($D71:$D74,F71:F74,$N71:$N74,P71:P74)</f>
        <v>#VALUE!</v>
      </c>
      <c r="AG71" s="52" t="e">
        <f>bdrateOld($D71:$D74,G71:G74,$N71:$N74,Q71:Q74)</f>
        <v>#VALUE!</v>
      </c>
    </row>
    <row r="72" spans="1:33">
      <c r="A72" s="14"/>
      <c r="B72" s="14"/>
      <c r="C72" s="14">
        <v>27</v>
      </c>
      <c r="D72" s="15">
        <f>Reference!B190</f>
        <v>512.9536</v>
      </c>
      <c r="E72" s="16">
        <f>Reference!C190</f>
        <v>36.2072</v>
      </c>
      <c r="F72" s="16">
        <f>Reference!D190</f>
        <v>40.2755</v>
      </c>
      <c r="G72" s="16">
        <f>Reference!E190</f>
        <v>41.4281</v>
      </c>
      <c r="H72" s="16">
        <f>Reference!F190</f>
        <v>17972</v>
      </c>
      <c r="I72" s="16">
        <f>Reference!G190</f>
        <v>12.439</v>
      </c>
      <c r="J72" s="16">
        <f t="shared" si="9"/>
        <v>4.99222222222222</v>
      </c>
      <c r="K72" s="29">
        <f>Reference!H190</f>
        <v>1336464</v>
      </c>
      <c r="L72" s="30">
        <f>Reference!I190</f>
        <v>337996</v>
      </c>
      <c r="M72" s="58"/>
      <c r="N72" s="15">
        <f>Test!B190</f>
        <v>0</v>
      </c>
      <c r="O72" s="16">
        <f>Test!C190</f>
        <v>0</v>
      </c>
      <c r="P72" s="16">
        <f>Test!D190</f>
        <v>0</v>
      </c>
      <c r="Q72" s="16">
        <f>Test!E190</f>
        <v>0</v>
      </c>
      <c r="R72" s="16">
        <f>Test!F190</f>
        <v>0</v>
      </c>
      <c r="S72" s="16">
        <f>Test!G190</f>
        <v>0</v>
      </c>
      <c r="T72" s="16">
        <f t="shared" si="10"/>
        <v>0</v>
      </c>
      <c r="U72" s="29">
        <f>Test!H190</f>
        <v>0</v>
      </c>
      <c r="V72" s="30">
        <f>Test!I190</f>
        <v>0</v>
      </c>
      <c r="W72" s="16">
        <f t="shared" si="11"/>
        <v>0</v>
      </c>
      <c r="X72" s="16">
        <f t="shared" si="12"/>
        <v>0</v>
      </c>
      <c r="Y72" s="16">
        <f t="shared" si="13"/>
        <v>0</v>
      </c>
      <c r="Z72" s="25">
        <f t="shared" si="13"/>
        <v>0</v>
      </c>
      <c r="AA72" s="58"/>
      <c r="AB72" s="70"/>
      <c r="AC72" s="71"/>
      <c r="AD72" s="71"/>
      <c r="AE72" s="43"/>
      <c r="AF72" s="44"/>
      <c r="AG72" s="45"/>
    </row>
    <row r="73" spans="1:33">
      <c r="A73" s="14"/>
      <c r="B73" s="14"/>
      <c r="C73" s="14">
        <v>32</v>
      </c>
      <c r="D73" s="15">
        <f>Reference!B191</f>
        <v>250.3832</v>
      </c>
      <c r="E73" s="16">
        <f>Reference!C191</f>
        <v>33.3137</v>
      </c>
      <c r="F73" s="16">
        <f>Reference!D191</f>
        <v>37.9198</v>
      </c>
      <c r="G73" s="16">
        <f>Reference!E191</f>
        <v>38.7658</v>
      </c>
      <c r="H73" s="16">
        <f>Reference!F191</f>
        <v>13418</v>
      </c>
      <c r="I73" s="16">
        <f>Reference!G191</f>
        <v>9.955</v>
      </c>
      <c r="J73" s="16">
        <f t="shared" si="9"/>
        <v>3.72722222222222</v>
      </c>
      <c r="K73" s="29">
        <f>Reference!H191</f>
        <v>1334740</v>
      </c>
      <c r="L73" s="30">
        <f>Reference!I191</f>
        <v>336760</v>
      </c>
      <c r="M73" s="58"/>
      <c r="N73" s="15">
        <f>Test!B191</f>
        <v>0</v>
      </c>
      <c r="O73" s="16">
        <f>Test!C191</f>
        <v>0</v>
      </c>
      <c r="P73" s="16">
        <f>Test!D191</f>
        <v>0</v>
      </c>
      <c r="Q73" s="16">
        <f>Test!E191</f>
        <v>0</v>
      </c>
      <c r="R73" s="16">
        <f>Test!F191</f>
        <v>0</v>
      </c>
      <c r="S73" s="16">
        <f>Test!G191</f>
        <v>0</v>
      </c>
      <c r="T73" s="16">
        <f t="shared" si="10"/>
        <v>0</v>
      </c>
      <c r="U73" s="29">
        <f>Test!H191</f>
        <v>0</v>
      </c>
      <c r="V73" s="30">
        <f>Test!I191</f>
        <v>0</v>
      </c>
      <c r="W73" s="16">
        <f t="shared" si="11"/>
        <v>0</v>
      </c>
      <c r="X73" s="16">
        <f t="shared" si="12"/>
        <v>0</v>
      </c>
      <c r="Y73" s="16">
        <f t="shared" si="13"/>
        <v>0</v>
      </c>
      <c r="Z73" s="25">
        <f t="shared" si="13"/>
        <v>0</v>
      </c>
      <c r="AA73" s="58"/>
      <c r="AB73" s="70"/>
      <c r="AC73" s="71"/>
      <c r="AD73" s="71"/>
      <c r="AE73" s="43"/>
      <c r="AF73" s="44"/>
      <c r="AG73" s="45"/>
    </row>
    <row r="74" ht="12.75" customHeight="1" spans="1:33">
      <c r="A74" s="14"/>
      <c r="B74" s="17"/>
      <c r="C74" s="17">
        <v>37</v>
      </c>
      <c r="D74" s="15">
        <f>Reference!B192</f>
        <v>122.324</v>
      </c>
      <c r="E74" s="16">
        <f>Reference!C192</f>
        <v>30.557</v>
      </c>
      <c r="F74" s="16">
        <f>Reference!D192</f>
        <v>35.937</v>
      </c>
      <c r="G74" s="16">
        <f>Reference!E192</f>
        <v>36.6135</v>
      </c>
      <c r="H74" s="16">
        <f>Reference!F192</f>
        <v>9280</v>
      </c>
      <c r="I74" s="16">
        <f>Reference!G192</f>
        <v>8.278</v>
      </c>
      <c r="J74" s="19">
        <f t="shared" si="9"/>
        <v>2.57777777777778</v>
      </c>
      <c r="K74" s="29">
        <f>Reference!H192</f>
        <v>1333284</v>
      </c>
      <c r="L74" s="30">
        <f>Reference!I192</f>
        <v>335612</v>
      </c>
      <c r="M74" s="58"/>
      <c r="N74" s="18">
        <f>Test!B192</f>
        <v>0</v>
      </c>
      <c r="O74" s="19">
        <f>Test!C192</f>
        <v>0</v>
      </c>
      <c r="P74" s="19">
        <f>Test!D192</f>
        <v>0</v>
      </c>
      <c r="Q74" s="19">
        <f>Test!E192</f>
        <v>0</v>
      </c>
      <c r="R74" s="19">
        <f>Test!F192</f>
        <v>0</v>
      </c>
      <c r="S74" s="19">
        <f>Test!G192</f>
        <v>0</v>
      </c>
      <c r="T74" s="19">
        <f t="shared" si="10"/>
        <v>0</v>
      </c>
      <c r="U74" s="29">
        <f>Test!H192</f>
        <v>0</v>
      </c>
      <c r="V74" s="30">
        <f>Test!I192</f>
        <v>0</v>
      </c>
      <c r="W74" s="16">
        <f t="shared" si="11"/>
        <v>0</v>
      </c>
      <c r="X74" s="16">
        <f t="shared" si="12"/>
        <v>0</v>
      </c>
      <c r="Y74" s="16">
        <f t="shared" si="13"/>
        <v>0</v>
      </c>
      <c r="Z74" s="25">
        <f t="shared" si="13"/>
        <v>0</v>
      </c>
      <c r="AA74" s="58"/>
      <c r="AB74" s="73"/>
      <c r="AC74" s="74"/>
      <c r="AD74" s="74"/>
      <c r="AE74" s="46"/>
      <c r="AF74" s="47"/>
      <c r="AG74" s="48"/>
    </row>
    <row r="75" spans="1:33">
      <c r="A75" s="14"/>
      <c r="B75" s="11" t="s">
        <v>87</v>
      </c>
      <c r="C75" s="11">
        <v>22</v>
      </c>
      <c r="D75" s="12">
        <f>Reference!B193</f>
        <v>806.9912</v>
      </c>
      <c r="E75" s="13">
        <f>Reference!C193</f>
        <v>40.2281</v>
      </c>
      <c r="F75" s="13">
        <f>Reference!D193</f>
        <v>42.1574</v>
      </c>
      <c r="G75" s="13">
        <f>Reference!E193</f>
        <v>43.3657</v>
      </c>
      <c r="H75" s="13">
        <f>Reference!F193</f>
        <v>22260</v>
      </c>
      <c r="I75" s="13">
        <f>Reference!G193</f>
        <v>10.497</v>
      </c>
      <c r="J75" s="13">
        <f t="shared" si="9"/>
        <v>6.18333333333333</v>
      </c>
      <c r="K75" s="27">
        <f>Reference!H193</f>
        <v>1334136</v>
      </c>
      <c r="L75" s="28">
        <f>Reference!I193</f>
        <v>336460</v>
      </c>
      <c r="M75" s="58"/>
      <c r="N75" s="12">
        <f>Test!B193</f>
        <v>0</v>
      </c>
      <c r="O75" s="13">
        <f>Test!C193</f>
        <v>0</v>
      </c>
      <c r="P75" s="13">
        <f>Test!D193</f>
        <v>0</v>
      </c>
      <c r="Q75" s="13">
        <f>Test!E193</f>
        <v>0</v>
      </c>
      <c r="R75" s="13">
        <f>Test!F193</f>
        <v>0</v>
      </c>
      <c r="S75" s="13">
        <f>Test!G193</f>
        <v>0</v>
      </c>
      <c r="T75" s="13">
        <f t="shared" si="10"/>
        <v>0</v>
      </c>
      <c r="U75" s="27">
        <f>Test!H193</f>
        <v>0</v>
      </c>
      <c r="V75" s="28">
        <f>Test!I193</f>
        <v>0</v>
      </c>
      <c r="W75" s="16">
        <f t="shared" si="11"/>
        <v>0</v>
      </c>
      <c r="X75" s="16">
        <f t="shared" si="12"/>
        <v>0</v>
      </c>
      <c r="Y75" s="16">
        <f t="shared" si="13"/>
        <v>0</v>
      </c>
      <c r="Z75" s="25">
        <f t="shared" si="13"/>
        <v>0</v>
      </c>
      <c r="AA75" s="58"/>
      <c r="AB75" s="67" t="e">
        <f>bdrate($D75:$D78,E75:E78,$N75:$N78,O75:O78)</f>
        <v>#VALUE!</v>
      </c>
      <c r="AC75" s="68" t="e">
        <f>bdrate($D75:$D78,F75:F78,$N75:$N78,P75:P78)</f>
        <v>#VALUE!</v>
      </c>
      <c r="AD75" s="68" t="e">
        <f>bdrate($D75:$D78,G75:G78,$N75:$N78,Q75:Q78)</f>
        <v>#VALUE!</v>
      </c>
      <c r="AE75" s="49" t="e">
        <f>bdrateOld($D75:$D78,E75:E78,$N75:$N78,O75:O78)</f>
        <v>#VALUE!</v>
      </c>
      <c r="AF75" s="50" t="e">
        <f>bdrateOld($D75:$D78,F75:F78,$N75:$N78,P75:P78)</f>
        <v>#VALUE!</v>
      </c>
      <c r="AG75" s="52" t="e">
        <f>bdrateOld($D75:$D78,G75:G78,$N75:$N78,Q75:Q78)</f>
        <v>#VALUE!</v>
      </c>
    </row>
    <row r="76" spans="1:33">
      <c r="A76" s="14"/>
      <c r="B76" s="14"/>
      <c r="C76" s="14">
        <v>27</v>
      </c>
      <c r="D76" s="15">
        <f>Reference!B194</f>
        <v>402.1064</v>
      </c>
      <c r="E76" s="16">
        <f>Reference!C194</f>
        <v>36.6851</v>
      </c>
      <c r="F76" s="16">
        <f>Reference!D194</f>
        <v>39.3189</v>
      </c>
      <c r="G76" s="16">
        <f>Reference!E194</f>
        <v>40.6358</v>
      </c>
      <c r="H76" s="16">
        <f>Reference!F194</f>
        <v>16975</v>
      </c>
      <c r="I76" s="16">
        <f>Reference!G194</f>
        <v>9.012</v>
      </c>
      <c r="J76" s="16">
        <f t="shared" si="9"/>
        <v>4.71527777777778</v>
      </c>
      <c r="K76" s="29">
        <f>Reference!H194</f>
        <v>1333460</v>
      </c>
      <c r="L76" s="30">
        <f>Reference!I194</f>
        <v>336460</v>
      </c>
      <c r="M76" s="58"/>
      <c r="N76" s="15">
        <f>Test!B194</f>
        <v>0</v>
      </c>
      <c r="O76" s="16">
        <f>Test!C194</f>
        <v>0</v>
      </c>
      <c r="P76" s="16">
        <f>Test!D194</f>
        <v>0</v>
      </c>
      <c r="Q76" s="16">
        <f>Test!E194</f>
        <v>0</v>
      </c>
      <c r="R76" s="16">
        <f>Test!F194</f>
        <v>0</v>
      </c>
      <c r="S76" s="16">
        <f>Test!G194</f>
        <v>0</v>
      </c>
      <c r="T76" s="16">
        <f t="shared" si="10"/>
        <v>0</v>
      </c>
      <c r="U76" s="29">
        <f>Test!H194</f>
        <v>0</v>
      </c>
      <c r="V76" s="30">
        <f>Test!I194</f>
        <v>0</v>
      </c>
      <c r="W76" s="16">
        <f t="shared" si="11"/>
        <v>0</v>
      </c>
      <c r="X76" s="16">
        <f t="shared" si="12"/>
        <v>0</v>
      </c>
      <c r="Y76" s="16">
        <f t="shared" si="13"/>
        <v>0</v>
      </c>
      <c r="Z76" s="25">
        <f t="shared" si="13"/>
        <v>0</v>
      </c>
      <c r="AA76" s="58"/>
      <c r="AB76" s="43"/>
      <c r="AC76" s="44"/>
      <c r="AD76" s="44"/>
      <c r="AE76" s="43"/>
      <c r="AF76" s="44"/>
      <c r="AG76" s="45"/>
    </row>
    <row r="77" spans="1:33">
      <c r="A77" s="14"/>
      <c r="B77" s="14"/>
      <c r="C77" s="14">
        <v>32</v>
      </c>
      <c r="D77" s="15">
        <f>Reference!B195</f>
        <v>196.8168</v>
      </c>
      <c r="E77" s="16">
        <f>Reference!C195</f>
        <v>33.2942</v>
      </c>
      <c r="F77" s="16">
        <f>Reference!D195</f>
        <v>37.1185</v>
      </c>
      <c r="G77" s="16">
        <f>Reference!E195</f>
        <v>38.4918</v>
      </c>
      <c r="H77" s="16">
        <f>Reference!F195</f>
        <v>12097</v>
      </c>
      <c r="I77" s="16">
        <f>Reference!G195</f>
        <v>7.264</v>
      </c>
      <c r="J77" s="16">
        <f t="shared" si="9"/>
        <v>3.36027777777778</v>
      </c>
      <c r="K77" s="29">
        <f>Reference!H195</f>
        <v>1332840</v>
      </c>
      <c r="L77" s="30">
        <f>Reference!I195</f>
        <v>334868</v>
      </c>
      <c r="M77" s="58"/>
      <c r="N77" s="15">
        <f>Test!B195</f>
        <v>0</v>
      </c>
      <c r="O77" s="16">
        <f>Test!C195</f>
        <v>0</v>
      </c>
      <c r="P77" s="16">
        <f>Test!D195</f>
        <v>0</v>
      </c>
      <c r="Q77" s="16">
        <f>Test!E195</f>
        <v>0</v>
      </c>
      <c r="R77" s="16">
        <f>Test!F195</f>
        <v>0</v>
      </c>
      <c r="S77" s="16">
        <f>Test!G195</f>
        <v>0</v>
      </c>
      <c r="T77" s="16">
        <f t="shared" si="10"/>
        <v>0</v>
      </c>
      <c r="U77" s="29">
        <f>Test!H195</f>
        <v>0</v>
      </c>
      <c r="V77" s="30">
        <f>Test!I195</f>
        <v>0</v>
      </c>
      <c r="W77" s="16">
        <f t="shared" si="11"/>
        <v>0</v>
      </c>
      <c r="X77" s="16">
        <f t="shared" si="12"/>
        <v>0</v>
      </c>
      <c r="Y77" s="16">
        <f t="shared" si="13"/>
        <v>0</v>
      </c>
      <c r="Z77" s="25">
        <f t="shared" si="13"/>
        <v>0</v>
      </c>
      <c r="AA77" s="58"/>
      <c r="AB77" s="43"/>
      <c r="AC77" s="44"/>
      <c r="AD77" s="44"/>
      <c r="AE77" s="43"/>
      <c r="AF77" s="44"/>
      <c r="AG77" s="45"/>
    </row>
    <row r="78" ht="12.75" customHeight="1" spans="1:33">
      <c r="A78" s="17"/>
      <c r="B78" s="17"/>
      <c r="C78" s="17">
        <v>37</v>
      </c>
      <c r="D78" s="15">
        <f>Reference!B196</f>
        <v>96.6232</v>
      </c>
      <c r="E78" s="16">
        <f>Reference!C196</f>
        <v>30.4066</v>
      </c>
      <c r="F78" s="16">
        <f>Reference!D196</f>
        <v>35.386</v>
      </c>
      <c r="G78" s="16">
        <f>Reference!E196</f>
        <v>36.5292</v>
      </c>
      <c r="H78" s="16">
        <f>Reference!F196</f>
        <v>8173</v>
      </c>
      <c r="I78" s="16">
        <f>Reference!G196</f>
        <v>6.225</v>
      </c>
      <c r="J78" s="19">
        <f t="shared" si="9"/>
        <v>2.27027777777778</v>
      </c>
      <c r="K78" s="29">
        <f>Reference!H196</f>
        <v>1331572</v>
      </c>
      <c r="L78" s="32">
        <f>Reference!I196</f>
        <v>333928</v>
      </c>
      <c r="M78" s="58"/>
      <c r="N78" s="18">
        <f>Test!B196</f>
        <v>0</v>
      </c>
      <c r="O78" s="19">
        <f>Test!C196</f>
        <v>0</v>
      </c>
      <c r="P78" s="19">
        <f>Test!D196</f>
        <v>0</v>
      </c>
      <c r="Q78" s="19">
        <f>Test!E196</f>
        <v>0</v>
      </c>
      <c r="R78" s="19">
        <f>Test!F196</f>
        <v>0</v>
      </c>
      <c r="S78" s="19">
        <f>Test!G196</f>
        <v>0</v>
      </c>
      <c r="T78" s="19">
        <f t="shared" si="10"/>
        <v>0</v>
      </c>
      <c r="U78" s="29">
        <f>Test!H196</f>
        <v>0</v>
      </c>
      <c r="V78" s="32">
        <f>Test!I196</f>
        <v>0</v>
      </c>
      <c r="W78" s="19">
        <f t="shared" si="11"/>
        <v>0</v>
      </c>
      <c r="X78" s="19">
        <f t="shared" si="12"/>
        <v>0</v>
      </c>
      <c r="Y78" s="19">
        <f t="shared" si="13"/>
        <v>0</v>
      </c>
      <c r="Z78" s="26">
        <f t="shared" si="13"/>
        <v>0</v>
      </c>
      <c r="AA78" s="76"/>
      <c r="AB78" s="46"/>
      <c r="AC78" s="47"/>
      <c r="AD78" s="47"/>
      <c r="AE78" s="46"/>
      <c r="AF78" s="47"/>
      <c r="AG78" s="48"/>
    </row>
    <row r="79" spans="1:33">
      <c r="A79" s="11" t="s">
        <v>24</v>
      </c>
      <c r="B79" s="11" t="s">
        <v>88</v>
      </c>
      <c r="C79" s="11">
        <v>22</v>
      </c>
      <c r="D79" s="12"/>
      <c r="E79" s="13"/>
      <c r="F79" s="13"/>
      <c r="G79" s="13"/>
      <c r="H79" s="13"/>
      <c r="I79" s="13"/>
      <c r="J79" s="13"/>
      <c r="K79" s="13"/>
      <c r="L79" s="28"/>
      <c r="N79" s="12"/>
      <c r="O79" s="13"/>
      <c r="P79" s="13"/>
      <c r="Q79" s="13"/>
      <c r="R79" s="13"/>
      <c r="S79" s="13"/>
      <c r="T79" s="13"/>
      <c r="U79" s="13"/>
      <c r="V79" s="28"/>
      <c r="W79" s="13"/>
      <c r="X79" s="13"/>
      <c r="Y79" s="13"/>
      <c r="Z79" s="24"/>
      <c r="AA79" s="38"/>
      <c r="AB79" s="78"/>
      <c r="AC79" s="79"/>
      <c r="AD79" s="80"/>
      <c r="AE79" s="39"/>
      <c r="AF79" s="40"/>
      <c r="AG79" s="41"/>
    </row>
    <row r="80" spans="1:33">
      <c r="A80" s="14" t="s">
        <v>115</v>
      </c>
      <c r="B80" s="14"/>
      <c r="C80" s="14">
        <v>27</v>
      </c>
      <c r="D80" s="15"/>
      <c r="E80" s="16"/>
      <c r="F80" s="16"/>
      <c r="G80" s="16"/>
      <c r="H80" s="16"/>
      <c r="I80" s="16"/>
      <c r="J80" s="16"/>
      <c r="K80" s="16"/>
      <c r="L80" s="30"/>
      <c r="N80" s="15"/>
      <c r="O80" s="16"/>
      <c r="P80" s="16"/>
      <c r="Q80" s="16"/>
      <c r="R80" s="16"/>
      <c r="S80" s="16"/>
      <c r="T80" s="16"/>
      <c r="U80" s="16"/>
      <c r="V80" s="30"/>
      <c r="W80" s="16"/>
      <c r="X80" s="16"/>
      <c r="Y80" s="16"/>
      <c r="Z80" s="25"/>
      <c r="AA80" s="42"/>
      <c r="AB80" s="81"/>
      <c r="AC80" s="82"/>
      <c r="AD80" s="83"/>
      <c r="AE80" s="43"/>
      <c r="AF80" s="44"/>
      <c r="AG80" s="45"/>
    </row>
    <row r="81" spans="1:33">
      <c r="A81" s="14"/>
      <c r="B81" s="14"/>
      <c r="C81" s="14">
        <v>32</v>
      </c>
      <c r="D81" s="15"/>
      <c r="E81" s="16"/>
      <c r="F81" s="16"/>
      <c r="G81" s="16"/>
      <c r="H81" s="16"/>
      <c r="I81" s="16"/>
      <c r="J81" s="16"/>
      <c r="K81" s="16"/>
      <c r="L81" s="30"/>
      <c r="N81" s="15"/>
      <c r="O81" s="16"/>
      <c r="P81" s="16"/>
      <c r="Q81" s="16"/>
      <c r="R81" s="16"/>
      <c r="S81" s="16"/>
      <c r="T81" s="16"/>
      <c r="U81" s="16"/>
      <c r="V81" s="30"/>
      <c r="W81" s="16"/>
      <c r="X81" s="16"/>
      <c r="Y81" s="16"/>
      <c r="Z81" s="25"/>
      <c r="AA81" s="42"/>
      <c r="AB81" s="81"/>
      <c r="AC81" s="82"/>
      <c r="AD81" s="83"/>
      <c r="AE81" s="43"/>
      <c r="AF81" s="44"/>
      <c r="AG81" s="45"/>
    </row>
    <row r="82" ht="12.75" customHeight="1" spans="1:33">
      <c r="A82" s="14"/>
      <c r="B82" s="17"/>
      <c r="C82" s="17">
        <v>37</v>
      </c>
      <c r="D82" s="15"/>
      <c r="E82" s="16"/>
      <c r="F82" s="16"/>
      <c r="G82" s="16"/>
      <c r="H82" s="16"/>
      <c r="I82" s="16"/>
      <c r="J82" s="19"/>
      <c r="K82" s="16"/>
      <c r="L82" s="30"/>
      <c r="N82" s="18"/>
      <c r="O82" s="19"/>
      <c r="P82" s="19"/>
      <c r="Q82" s="19"/>
      <c r="R82" s="19"/>
      <c r="S82" s="19"/>
      <c r="T82" s="19"/>
      <c r="U82" s="19"/>
      <c r="V82" s="32"/>
      <c r="W82" s="16"/>
      <c r="X82" s="16"/>
      <c r="Y82" s="16"/>
      <c r="Z82" s="25"/>
      <c r="AA82" s="42"/>
      <c r="AB82" s="84"/>
      <c r="AC82" s="85"/>
      <c r="AD82" s="86"/>
      <c r="AE82" s="46"/>
      <c r="AF82" s="47"/>
      <c r="AG82" s="48"/>
    </row>
    <row r="83" spans="1:33">
      <c r="A83" s="14"/>
      <c r="B83" s="11" t="s">
        <v>89</v>
      </c>
      <c r="C83" s="11">
        <v>22</v>
      </c>
      <c r="D83" s="12"/>
      <c r="E83" s="13"/>
      <c r="F83" s="13"/>
      <c r="G83" s="13"/>
      <c r="H83" s="13"/>
      <c r="I83" s="13"/>
      <c r="J83" s="13"/>
      <c r="K83" s="13"/>
      <c r="L83" s="28"/>
      <c r="N83" s="12"/>
      <c r="O83" s="13"/>
      <c r="P83" s="13"/>
      <c r="Q83" s="13"/>
      <c r="R83" s="13"/>
      <c r="S83" s="13"/>
      <c r="T83" s="13"/>
      <c r="U83" s="13"/>
      <c r="V83" s="28"/>
      <c r="W83" s="16"/>
      <c r="X83" s="16"/>
      <c r="Y83" s="16"/>
      <c r="Z83" s="25"/>
      <c r="AA83" s="42"/>
      <c r="AB83" s="78"/>
      <c r="AC83" s="79"/>
      <c r="AD83" s="79"/>
      <c r="AE83" s="49"/>
      <c r="AF83" s="50"/>
      <c r="AG83" s="52"/>
    </row>
    <row r="84" spans="1:33">
      <c r="A84" s="14"/>
      <c r="B84" s="14"/>
      <c r="C84" s="14">
        <v>27</v>
      </c>
      <c r="D84" s="15"/>
      <c r="E84" s="16"/>
      <c r="F84" s="16"/>
      <c r="G84" s="16"/>
      <c r="H84" s="16"/>
      <c r="I84" s="16"/>
      <c r="J84" s="16"/>
      <c r="K84" s="16"/>
      <c r="L84" s="30"/>
      <c r="N84" s="15"/>
      <c r="O84" s="16"/>
      <c r="P84" s="16"/>
      <c r="Q84" s="16"/>
      <c r="R84" s="16"/>
      <c r="S84" s="16"/>
      <c r="T84" s="16"/>
      <c r="U84" s="16"/>
      <c r="V84" s="30"/>
      <c r="W84" s="16"/>
      <c r="X84" s="16"/>
      <c r="Y84" s="16"/>
      <c r="Z84" s="25"/>
      <c r="AA84" s="42"/>
      <c r="AB84" s="81"/>
      <c r="AC84" s="82"/>
      <c r="AD84" s="82"/>
      <c r="AE84" s="43"/>
      <c r="AF84" s="44"/>
      <c r="AG84" s="45"/>
    </row>
    <row r="85" spans="1:33">
      <c r="A85" s="14"/>
      <c r="B85" s="14"/>
      <c r="C85" s="14">
        <v>32</v>
      </c>
      <c r="D85" s="15"/>
      <c r="E85" s="16"/>
      <c r="F85" s="16"/>
      <c r="G85" s="16"/>
      <c r="H85" s="16"/>
      <c r="I85" s="16"/>
      <c r="J85" s="16"/>
      <c r="K85" s="16"/>
      <c r="L85" s="30"/>
      <c r="N85" s="15"/>
      <c r="O85" s="16"/>
      <c r="P85" s="16"/>
      <c r="Q85" s="16"/>
      <c r="R85" s="16"/>
      <c r="S85" s="16"/>
      <c r="T85" s="16"/>
      <c r="U85" s="16"/>
      <c r="V85" s="30"/>
      <c r="W85" s="16"/>
      <c r="X85" s="16"/>
      <c r="Y85" s="16"/>
      <c r="Z85" s="25"/>
      <c r="AA85" s="42"/>
      <c r="AB85" s="81"/>
      <c r="AC85" s="82"/>
      <c r="AD85" s="82"/>
      <c r="AE85" s="43"/>
      <c r="AF85" s="44"/>
      <c r="AG85" s="45"/>
    </row>
    <row r="86" ht="12.75" customHeight="1" spans="1:33">
      <c r="A86" s="14"/>
      <c r="B86" s="17"/>
      <c r="C86" s="17">
        <v>37</v>
      </c>
      <c r="D86" s="15"/>
      <c r="E86" s="16"/>
      <c r="F86" s="16"/>
      <c r="G86" s="16"/>
      <c r="H86" s="16"/>
      <c r="I86" s="16"/>
      <c r="J86" s="19"/>
      <c r="K86" s="16"/>
      <c r="L86" s="30"/>
      <c r="N86" s="18"/>
      <c r="O86" s="19"/>
      <c r="P86" s="19"/>
      <c r="Q86" s="19"/>
      <c r="R86" s="19"/>
      <c r="S86" s="19"/>
      <c r="T86" s="19"/>
      <c r="U86" s="19"/>
      <c r="V86" s="32"/>
      <c r="W86" s="16"/>
      <c r="X86" s="16"/>
      <c r="Y86" s="16"/>
      <c r="Z86" s="25"/>
      <c r="AA86" s="42"/>
      <c r="AB86" s="84"/>
      <c r="AC86" s="85"/>
      <c r="AD86" s="85"/>
      <c r="AE86" s="46"/>
      <c r="AF86" s="47"/>
      <c r="AG86" s="48"/>
    </row>
    <row r="87" spans="1:33">
      <c r="A87" s="14"/>
      <c r="B87" s="11" t="s">
        <v>90</v>
      </c>
      <c r="C87" s="11">
        <v>22</v>
      </c>
      <c r="D87" s="12"/>
      <c r="E87" s="13"/>
      <c r="F87" s="13"/>
      <c r="G87" s="13"/>
      <c r="H87" s="13"/>
      <c r="I87" s="13"/>
      <c r="J87" s="13"/>
      <c r="K87" s="13"/>
      <c r="L87" s="28"/>
      <c r="N87" s="12"/>
      <c r="O87" s="13"/>
      <c r="P87" s="13"/>
      <c r="Q87" s="13"/>
      <c r="R87" s="13"/>
      <c r="S87" s="13"/>
      <c r="T87" s="13"/>
      <c r="U87" s="13"/>
      <c r="V87" s="28"/>
      <c r="W87" s="16"/>
      <c r="X87" s="16"/>
      <c r="Y87" s="16"/>
      <c r="Z87" s="25"/>
      <c r="AA87" s="42"/>
      <c r="AB87" s="78"/>
      <c r="AC87" s="79"/>
      <c r="AD87" s="79"/>
      <c r="AE87" s="49"/>
      <c r="AF87" s="50"/>
      <c r="AG87" s="52"/>
    </row>
    <row r="88" spans="1:33">
      <c r="A88" s="14"/>
      <c r="B88" s="14"/>
      <c r="C88" s="14">
        <v>27</v>
      </c>
      <c r="D88" s="15"/>
      <c r="E88" s="16"/>
      <c r="F88" s="16"/>
      <c r="G88" s="16"/>
      <c r="H88" s="16"/>
      <c r="I88" s="16"/>
      <c r="J88" s="16"/>
      <c r="K88" s="16"/>
      <c r="L88" s="30"/>
      <c r="N88" s="15"/>
      <c r="O88" s="16"/>
      <c r="P88" s="16"/>
      <c r="Q88" s="16"/>
      <c r="R88" s="16"/>
      <c r="S88" s="16"/>
      <c r="T88" s="16"/>
      <c r="U88" s="16"/>
      <c r="V88" s="30"/>
      <c r="W88" s="16"/>
      <c r="X88" s="16"/>
      <c r="Y88" s="16"/>
      <c r="Z88" s="25"/>
      <c r="AA88" s="42"/>
      <c r="AB88" s="81"/>
      <c r="AC88" s="82"/>
      <c r="AD88" s="82"/>
      <c r="AE88" s="43"/>
      <c r="AF88" s="44"/>
      <c r="AG88" s="45"/>
    </row>
    <row r="89" spans="1:33">
      <c r="A89" s="14"/>
      <c r="B89" s="14"/>
      <c r="C89" s="14">
        <v>32</v>
      </c>
      <c r="D89" s="15"/>
      <c r="E89" s="16"/>
      <c r="F89" s="16"/>
      <c r="G89" s="16"/>
      <c r="H89" s="16"/>
      <c r="I89" s="16"/>
      <c r="J89" s="16"/>
      <c r="K89" s="16"/>
      <c r="L89" s="30"/>
      <c r="N89" s="15"/>
      <c r="O89" s="16"/>
      <c r="P89" s="16"/>
      <c r="Q89" s="16"/>
      <c r="R89" s="16"/>
      <c r="S89" s="16"/>
      <c r="T89" s="16"/>
      <c r="U89" s="16"/>
      <c r="V89" s="30"/>
      <c r="W89" s="16"/>
      <c r="X89" s="16"/>
      <c r="Y89" s="16"/>
      <c r="Z89" s="25"/>
      <c r="AA89" s="42"/>
      <c r="AB89" s="81"/>
      <c r="AC89" s="82"/>
      <c r="AD89" s="82"/>
      <c r="AE89" s="43"/>
      <c r="AF89" s="44"/>
      <c r="AG89" s="45"/>
    </row>
    <row r="90" ht="12.75" customHeight="1" spans="1:33">
      <c r="A90" s="17"/>
      <c r="B90" s="17"/>
      <c r="C90" s="17">
        <v>37</v>
      </c>
      <c r="D90" s="15"/>
      <c r="E90" s="16"/>
      <c r="F90" s="16"/>
      <c r="G90" s="16"/>
      <c r="H90" s="16"/>
      <c r="I90" s="16"/>
      <c r="J90" s="19"/>
      <c r="K90" s="16"/>
      <c r="L90" s="30"/>
      <c r="N90" s="18"/>
      <c r="O90" s="19"/>
      <c r="P90" s="19"/>
      <c r="Q90" s="19"/>
      <c r="R90" s="19"/>
      <c r="S90" s="19"/>
      <c r="T90" s="19"/>
      <c r="U90" s="19"/>
      <c r="V90" s="32"/>
      <c r="W90" s="16"/>
      <c r="X90" s="16"/>
      <c r="Y90" s="16"/>
      <c r="Z90" s="25"/>
      <c r="AA90" s="42"/>
      <c r="AB90" s="84"/>
      <c r="AC90" s="85"/>
      <c r="AD90" s="85"/>
      <c r="AE90" s="46"/>
      <c r="AF90" s="47"/>
      <c r="AG90" s="48"/>
    </row>
    <row r="91" spans="1:33">
      <c r="A91" s="11" t="s">
        <v>28</v>
      </c>
      <c r="B91" s="11" t="s">
        <v>91</v>
      </c>
      <c r="C91" s="11">
        <v>22</v>
      </c>
      <c r="D91" s="12">
        <f>Reference!B209</f>
        <v>2399.8856</v>
      </c>
      <c r="E91" s="13">
        <f>Reference!C209</f>
        <v>42.3828</v>
      </c>
      <c r="F91" s="13">
        <f>Reference!D209</f>
        <v>44.5533</v>
      </c>
      <c r="G91" s="13">
        <f>Reference!E209</f>
        <v>45.4705</v>
      </c>
      <c r="H91" s="13">
        <f>Reference!F209</f>
        <v>46971</v>
      </c>
      <c r="I91" s="13">
        <f>Reference!G209</f>
        <v>33.642</v>
      </c>
      <c r="J91" s="13">
        <f t="shared" ref="J91:J122" si="14">H91/3600</f>
        <v>13.0475</v>
      </c>
      <c r="K91" s="27">
        <f>Reference!H209</f>
        <v>2317452</v>
      </c>
      <c r="L91" s="28">
        <f>Reference!I209</f>
        <v>431868</v>
      </c>
      <c r="N91" s="12">
        <f>Test!B209</f>
        <v>0</v>
      </c>
      <c r="O91" s="13">
        <f>Test!C209</f>
        <v>0</v>
      </c>
      <c r="P91" s="13">
        <f>Test!D209</f>
        <v>0</v>
      </c>
      <c r="Q91" s="13">
        <f>Test!E209</f>
        <v>0</v>
      </c>
      <c r="R91" s="13">
        <f>Test!F209</f>
        <v>0</v>
      </c>
      <c r="S91" s="13">
        <f>Test!G209</f>
        <v>0</v>
      </c>
      <c r="T91" s="13">
        <f t="shared" ref="T91:T122" si="15">R91/3600</f>
        <v>0</v>
      </c>
      <c r="U91" s="27">
        <f>Test!H209</f>
        <v>0</v>
      </c>
      <c r="V91" s="28">
        <f>Test!I209</f>
        <v>0</v>
      </c>
      <c r="W91" s="13">
        <f t="shared" ref="W91:W122" si="16">R91/H91</f>
        <v>0</v>
      </c>
      <c r="X91" s="13">
        <f t="shared" ref="X91:X122" si="17">S91/I91</f>
        <v>0</v>
      </c>
      <c r="Y91" s="13">
        <f>U91/K91</f>
        <v>0</v>
      </c>
      <c r="Z91" s="24">
        <f>V91/L91</f>
        <v>0</v>
      </c>
      <c r="AA91" s="38"/>
      <c r="AB91" s="39" t="e">
        <f>bdrate($D91:$D94,E91:E94,$N91:$N94,O91:O94)</f>
        <v>#VALUE!</v>
      </c>
      <c r="AC91" s="40" t="e">
        <f>bdrate($D91:$D94,F91:F94,$N91:$N94,P91:P94)</f>
        <v>#VALUE!</v>
      </c>
      <c r="AD91" s="41" t="e">
        <f>bdrate($D91:$D94,G91:G94,$N91:$N94,Q91:Q94)</f>
        <v>#VALUE!</v>
      </c>
      <c r="AE91" s="39" t="e">
        <f>bdrateOld($D91:$D94,E91:E94,$N91:$N94,O91:O94)</f>
        <v>#VALUE!</v>
      </c>
      <c r="AF91" s="40" t="e">
        <f>bdrateOld($D91:$D94,F91:F94,$N91:$N94,P91:P94)</f>
        <v>#VALUE!</v>
      </c>
      <c r="AG91" s="41" t="e">
        <f>bdrateOld($D91:$D94,G91:G94,$N91:$N94,Q91:Q94)</f>
        <v>#VALUE!</v>
      </c>
    </row>
    <row r="92" spans="1:33">
      <c r="A92" s="14"/>
      <c r="C92" s="14">
        <v>27</v>
      </c>
      <c r="D92" s="15">
        <f>Reference!B210</f>
        <v>1134.452</v>
      </c>
      <c r="E92" s="16">
        <f>Reference!C210</f>
        <v>39.3626</v>
      </c>
      <c r="F92" s="16">
        <f>Reference!D210</f>
        <v>42.1228</v>
      </c>
      <c r="G92" s="16">
        <f>Reference!E210</f>
        <v>42.5477</v>
      </c>
      <c r="H92" s="16">
        <f>Reference!F210</f>
        <v>33939</v>
      </c>
      <c r="I92" s="16">
        <f>Reference!G210</f>
        <v>28.269</v>
      </c>
      <c r="J92" s="16">
        <f t="shared" si="14"/>
        <v>9.4275</v>
      </c>
      <c r="K92" s="29">
        <f>Reference!H210</f>
        <v>2309628</v>
      </c>
      <c r="L92" s="30">
        <f>Reference!I210</f>
        <v>424288</v>
      </c>
      <c r="N92" s="15">
        <f>Test!B210</f>
        <v>0</v>
      </c>
      <c r="O92" s="16">
        <f>Test!C210</f>
        <v>0</v>
      </c>
      <c r="P92" s="16">
        <f>Test!D210</f>
        <v>0</v>
      </c>
      <c r="Q92" s="16">
        <f>Test!E210</f>
        <v>0</v>
      </c>
      <c r="R92" s="16">
        <f>Test!F210</f>
        <v>0</v>
      </c>
      <c r="S92" s="16">
        <f>Test!G210</f>
        <v>0</v>
      </c>
      <c r="T92" s="16">
        <f t="shared" si="15"/>
        <v>0</v>
      </c>
      <c r="U92" s="29">
        <f>Test!H210</f>
        <v>0</v>
      </c>
      <c r="V92" s="30">
        <f>Test!I210</f>
        <v>0</v>
      </c>
      <c r="W92" s="16">
        <f t="shared" si="16"/>
        <v>0</v>
      </c>
      <c r="X92" s="16">
        <f t="shared" si="17"/>
        <v>0</v>
      </c>
      <c r="Y92" s="16">
        <f t="shared" ref="Y92:Z122" si="18">U92/K92</f>
        <v>0</v>
      </c>
      <c r="Z92" s="25">
        <f t="shared" si="18"/>
        <v>0</v>
      </c>
      <c r="AA92" s="42"/>
      <c r="AB92" s="43"/>
      <c r="AC92" s="44"/>
      <c r="AD92" s="45"/>
      <c r="AE92" s="43"/>
      <c r="AF92" s="44"/>
      <c r="AG92" s="45"/>
    </row>
    <row r="93" spans="1:33">
      <c r="A93" s="14"/>
      <c r="B93" s="14"/>
      <c r="C93" s="14">
        <v>32</v>
      </c>
      <c r="D93" s="15">
        <f>Reference!B211</f>
        <v>578.7024</v>
      </c>
      <c r="E93" s="16">
        <f>Reference!C211</f>
        <v>36.3886</v>
      </c>
      <c r="F93" s="16">
        <f>Reference!D211</f>
        <v>40.0817</v>
      </c>
      <c r="G93" s="16">
        <f>Reference!E211</f>
        <v>40.3316</v>
      </c>
      <c r="H93" s="16">
        <f>Reference!F211</f>
        <v>25357</v>
      </c>
      <c r="I93" s="16">
        <f>Reference!G211</f>
        <v>22.916</v>
      </c>
      <c r="J93" s="16">
        <f t="shared" si="14"/>
        <v>7.04361111111111</v>
      </c>
      <c r="K93" s="29">
        <f>Reference!H211</f>
        <v>2303368</v>
      </c>
      <c r="L93" s="30">
        <f>Reference!I211</f>
        <v>418976</v>
      </c>
      <c r="N93" s="15">
        <f>Test!B211</f>
        <v>0</v>
      </c>
      <c r="O93" s="16">
        <f>Test!C211</f>
        <v>0</v>
      </c>
      <c r="P93" s="16">
        <f>Test!D211</f>
        <v>0</v>
      </c>
      <c r="Q93" s="16">
        <f>Test!E211</f>
        <v>0</v>
      </c>
      <c r="R93" s="16">
        <f>Test!F211</f>
        <v>0</v>
      </c>
      <c r="S93" s="16">
        <f>Test!G211</f>
        <v>0</v>
      </c>
      <c r="T93" s="16">
        <f t="shared" si="15"/>
        <v>0</v>
      </c>
      <c r="U93" s="29">
        <f>Test!H211</f>
        <v>0</v>
      </c>
      <c r="V93" s="30">
        <f>Test!I211</f>
        <v>0</v>
      </c>
      <c r="W93" s="16">
        <f t="shared" si="16"/>
        <v>0</v>
      </c>
      <c r="X93" s="16">
        <f t="shared" si="17"/>
        <v>0</v>
      </c>
      <c r="Y93" s="16">
        <f t="shared" si="18"/>
        <v>0</v>
      </c>
      <c r="Z93" s="25">
        <f t="shared" si="18"/>
        <v>0</v>
      </c>
      <c r="AA93" s="42"/>
      <c r="AB93" s="43"/>
      <c r="AC93" s="44"/>
      <c r="AD93" s="45"/>
      <c r="AE93" s="43"/>
      <c r="AF93" s="44"/>
      <c r="AG93" s="45"/>
    </row>
    <row r="94" ht="12.75" customHeight="1" spans="1:33">
      <c r="A94" s="14"/>
      <c r="B94" s="17"/>
      <c r="C94" s="17">
        <v>37</v>
      </c>
      <c r="D94" s="15">
        <f>Reference!B212</f>
        <v>301.716</v>
      </c>
      <c r="E94" s="16">
        <f>Reference!C212</f>
        <v>33.6121</v>
      </c>
      <c r="F94" s="16">
        <f>Reference!D212</f>
        <v>38.0885</v>
      </c>
      <c r="G94" s="16">
        <f>Reference!E212</f>
        <v>38.1029</v>
      </c>
      <c r="H94" s="16">
        <f>Reference!F212</f>
        <v>18455</v>
      </c>
      <c r="I94" s="16">
        <f>Reference!G212</f>
        <v>20.259</v>
      </c>
      <c r="J94" s="19">
        <f t="shared" si="14"/>
        <v>5.12638888888889</v>
      </c>
      <c r="K94" s="29">
        <f>Reference!H212</f>
        <v>2299100</v>
      </c>
      <c r="L94" s="30">
        <f>Reference!I212</f>
        <v>418072</v>
      </c>
      <c r="N94" s="18">
        <f>Test!B212</f>
        <v>0</v>
      </c>
      <c r="O94" s="19">
        <f>Test!C212</f>
        <v>0</v>
      </c>
      <c r="P94" s="19">
        <f>Test!D212</f>
        <v>0</v>
      </c>
      <c r="Q94" s="19">
        <f>Test!E212</f>
        <v>0</v>
      </c>
      <c r="R94" s="19">
        <f>Test!F212</f>
        <v>0</v>
      </c>
      <c r="S94" s="19">
        <f>Test!G212</f>
        <v>0</v>
      </c>
      <c r="T94" s="19">
        <f t="shared" si="15"/>
        <v>0</v>
      </c>
      <c r="U94" s="29">
        <f>Test!H212</f>
        <v>0</v>
      </c>
      <c r="V94" s="30">
        <f>Test!I212</f>
        <v>0</v>
      </c>
      <c r="W94" s="16">
        <f t="shared" si="16"/>
        <v>0</v>
      </c>
      <c r="X94" s="16">
        <f t="shared" si="17"/>
        <v>0</v>
      </c>
      <c r="Y94" s="16">
        <f t="shared" si="18"/>
        <v>0</v>
      </c>
      <c r="Z94" s="25">
        <f t="shared" si="18"/>
        <v>0</v>
      </c>
      <c r="AA94" s="42"/>
      <c r="AB94" s="46"/>
      <c r="AC94" s="47"/>
      <c r="AD94" s="48"/>
      <c r="AE94" s="46"/>
      <c r="AF94" s="47"/>
      <c r="AG94" s="48"/>
    </row>
    <row r="95" spans="1:33">
      <c r="A95" s="14"/>
      <c r="B95" s="11" t="s">
        <v>116</v>
      </c>
      <c r="C95" s="11">
        <v>22</v>
      </c>
      <c r="D95" s="12">
        <f>Reference!B213</f>
        <v>11019.704</v>
      </c>
      <c r="E95" s="13">
        <f>Reference!C213</f>
        <v>44.2305</v>
      </c>
      <c r="F95" s="13">
        <f>Reference!D213</f>
        <v>46.1434</v>
      </c>
      <c r="G95" s="13">
        <f>Reference!E213</f>
        <v>46.5154</v>
      </c>
      <c r="H95" s="13">
        <f>Reference!F213</f>
        <v>206827</v>
      </c>
      <c r="I95" s="13">
        <f>Reference!G213</f>
        <v>182.823</v>
      </c>
      <c r="J95" s="13">
        <f t="shared" si="14"/>
        <v>57.4519444444444</v>
      </c>
      <c r="K95" s="27">
        <f>Reference!H213</f>
        <v>6112528</v>
      </c>
      <c r="L95" s="28">
        <f>Reference!I213</f>
        <v>992804</v>
      </c>
      <c r="N95" s="12">
        <f>Test!B213</f>
        <v>0</v>
      </c>
      <c r="O95" s="13">
        <f>Test!C213</f>
        <v>0</v>
      </c>
      <c r="P95" s="13">
        <f>Test!D213</f>
        <v>0</v>
      </c>
      <c r="Q95" s="13">
        <f>Test!E213</f>
        <v>0</v>
      </c>
      <c r="R95" s="13">
        <f>Test!F213</f>
        <v>0</v>
      </c>
      <c r="S95" s="13">
        <f>Test!G213</f>
        <v>0</v>
      </c>
      <c r="T95" s="13">
        <f t="shared" si="15"/>
        <v>0</v>
      </c>
      <c r="U95" s="27">
        <f>Test!H213</f>
        <v>0</v>
      </c>
      <c r="V95" s="28">
        <f>Test!I213</f>
        <v>0</v>
      </c>
      <c r="W95" s="16">
        <f t="shared" si="16"/>
        <v>0</v>
      </c>
      <c r="X95" s="16">
        <f t="shared" si="17"/>
        <v>0</v>
      </c>
      <c r="Y95" s="16">
        <f t="shared" si="18"/>
        <v>0</v>
      </c>
      <c r="Z95" s="25">
        <f t="shared" si="18"/>
        <v>0</v>
      </c>
      <c r="AA95" s="42"/>
      <c r="AB95" s="39" t="e">
        <f>bdrate($D95:$D98,E95:E98,$N95:$N98,O95:O98)</f>
        <v>#VALUE!</v>
      </c>
      <c r="AC95" s="40" t="e">
        <f>bdrate($D95:$D98,F95:F98,$N95:$N98,P95:P98)</f>
        <v>#VALUE!</v>
      </c>
      <c r="AD95" s="40" t="e">
        <f>bdrate($D95:$D98,G95:G98,$N95:$N98,Q95:Q98)</f>
        <v>#VALUE!</v>
      </c>
      <c r="AE95" s="49" t="e">
        <f>bdrateOld($D95:$D98,E95:E98,$N95:$N98,O95:O98)</f>
        <v>#VALUE!</v>
      </c>
      <c r="AF95" s="50" t="e">
        <f>bdrateOld($D95:$D98,F95:F98,$N95:$N98,P95:P98)</f>
        <v>#VALUE!</v>
      </c>
      <c r="AG95" s="52" t="e">
        <f>bdrateOld($D95:$D98,G95:G98,$N95:$N98,Q95:Q98)</f>
        <v>#VALUE!</v>
      </c>
    </row>
    <row r="96" spans="1:33">
      <c r="A96" s="14"/>
      <c r="B96" s="14"/>
      <c r="C96" s="14">
        <v>27</v>
      </c>
      <c r="D96" s="15">
        <f>Reference!B214</f>
        <v>4768.7272</v>
      </c>
      <c r="E96" s="16">
        <f>Reference!C214</f>
        <v>40.9474</v>
      </c>
      <c r="F96" s="16">
        <f>Reference!D214</f>
        <v>43.2637</v>
      </c>
      <c r="G96" s="16">
        <f>Reference!E214</f>
        <v>43.5358</v>
      </c>
      <c r="H96" s="16">
        <f>Reference!F214</f>
        <v>144800</v>
      </c>
      <c r="I96" s="16">
        <f>Reference!G214</f>
        <v>147.424</v>
      </c>
      <c r="J96" s="16">
        <f t="shared" si="14"/>
        <v>40.2222222222222</v>
      </c>
      <c r="K96" s="29">
        <f>Reference!H214</f>
        <v>6083460</v>
      </c>
      <c r="L96" s="30">
        <f>Reference!I214</f>
        <v>945660</v>
      </c>
      <c r="N96" s="15">
        <f>Test!B214</f>
        <v>0</v>
      </c>
      <c r="O96" s="16">
        <f>Test!C214</f>
        <v>0</v>
      </c>
      <c r="P96" s="16">
        <f>Test!D214</f>
        <v>0</v>
      </c>
      <c r="Q96" s="16">
        <f>Test!E214</f>
        <v>0</v>
      </c>
      <c r="R96" s="16">
        <f>Test!F214</f>
        <v>0</v>
      </c>
      <c r="S96" s="16">
        <f>Test!G214</f>
        <v>0</v>
      </c>
      <c r="T96" s="16">
        <f t="shared" si="15"/>
        <v>0</v>
      </c>
      <c r="U96" s="29">
        <f>Test!H214</f>
        <v>0</v>
      </c>
      <c r="V96" s="30">
        <f>Test!I214</f>
        <v>0</v>
      </c>
      <c r="W96" s="16">
        <f t="shared" si="16"/>
        <v>0</v>
      </c>
      <c r="X96" s="16">
        <f t="shared" si="17"/>
        <v>0</v>
      </c>
      <c r="Y96" s="16">
        <f t="shared" si="18"/>
        <v>0</v>
      </c>
      <c r="Z96" s="25">
        <f t="shared" si="18"/>
        <v>0</v>
      </c>
      <c r="AA96" s="42"/>
      <c r="AB96" s="43"/>
      <c r="AC96" s="44"/>
      <c r="AD96" s="44"/>
      <c r="AE96" s="43"/>
      <c r="AF96" s="44"/>
      <c r="AG96" s="45"/>
    </row>
    <row r="97" spans="1:33">
      <c r="A97" s="14"/>
      <c r="B97" s="14"/>
      <c r="C97" s="14">
        <v>32</v>
      </c>
      <c r="D97" s="15">
        <f>Reference!B215</f>
        <v>2250.6648</v>
      </c>
      <c r="E97" s="16">
        <f>Reference!C215</f>
        <v>38.0905</v>
      </c>
      <c r="F97" s="16">
        <f>Reference!D215</f>
        <v>40.9302</v>
      </c>
      <c r="G97" s="16">
        <f>Reference!E215</f>
        <v>41.1033</v>
      </c>
      <c r="H97" s="16">
        <f>Reference!F215</f>
        <v>102271</v>
      </c>
      <c r="I97" s="16">
        <f>Reference!G215</f>
        <v>110.047</v>
      </c>
      <c r="J97" s="16">
        <f t="shared" si="14"/>
        <v>28.4086111111111</v>
      </c>
      <c r="K97" s="29">
        <f>Reference!H215</f>
        <v>6055656</v>
      </c>
      <c r="L97" s="30">
        <f>Reference!I215</f>
        <v>889528</v>
      </c>
      <c r="N97" s="15">
        <f>Test!B215</f>
        <v>0</v>
      </c>
      <c r="O97" s="16">
        <f>Test!C215</f>
        <v>0</v>
      </c>
      <c r="P97" s="16">
        <f>Test!D215</f>
        <v>0</v>
      </c>
      <c r="Q97" s="16">
        <f>Test!E215</f>
        <v>0</v>
      </c>
      <c r="R97" s="16">
        <f>Test!F215</f>
        <v>0</v>
      </c>
      <c r="S97" s="16">
        <f>Test!G215</f>
        <v>0</v>
      </c>
      <c r="T97" s="16">
        <f t="shared" si="15"/>
        <v>0</v>
      </c>
      <c r="U97" s="29">
        <f>Test!H215</f>
        <v>0</v>
      </c>
      <c r="V97" s="30">
        <f>Test!I215</f>
        <v>0</v>
      </c>
      <c r="W97" s="16">
        <f t="shared" si="16"/>
        <v>0</v>
      </c>
      <c r="X97" s="16">
        <f t="shared" si="17"/>
        <v>0</v>
      </c>
      <c r="Y97" s="16">
        <f t="shared" si="18"/>
        <v>0</v>
      </c>
      <c r="Z97" s="25">
        <f t="shared" si="18"/>
        <v>0</v>
      </c>
      <c r="AA97" s="42"/>
      <c r="AB97" s="43"/>
      <c r="AC97" s="44"/>
      <c r="AD97" s="44"/>
      <c r="AE97" s="43"/>
      <c r="AF97" s="44"/>
      <c r="AG97" s="45"/>
    </row>
    <row r="98" ht="12.75" customHeight="1" spans="1:33">
      <c r="A98" s="14"/>
      <c r="B98" s="17"/>
      <c r="C98" s="17">
        <v>37</v>
      </c>
      <c r="D98" s="15">
        <f>Reference!B216</f>
        <v>1122.188</v>
      </c>
      <c r="E98" s="16">
        <f>Reference!C216</f>
        <v>35.4215</v>
      </c>
      <c r="F98" s="16">
        <f>Reference!D216</f>
        <v>38.9305</v>
      </c>
      <c r="G98" s="16">
        <f>Reference!E216</f>
        <v>38.9693</v>
      </c>
      <c r="H98" s="16">
        <f>Reference!F216</f>
        <v>74163</v>
      </c>
      <c r="I98" s="16">
        <f>Reference!G216</f>
        <v>88.257</v>
      </c>
      <c r="J98" s="19">
        <f t="shared" si="14"/>
        <v>20.6008333333333</v>
      </c>
      <c r="K98" s="29">
        <f>Reference!H216</f>
        <v>6037212</v>
      </c>
      <c r="L98" s="30">
        <f>Reference!I216</f>
        <v>840048</v>
      </c>
      <c r="N98" s="18">
        <f>Test!B216</f>
        <v>0</v>
      </c>
      <c r="O98" s="19">
        <f>Test!C216</f>
        <v>0</v>
      </c>
      <c r="P98" s="19">
        <f>Test!D216</f>
        <v>0</v>
      </c>
      <c r="Q98" s="19">
        <f>Test!E216</f>
        <v>0</v>
      </c>
      <c r="R98" s="19">
        <f>Test!F216</f>
        <v>0</v>
      </c>
      <c r="S98" s="19">
        <f>Test!G216</f>
        <v>0</v>
      </c>
      <c r="T98" s="19">
        <f t="shared" si="15"/>
        <v>0</v>
      </c>
      <c r="U98" s="29">
        <f>Test!H216</f>
        <v>0</v>
      </c>
      <c r="V98" s="30">
        <f>Test!I216</f>
        <v>0</v>
      </c>
      <c r="W98" s="16">
        <f t="shared" si="16"/>
        <v>0</v>
      </c>
      <c r="X98" s="16">
        <f t="shared" si="17"/>
        <v>0</v>
      </c>
      <c r="Y98" s="16">
        <f t="shared" si="18"/>
        <v>0</v>
      </c>
      <c r="Z98" s="25">
        <f t="shared" si="18"/>
        <v>0</v>
      </c>
      <c r="AA98" s="42"/>
      <c r="AB98" s="46"/>
      <c r="AC98" s="47"/>
      <c r="AD98" s="47"/>
      <c r="AE98" s="46"/>
      <c r="AF98" s="47"/>
      <c r="AG98" s="48"/>
    </row>
    <row r="99" spans="1:33">
      <c r="A99" s="14"/>
      <c r="B99" s="11" t="s">
        <v>93</v>
      </c>
      <c r="C99" s="11">
        <v>22</v>
      </c>
      <c r="D99" s="12">
        <f>Reference!B217</f>
        <v>582.9624</v>
      </c>
      <c r="E99" s="13">
        <f>Reference!C217</f>
        <v>52.9976</v>
      </c>
      <c r="F99" s="13">
        <f>Reference!D217</f>
        <v>51.8368</v>
      </c>
      <c r="G99" s="13">
        <f>Reference!E217</f>
        <v>51.899</v>
      </c>
      <c r="H99" s="13">
        <f>Reference!F217</f>
        <v>10206</v>
      </c>
      <c r="I99" s="13">
        <f>Reference!G217</f>
        <v>5.535</v>
      </c>
      <c r="J99" s="13">
        <f t="shared" si="14"/>
        <v>2.835</v>
      </c>
      <c r="K99" s="27">
        <f>Reference!H217</f>
        <v>4186568</v>
      </c>
      <c r="L99" s="28">
        <f>Reference!I217</f>
        <v>537284</v>
      </c>
      <c r="N99" s="12">
        <f>Test!B217</f>
        <v>0</v>
      </c>
      <c r="O99" s="13">
        <f>Test!C217</f>
        <v>0</v>
      </c>
      <c r="P99" s="13">
        <f>Test!D217</f>
        <v>0</v>
      </c>
      <c r="Q99" s="13">
        <f>Test!E217</f>
        <v>0</v>
      </c>
      <c r="R99" s="13">
        <f>Test!F217</f>
        <v>0</v>
      </c>
      <c r="S99" s="13">
        <f>Test!G217</f>
        <v>0</v>
      </c>
      <c r="T99" s="13">
        <f t="shared" si="15"/>
        <v>0</v>
      </c>
      <c r="U99" s="27">
        <f>Test!H217</f>
        <v>0</v>
      </c>
      <c r="V99" s="28">
        <f>Test!I217</f>
        <v>0</v>
      </c>
      <c r="W99" s="16">
        <f t="shared" si="16"/>
        <v>0</v>
      </c>
      <c r="X99" s="16">
        <f t="shared" si="17"/>
        <v>0</v>
      </c>
      <c r="Y99" s="16">
        <f t="shared" si="18"/>
        <v>0</v>
      </c>
      <c r="Z99" s="25">
        <f t="shared" si="18"/>
        <v>0</v>
      </c>
      <c r="AA99" s="42"/>
      <c r="AB99" s="39" t="e">
        <f>bdrate($D99:$D102,E99:E102,$N99:$N102,O99:O102)</f>
        <v>#VALUE!</v>
      </c>
      <c r="AC99" s="40" t="e">
        <f>bdrate($D99:$D102,F99:F102,$N99:$N102,P99:P102)</f>
        <v>#VALUE!</v>
      </c>
      <c r="AD99" s="40" t="e">
        <f>bdrate($D99:$D102,G99:G102,$N99:$N102,Q99:Q102)</f>
        <v>#VALUE!</v>
      </c>
      <c r="AE99" s="49" t="e">
        <f>bdrateOld($D99:$D102,E99:E102,$N99:$N102,O99:O102)</f>
        <v>#VALUE!</v>
      </c>
      <c r="AF99" s="50" t="e">
        <f>bdrateOld($D99:$D102,F99:F102,$N99:$N102,P99:P102)</f>
        <v>#VALUE!</v>
      </c>
      <c r="AG99" s="52" t="e">
        <f>bdrateOld($D99:$D102,G99:G102,$N99:$N102,Q99:Q102)</f>
        <v>#VALUE!</v>
      </c>
    </row>
    <row r="100" spans="1:33">
      <c r="A100" s="14"/>
      <c r="B100" s="14"/>
      <c r="C100" s="14">
        <v>27</v>
      </c>
      <c r="D100" s="15">
        <f>Reference!B218</f>
        <v>416.0536</v>
      </c>
      <c r="E100" s="16">
        <f>Reference!C218</f>
        <v>49.5038</v>
      </c>
      <c r="F100" s="16">
        <f>Reference!D218</f>
        <v>48.4086</v>
      </c>
      <c r="G100" s="16">
        <f>Reference!E218</f>
        <v>48.4906</v>
      </c>
      <c r="H100" s="16">
        <f>Reference!F218</f>
        <v>9266</v>
      </c>
      <c r="I100" s="16">
        <f>Reference!G218</f>
        <v>5.073</v>
      </c>
      <c r="J100" s="16">
        <f t="shared" si="14"/>
        <v>2.57388888888889</v>
      </c>
      <c r="K100" s="29">
        <f>Reference!H218</f>
        <v>4181132</v>
      </c>
      <c r="L100" s="30">
        <f>Reference!I218</f>
        <v>529848</v>
      </c>
      <c r="N100" s="15">
        <f>Test!B218</f>
        <v>0</v>
      </c>
      <c r="O100" s="16">
        <f>Test!C218</f>
        <v>0</v>
      </c>
      <c r="P100" s="16">
        <f>Test!D218</f>
        <v>0</v>
      </c>
      <c r="Q100" s="16">
        <f>Test!E218</f>
        <v>0</v>
      </c>
      <c r="R100" s="16">
        <f>Test!F218</f>
        <v>0</v>
      </c>
      <c r="S100" s="16">
        <f>Test!G218</f>
        <v>0</v>
      </c>
      <c r="T100" s="16">
        <f t="shared" si="15"/>
        <v>0</v>
      </c>
      <c r="U100" s="29">
        <f>Test!H218</f>
        <v>0</v>
      </c>
      <c r="V100" s="30">
        <f>Test!I218</f>
        <v>0</v>
      </c>
      <c r="W100" s="16">
        <f t="shared" si="16"/>
        <v>0</v>
      </c>
      <c r="X100" s="16">
        <f t="shared" si="17"/>
        <v>0</v>
      </c>
      <c r="Y100" s="16">
        <f t="shared" si="18"/>
        <v>0</v>
      </c>
      <c r="Z100" s="25">
        <f t="shared" si="18"/>
        <v>0</v>
      </c>
      <c r="AA100" s="42"/>
      <c r="AB100" s="43"/>
      <c r="AC100" s="44"/>
      <c r="AD100" s="44"/>
      <c r="AE100" s="43"/>
      <c r="AF100" s="44"/>
      <c r="AG100" s="45"/>
    </row>
    <row r="101" spans="1:33">
      <c r="A101" s="14"/>
      <c r="B101" s="14"/>
      <c r="C101" s="14">
        <v>32</v>
      </c>
      <c r="D101" s="15">
        <f>Reference!B219</f>
        <v>324.9336</v>
      </c>
      <c r="E101" s="16">
        <f>Reference!C219</f>
        <v>45.4559</v>
      </c>
      <c r="F101" s="16">
        <f>Reference!D219</f>
        <v>45.9468</v>
      </c>
      <c r="G101" s="16">
        <f>Reference!E219</f>
        <v>46.0302</v>
      </c>
      <c r="H101" s="16">
        <f>Reference!F219</f>
        <v>8620</v>
      </c>
      <c r="I101" s="16">
        <f>Reference!G219</f>
        <v>5.087</v>
      </c>
      <c r="J101" s="16">
        <f t="shared" si="14"/>
        <v>2.39444444444444</v>
      </c>
      <c r="K101" s="29">
        <f>Reference!H219</f>
        <v>4176048</v>
      </c>
      <c r="L101" s="30">
        <f>Reference!I219</f>
        <v>530604</v>
      </c>
      <c r="N101" s="15">
        <f>Test!B219</f>
        <v>0</v>
      </c>
      <c r="O101" s="16">
        <f>Test!C219</f>
        <v>0</v>
      </c>
      <c r="P101" s="16">
        <f>Test!D219</f>
        <v>0</v>
      </c>
      <c r="Q101" s="16">
        <f>Test!E219</f>
        <v>0</v>
      </c>
      <c r="R101" s="16">
        <f>Test!F219</f>
        <v>0</v>
      </c>
      <c r="S101" s="16">
        <f>Test!G219</f>
        <v>0</v>
      </c>
      <c r="T101" s="16">
        <f t="shared" si="15"/>
        <v>0</v>
      </c>
      <c r="U101" s="29">
        <f>Test!H219</f>
        <v>0</v>
      </c>
      <c r="V101" s="30">
        <f>Test!I219</f>
        <v>0</v>
      </c>
      <c r="W101" s="16">
        <f t="shared" si="16"/>
        <v>0</v>
      </c>
      <c r="X101" s="16">
        <f t="shared" si="17"/>
        <v>0</v>
      </c>
      <c r="Y101" s="16">
        <f t="shared" si="18"/>
        <v>0</v>
      </c>
      <c r="Z101" s="25">
        <f t="shared" si="18"/>
        <v>0</v>
      </c>
      <c r="AA101" s="42"/>
      <c r="AB101" s="43"/>
      <c r="AC101" s="44"/>
      <c r="AD101" s="44"/>
      <c r="AE101" s="43"/>
      <c r="AF101" s="44"/>
      <c r="AG101" s="45"/>
    </row>
    <row r="102" ht="12.75" customHeight="1" spans="1:33">
      <c r="A102" s="14"/>
      <c r="B102" s="17"/>
      <c r="C102" s="17">
        <v>37</v>
      </c>
      <c r="D102" s="15">
        <f>Reference!B220</f>
        <v>258.6272</v>
      </c>
      <c r="E102" s="16">
        <f>Reference!C220</f>
        <v>41.5225</v>
      </c>
      <c r="F102" s="16">
        <f>Reference!D220</f>
        <v>42.7334</v>
      </c>
      <c r="G102" s="16">
        <f>Reference!E220</f>
        <v>43.31</v>
      </c>
      <c r="H102" s="16">
        <f>Reference!F220</f>
        <v>8115</v>
      </c>
      <c r="I102" s="16">
        <f>Reference!G220</f>
        <v>4.853</v>
      </c>
      <c r="J102" s="19">
        <f t="shared" si="14"/>
        <v>2.25416666666667</v>
      </c>
      <c r="K102" s="29">
        <f>Reference!H220</f>
        <v>4176680</v>
      </c>
      <c r="L102" s="30">
        <f>Reference!I220</f>
        <v>532980</v>
      </c>
      <c r="N102" s="18">
        <f>Test!B220</f>
        <v>0</v>
      </c>
      <c r="O102" s="19">
        <f>Test!C220</f>
        <v>0</v>
      </c>
      <c r="P102" s="19">
        <f>Test!D220</f>
        <v>0</v>
      </c>
      <c r="Q102" s="19">
        <f>Test!E220</f>
        <v>0</v>
      </c>
      <c r="R102" s="19">
        <f>Test!F220</f>
        <v>0</v>
      </c>
      <c r="S102" s="19">
        <f>Test!G220</f>
        <v>0</v>
      </c>
      <c r="T102" s="19">
        <f t="shared" si="15"/>
        <v>0</v>
      </c>
      <c r="U102" s="29">
        <f>Test!H220</f>
        <v>0</v>
      </c>
      <c r="V102" s="30">
        <f>Test!I220</f>
        <v>0</v>
      </c>
      <c r="W102" s="16">
        <f t="shared" si="16"/>
        <v>0</v>
      </c>
      <c r="X102" s="16">
        <f t="shared" si="17"/>
        <v>0</v>
      </c>
      <c r="Y102" s="16">
        <f t="shared" si="18"/>
        <v>0</v>
      </c>
      <c r="Z102" s="25">
        <f t="shared" si="18"/>
        <v>0</v>
      </c>
      <c r="AA102" s="42"/>
      <c r="AB102" s="46"/>
      <c r="AC102" s="47"/>
      <c r="AD102" s="47"/>
      <c r="AE102" s="46"/>
      <c r="AF102" s="47"/>
      <c r="AG102" s="48"/>
    </row>
    <row r="103" spans="1:33">
      <c r="A103" s="14"/>
      <c r="B103" s="11" t="s">
        <v>94</v>
      </c>
      <c r="C103" s="11">
        <v>22</v>
      </c>
      <c r="D103" s="12">
        <f>Reference!B221</f>
        <v>383.7837</v>
      </c>
      <c r="E103" s="13">
        <f>Reference!C221</f>
        <v>52.7809</v>
      </c>
      <c r="F103" s="13">
        <f>Reference!D221</f>
        <v>56.4797</v>
      </c>
      <c r="G103" s="13">
        <f>Reference!E221</f>
        <v>57.7296</v>
      </c>
      <c r="H103" s="13">
        <f>Reference!F221</f>
        <v>23375</v>
      </c>
      <c r="I103" s="13">
        <f>Reference!G221</f>
        <v>20.021</v>
      </c>
      <c r="J103" s="13">
        <f t="shared" si="14"/>
        <v>6.49305555555556</v>
      </c>
      <c r="K103" s="27">
        <f>Reference!H221</f>
        <v>4117780</v>
      </c>
      <c r="L103" s="28">
        <f>Reference!I221</f>
        <v>534704</v>
      </c>
      <c r="N103" s="12">
        <f>Test!B221</f>
        <v>0</v>
      </c>
      <c r="O103" s="13">
        <f>Test!C221</f>
        <v>0</v>
      </c>
      <c r="P103" s="13">
        <f>Test!D221</f>
        <v>0</v>
      </c>
      <c r="Q103" s="13">
        <f>Test!E221</f>
        <v>0</v>
      </c>
      <c r="R103" s="13">
        <f>Test!F221</f>
        <v>0</v>
      </c>
      <c r="S103" s="13">
        <f>Test!G221</f>
        <v>0</v>
      </c>
      <c r="T103" s="13">
        <f t="shared" si="15"/>
        <v>0</v>
      </c>
      <c r="U103" s="27">
        <f>Test!H221</f>
        <v>0</v>
      </c>
      <c r="V103" s="28">
        <f>Test!I221</f>
        <v>0</v>
      </c>
      <c r="W103" s="16">
        <f t="shared" si="16"/>
        <v>0</v>
      </c>
      <c r="X103" s="16">
        <f t="shared" si="17"/>
        <v>0</v>
      </c>
      <c r="Y103" s="16">
        <f t="shared" si="18"/>
        <v>0</v>
      </c>
      <c r="Z103" s="25">
        <f t="shared" si="18"/>
        <v>0</v>
      </c>
      <c r="AA103" s="42"/>
      <c r="AB103" s="39" t="e">
        <f>bdrate($D103:$D106,E103:E106,$N103:$N106,O103:O106)</f>
        <v>#VALUE!</v>
      </c>
      <c r="AC103" s="40" t="e">
        <f>bdrate($D103:$D106,F103:F106,$N103:$N106,P103:P106)</f>
        <v>#VALUE!</v>
      </c>
      <c r="AD103" s="40" t="e">
        <f>bdrate($D103:$D106,G103:G106,$N103:$N106,Q103:Q106)</f>
        <v>#VALUE!</v>
      </c>
      <c r="AE103" s="49" t="e">
        <f>bdrateOld($D103:$D106,E103:E106,$N103:$N106,O103:O106)</f>
        <v>#VALUE!</v>
      </c>
      <c r="AF103" s="50" t="e">
        <f>bdrateOld($D103:$D106,F103:F106,$N103:$N106,P103:P106)</f>
        <v>#VALUE!</v>
      </c>
      <c r="AG103" s="52" t="e">
        <f>bdrateOld($D103:$D106,G103:G106,$N103:$N106,Q103:Q106)</f>
        <v>#VALUE!</v>
      </c>
    </row>
    <row r="104" spans="1:33">
      <c r="A104" s="14"/>
      <c r="B104" s="14"/>
      <c r="C104" s="14">
        <v>27</v>
      </c>
      <c r="D104" s="15">
        <f>Reference!B222</f>
        <v>204.1888</v>
      </c>
      <c r="E104" s="16">
        <f>Reference!C222</f>
        <v>49.0643</v>
      </c>
      <c r="F104" s="16">
        <f>Reference!D222</f>
        <v>53.2711</v>
      </c>
      <c r="G104" s="16">
        <f>Reference!E222</f>
        <v>54.8092</v>
      </c>
      <c r="H104" s="16">
        <f>Reference!F222</f>
        <v>20542</v>
      </c>
      <c r="I104" s="16">
        <f>Reference!G222</f>
        <v>18.608</v>
      </c>
      <c r="J104" s="16">
        <f t="shared" si="14"/>
        <v>5.70611111111111</v>
      </c>
      <c r="K104" s="29">
        <f>Reference!H222</f>
        <v>4116020</v>
      </c>
      <c r="L104" s="30">
        <f>Reference!I222</f>
        <v>535768</v>
      </c>
      <c r="N104" s="15">
        <f>Test!B222</f>
        <v>0</v>
      </c>
      <c r="O104" s="16">
        <f>Test!C222</f>
        <v>0</v>
      </c>
      <c r="P104" s="16">
        <f>Test!D222</f>
        <v>0</v>
      </c>
      <c r="Q104" s="16">
        <f>Test!E222</f>
        <v>0</v>
      </c>
      <c r="R104" s="16">
        <f>Test!F222</f>
        <v>0</v>
      </c>
      <c r="S104" s="16">
        <f>Test!G222</f>
        <v>0</v>
      </c>
      <c r="T104" s="16">
        <f t="shared" si="15"/>
        <v>0</v>
      </c>
      <c r="U104" s="29">
        <f>Test!H222</f>
        <v>0</v>
      </c>
      <c r="V104" s="30">
        <f>Test!I222</f>
        <v>0</v>
      </c>
      <c r="W104" s="16">
        <f t="shared" si="16"/>
        <v>0</v>
      </c>
      <c r="X104" s="16">
        <f t="shared" si="17"/>
        <v>0</v>
      </c>
      <c r="Y104" s="16">
        <f t="shared" si="18"/>
        <v>0</v>
      </c>
      <c r="Z104" s="25">
        <f t="shared" si="18"/>
        <v>0</v>
      </c>
      <c r="AA104" s="42"/>
      <c r="AB104" s="43"/>
      <c r="AC104" s="44"/>
      <c r="AD104" s="44"/>
      <c r="AE104" s="43"/>
      <c r="AF104" s="44"/>
      <c r="AG104" s="45"/>
    </row>
    <row r="105" spans="1:33">
      <c r="A105" s="14"/>
      <c r="B105" s="14"/>
      <c r="C105" s="14">
        <v>32</v>
      </c>
      <c r="D105" s="15">
        <f>Reference!B223</f>
        <v>117.7072</v>
      </c>
      <c r="E105" s="16">
        <f>Reference!C223</f>
        <v>45.6294</v>
      </c>
      <c r="F105" s="16">
        <f>Reference!D223</f>
        <v>50.6615</v>
      </c>
      <c r="G105" s="16">
        <f>Reference!E223</f>
        <v>52.4349</v>
      </c>
      <c r="H105" s="16">
        <f>Reference!F223</f>
        <v>17297</v>
      </c>
      <c r="I105" s="16">
        <f>Reference!G223</f>
        <v>17.796</v>
      </c>
      <c r="J105" s="16">
        <f t="shared" si="14"/>
        <v>4.80472222222222</v>
      </c>
      <c r="K105" s="29">
        <f>Reference!H223</f>
        <v>4112232</v>
      </c>
      <c r="L105" s="30">
        <f>Reference!I223</f>
        <v>522556</v>
      </c>
      <c r="N105" s="15">
        <f>Test!B223</f>
        <v>0</v>
      </c>
      <c r="O105" s="16">
        <f>Test!C223</f>
        <v>0</v>
      </c>
      <c r="P105" s="16">
        <f>Test!D223</f>
        <v>0</v>
      </c>
      <c r="Q105" s="16">
        <f>Test!E223</f>
        <v>0</v>
      </c>
      <c r="R105" s="16">
        <f>Test!F223</f>
        <v>0</v>
      </c>
      <c r="S105" s="16">
        <f>Test!G223</f>
        <v>0</v>
      </c>
      <c r="T105" s="16">
        <f t="shared" si="15"/>
        <v>0</v>
      </c>
      <c r="U105" s="29">
        <f>Test!H223</f>
        <v>0</v>
      </c>
      <c r="V105" s="30">
        <f>Test!I223</f>
        <v>0</v>
      </c>
      <c r="W105" s="16">
        <f t="shared" si="16"/>
        <v>0</v>
      </c>
      <c r="X105" s="16">
        <f t="shared" si="17"/>
        <v>0</v>
      </c>
      <c r="Y105" s="16">
        <f t="shared" si="18"/>
        <v>0</v>
      </c>
      <c r="Z105" s="25">
        <f t="shared" si="18"/>
        <v>0</v>
      </c>
      <c r="AA105" s="42"/>
      <c r="AB105" s="43"/>
      <c r="AC105" s="44"/>
      <c r="AD105" s="44"/>
      <c r="AE105" s="43"/>
      <c r="AF105" s="44"/>
      <c r="AG105" s="45"/>
    </row>
    <row r="106" ht="12.75" customHeight="1" spans="1:33">
      <c r="A106" s="17"/>
      <c r="B106" s="17"/>
      <c r="C106" s="17">
        <v>37</v>
      </c>
      <c r="D106" s="15">
        <f>Reference!B224</f>
        <v>73.9997</v>
      </c>
      <c r="E106" s="16">
        <f>Reference!C224</f>
        <v>42.3361</v>
      </c>
      <c r="F106" s="16">
        <f>Reference!D224</f>
        <v>48.2853</v>
      </c>
      <c r="G106" s="16">
        <f>Reference!E224</f>
        <v>50.2632</v>
      </c>
      <c r="H106" s="16">
        <f>Reference!F224</f>
        <v>14204</v>
      </c>
      <c r="I106" s="16">
        <f>Reference!G224</f>
        <v>16.939</v>
      </c>
      <c r="J106" s="19">
        <f t="shared" si="14"/>
        <v>3.94555555555556</v>
      </c>
      <c r="K106" s="29">
        <f>Reference!H224</f>
        <v>4109236</v>
      </c>
      <c r="L106" s="30">
        <f>Reference!I224</f>
        <v>520172</v>
      </c>
      <c r="N106" s="18">
        <f>Test!B224</f>
        <v>0</v>
      </c>
      <c r="O106" s="19">
        <f>Test!C224</f>
        <v>0</v>
      </c>
      <c r="P106" s="19">
        <f>Test!D224</f>
        <v>0</v>
      </c>
      <c r="Q106" s="19">
        <f>Test!E224</f>
        <v>0</v>
      </c>
      <c r="R106" s="19">
        <f>Test!F224</f>
        <v>0</v>
      </c>
      <c r="S106" s="19">
        <f>Test!G224</f>
        <v>0</v>
      </c>
      <c r="T106" s="19">
        <f t="shared" si="15"/>
        <v>0</v>
      </c>
      <c r="U106" s="29">
        <f>Test!H224</f>
        <v>0</v>
      </c>
      <c r="V106" s="30">
        <f>Test!I224</f>
        <v>0</v>
      </c>
      <c r="W106" s="19">
        <f t="shared" si="16"/>
        <v>0</v>
      </c>
      <c r="X106" s="19">
        <f t="shared" si="17"/>
        <v>0</v>
      </c>
      <c r="Y106" s="19">
        <f t="shared" si="18"/>
        <v>0</v>
      </c>
      <c r="Z106" s="26">
        <f t="shared" si="18"/>
        <v>0</v>
      </c>
      <c r="AA106" s="51"/>
      <c r="AB106" s="46"/>
      <c r="AC106" s="47"/>
      <c r="AD106" s="47"/>
      <c r="AE106" s="46"/>
      <c r="AF106" s="47"/>
      <c r="AG106" s="48"/>
    </row>
    <row r="107" spans="1:33">
      <c r="A107" s="11" t="s">
        <v>29</v>
      </c>
      <c r="B107" s="11" t="s">
        <v>117</v>
      </c>
      <c r="C107" s="11">
        <v>22</v>
      </c>
      <c r="D107" s="12">
        <f>Reference!B225</f>
        <v>17899.4368</v>
      </c>
      <c r="E107" s="13">
        <f>Reference!C225</f>
        <v>46.0851</v>
      </c>
      <c r="F107" s="13">
        <f>Reference!D225</f>
        <v>45.1855</v>
      </c>
      <c r="G107" s="13">
        <f>Reference!E225</f>
        <v>45.3497</v>
      </c>
      <c r="H107" s="13">
        <f>Reference!F225</f>
        <v>140544</v>
      </c>
      <c r="I107" s="13">
        <f>Reference!G225</f>
        <v>86.067</v>
      </c>
      <c r="J107" s="13">
        <f t="shared" si="14"/>
        <v>39.04</v>
      </c>
      <c r="K107" s="27">
        <f>Reference!H225</f>
        <v>7609368</v>
      </c>
      <c r="L107" s="28">
        <f>Reference!I225</f>
        <v>894816</v>
      </c>
      <c r="N107" s="12">
        <f>Test!B225</f>
        <v>0</v>
      </c>
      <c r="O107" s="13">
        <f>Test!C225</f>
        <v>0</v>
      </c>
      <c r="P107" s="13">
        <f>Test!D225</f>
        <v>0</v>
      </c>
      <c r="Q107" s="13">
        <f>Test!E225</f>
        <v>0</v>
      </c>
      <c r="R107" s="13">
        <f>Test!F225</f>
        <v>0</v>
      </c>
      <c r="S107" s="13">
        <f>Test!G225</f>
        <v>0</v>
      </c>
      <c r="T107" s="13">
        <f t="shared" si="15"/>
        <v>0</v>
      </c>
      <c r="U107" s="27">
        <f>Test!H225</f>
        <v>0</v>
      </c>
      <c r="V107" s="28">
        <f>Test!I225</f>
        <v>0</v>
      </c>
      <c r="W107" s="13">
        <f t="shared" si="16"/>
        <v>0</v>
      </c>
      <c r="X107" s="13">
        <f t="shared" si="17"/>
        <v>0</v>
      </c>
      <c r="Y107" s="13">
        <f t="shared" si="18"/>
        <v>0</v>
      </c>
      <c r="Z107" s="24">
        <f t="shared" si="18"/>
        <v>0</v>
      </c>
      <c r="AA107" s="38"/>
      <c r="AB107" s="39" t="e">
        <f>bdrate($D107:$D110,E107:E110,$N107:$N110,O107:O110)</f>
        <v>#VALUE!</v>
      </c>
      <c r="AC107" s="40" t="e">
        <f>bdrate($D107:$D110,F107:F110,$N107:$N110,P107:P110)</f>
        <v>#VALUE!</v>
      </c>
      <c r="AD107" s="41" t="e">
        <f>bdrate($D107:$D110,G107:G110,$N107:$N110,Q107:Q110)</f>
        <v>#VALUE!</v>
      </c>
      <c r="AE107" s="39" t="e">
        <f>bdrateOld($D107:$D110,E107:E110,$N107:$N110,O107:O110)</f>
        <v>#VALUE!</v>
      </c>
      <c r="AF107" s="40" t="e">
        <f>bdrateOld($D107:$D110,F107:F110,$N107:$N110,P107:P110)</f>
        <v>#VALUE!</v>
      </c>
      <c r="AG107" s="41" t="e">
        <f>bdrateOld($D107:$D110,G107:G110,$N107:$N110,Q107:Q110)</f>
        <v>#VALUE!</v>
      </c>
    </row>
    <row r="108" spans="1:33">
      <c r="A108" s="14"/>
      <c r="C108" s="14">
        <v>27</v>
      </c>
      <c r="D108" s="15">
        <f>Reference!B226</f>
        <v>9682.1184</v>
      </c>
      <c r="E108" s="16">
        <f>Reference!C226</f>
        <v>41.0911</v>
      </c>
      <c r="F108" s="16">
        <f>Reference!D226</f>
        <v>41.5059</v>
      </c>
      <c r="G108" s="16">
        <f>Reference!E226</f>
        <v>41.8386</v>
      </c>
      <c r="H108" s="16">
        <f>Reference!F226</f>
        <v>120789</v>
      </c>
      <c r="I108" s="16">
        <f>Reference!G226</f>
        <v>94.193</v>
      </c>
      <c r="J108" s="16">
        <f t="shared" si="14"/>
        <v>33.5525</v>
      </c>
      <c r="K108" s="29">
        <f>Reference!H226</f>
        <v>7605992</v>
      </c>
      <c r="L108" s="30">
        <f>Reference!I226</f>
        <v>871656</v>
      </c>
      <c r="N108" s="15">
        <f>Test!B226</f>
        <v>0</v>
      </c>
      <c r="O108" s="16">
        <f>Test!C226</f>
        <v>0</v>
      </c>
      <c r="P108" s="16">
        <f>Test!D226</f>
        <v>0</v>
      </c>
      <c r="Q108" s="16">
        <f>Test!E226</f>
        <v>0</v>
      </c>
      <c r="R108" s="16">
        <f>Test!F226</f>
        <v>0</v>
      </c>
      <c r="S108" s="16">
        <f>Test!G226</f>
        <v>0</v>
      </c>
      <c r="T108" s="16">
        <f t="shared" si="15"/>
        <v>0</v>
      </c>
      <c r="U108" s="29">
        <f>Test!H226</f>
        <v>0</v>
      </c>
      <c r="V108" s="30">
        <f>Test!I226</f>
        <v>0</v>
      </c>
      <c r="W108" s="16">
        <f t="shared" si="16"/>
        <v>0</v>
      </c>
      <c r="X108" s="16">
        <f t="shared" si="17"/>
        <v>0</v>
      </c>
      <c r="Y108" s="16">
        <f t="shared" si="18"/>
        <v>0</v>
      </c>
      <c r="Z108" s="25">
        <f t="shared" si="18"/>
        <v>0</v>
      </c>
      <c r="AA108" s="42"/>
      <c r="AB108" s="43"/>
      <c r="AC108" s="44"/>
      <c r="AD108" s="45"/>
      <c r="AE108" s="43"/>
      <c r="AF108" s="44"/>
      <c r="AG108" s="45"/>
    </row>
    <row r="109" spans="1:33">
      <c r="A109" s="14"/>
      <c r="B109" s="14"/>
      <c r="C109" s="14">
        <v>32</v>
      </c>
      <c r="D109" s="15">
        <f>Reference!B227</f>
        <v>5871.544</v>
      </c>
      <c r="E109" s="16">
        <f>Reference!C227</f>
        <v>37.1225</v>
      </c>
      <c r="F109" s="16">
        <f>Reference!D227</f>
        <v>39.0548</v>
      </c>
      <c r="G109" s="16">
        <f>Reference!E227</f>
        <v>39.5516</v>
      </c>
      <c r="H109" s="16">
        <f>Reference!F227</f>
        <v>100824</v>
      </c>
      <c r="I109" s="16">
        <f>Reference!G227</f>
        <v>94.729</v>
      </c>
      <c r="J109" s="16">
        <f t="shared" si="14"/>
        <v>28.0066666666667</v>
      </c>
      <c r="K109" s="29">
        <f>Reference!H227</f>
        <v>7595380</v>
      </c>
      <c r="L109" s="30">
        <f>Reference!I227</f>
        <v>860836</v>
      </c>
      <c r="N109" s="15">
        <f>Test!B227</f>
        <v>0</v>
      </c>
      <c r="O109" s="16">
        <f>Test!C227</f>
        <v>0</v>
      </c>
      <c r="P109" s="16">
        <f>Test!D227</f>
        <v>0</v>
      </c>
      <c r="Q109" s="16">
        <f>Test!E227</f>
        <v>0</v>
      </c>
      <c r="R109" s="16">
        <f>Test!F227</f>
        <v>0</v>
      </c>
      <c r="S109" s="16">
        <f>Test!G227</f>
        <v>0</v>
      </c>
      <c r="T109" s="16">
        <f t="shared" si="15"/>
        <v>0</v>
      </c>
      <c r="U109" s="29">
        <f>Test!H227</f>
        <v>0</v>
      </c>
      <c r="V109" s="30">
        <f>Test!I227</f>
        <v>0</v>
      </c>
      <c r="W109" s="16">
        <f t="shared" si="16"/>
        <v>0</v>
      </c>
      <c r="X109" s="16">
        <f t="shared" si="17"/>
        <v>0</v>
      </c>
      <c r="Y109" s="16">
        <f t="shared" si="18"/>
        <v>0</v>
      </c>
      <c r="Z109" s="25">
        <f t="shared" si="18"/>
        <v>0</v>
      </c>
      <c r="AA109" s="42"/>
      <c r="AB109" s="43"/>
      <c r="AC109" s="44"/>
      <c r="AD109" s="45"/>
      <c r="AE109" s="43"/>
      <c r="AF109" s="44"/>
      <c r="AG109" s="45"/>
    </row>
    <row r="110" ht="12.75" spans="1:33">
      <c r="A110" s="14"/>
      <c r="B110" s="17"/>
      <c r="C110" s="17">
        <v>37</v>
      </c>
      <c r="D110" s="15">
        <f>Reference!B228</f>
        <v>3401.4976</v>
      </c>
      <c r="E110" s="16">
        <f>Reference!C228</f>
        <v>33.2712</v>
      </c>
      <c r="F110" s="16">
        <f>Reference!D228</f>
        <v>36.1048</v>
      </c>
      <c r="G110" s="16">
        <f>Reference!E228</f>
        <v>36.7521</v>
      </c>
      <c r="H110" s="16">
        <f>Reference!F228</f>
        <v>77070</v>
      </c>
      <c r="I110" s="16">
        <f>Reference!G228</f>
        <v>92.913</v>
      </c>
      <c r="J110" s="19">
        <f t="shared" si="14"/>
        <v>21.4083333333333</v>
      </c>
      <c r="K110" s="29">
        <f>Reference!H228</f>
        <v>7591476</v>
      </c>
      <c r="L110" s="30">
        <f>Reference!I228</f>
        <v>834052</v>
      </c>
      <c r="N110" s="18">
        <f>Test!B228</f>
        <v>0</v>
      </c>
      <c r="O110" s="19">
        <f>Test!C228</f>
        <v>0</v>
      </c>
      <c r="P110" s="19">
        <f>Test!D228</f>
        <v>0</v>
      </c>
      <c r="Q110" s="19">
        <f>Test!E228</f>
        <v>0</v>
      </c>
      <c r="R110" s="19">
        <f>Test!F228</f>
        <v>0</v>
      </c>
      <c r="S110" s="19">
        <f>Test!G228</f>
        <v>0</v>
      </c>
      <c r="T110" s="19">
        <f t="shared" si="15"/>
        <v>0</v>
      </c>
      <c r="U110" s="29">
        <f>Test!H228</f>
        <v>0</v>
      </c>
      <c r="V110" s="30">
        <f>Test!I228</f>
        <v>0</v>
      </c>
      <c r="W110" s="16">
        <f t="shared" si="16"/>
        <v>0</v>
      </c>
      <c r="X110" s="16">
        <f t="shared" si="17"/>
        <v>0</v>
      </c>
      <c r="Y110" s="16">
        <f t="shared" si="18"/>
        <v>0</v>
      </c>
      <c r="Z110" s="25">
        <f t="shared" si="18"/>
        <v>0</v>
      </c>
      <c r="AA110" s="42"/>
      <c r="AB110" s="46"/>
      <c r="AC110" s="47"/>
      <c r="AD110" s="48"/>
      <c r="AE110" s="46"/>
      <c r="AF110" s="47"/>
      <c r="AG110" s="48"/>
    </row>
    <row r="111" spans="1:33">
      <c r="A111" s="14"/>
      <c r="B111" s="11" t="s">
        <v>118</v>
      </c>
      <c r="C111" s="11">
        <v>22</v>
      </c>
      <c r="D111" s="12">
        <f>Reference!B229</f>
        <v>1244.388</v>
      </c>
      <c r="E111" s="13">
        <f>Reference!C229</f>
        <v>57.4059</v>
      </c>
      <c r="F111" s="13">
        <f>Reference!D229</f>
        <v>52.0259</v>
      </c>
      <c r="G111" s="13">
        <f>Reference!E229</f>
        <v>52.0712</v>
      </c>
      <c r="H111" s="13">
        <f>Reference!F229</f>
        <v>60012</v>
      </c>
      <c r="I111" s="13">
        <f>Reference!G229</f>
        <v>68.579</v>
      </c>
      <c r="J111" s="13">
        <f t="shared" si="14"/>
        <v>16.67</v>
      </c>
      <c r="K111" s="27">
        <f>Reference!H229</f>
        <v>7530300</v>
      </c>
      <c r="L111" s="28">
        <f>Reference!I229</f>
        <v>863292</v>
      </c>
      <c r="N111" s="12">
        <f>Test!B229</f>
        <v>0</v>
      </c>
      <c r="O111" s="13">
        <f>Test!C229</f>
        <v>0</v>
      </c>
      <c r="P111" s="13">
        <f>Test!D229</f>
        <v>0</v>
      </c>
      <c r="Q111" s="13">
        <f>Test!E229</f>
        <v>0</v>
      </c>
      <c r="R111" s="13">
        <f>Test!F229</f>
        <v>0</v>
      </c>
      <c r="S111" s="13">
        <f>Test!G229</f>
        <v>0</v>
      </c>
      <c r="T111" s="13">
        <f t="shared" si="15"/>
        <v>0</v>
      </c>
      <c r="U111" s="27">
        <f>Test!H229</f>
        <v>0</v>
      </c>
      <c r="V111" s="28">
        <f>Test!I229</f>
        <v>0</v>
      </c>
      <c r="W111" s="16">
        <f t="shared" si="16"/>
        <v>0</v>
      </c>
      <c r="X111" s="16">
        <f t="shared" si="17"/>
        <v>0</v>
      </c>
      <c r="Y111" s="16">
        <f t="shared" si="18"/>
        <v>0</v>
      </c>
      <c r="Z111" s="25">
        <f t="shared" si="18"/>
        <v>0</v>
      </c>
      <c r="AA111" s="42"/>
      <c r="AB111" s="39" t="e">
        <f>bdrate($D111:$D114,E111:E114,$N111:$N114,O111:O114)</f>
        <v>#VALUE!</v>
      </c>
      <c r="AC111" s="40" t="e">
        <f>bdrate($D111:$D114,F111:F114,$N111:$N114,P111:P114)</f>
        <v>#VALUE!</v>
      </c>
      <c r="AD111" s="40" t="e">
        <f>bdrate($D111:$D114,G111:G114,$N111:$N114,Q111:Q114)</f>
        <v>#VALUE!</v>
      </c>
      <c r="AE111" s="49" t="e">
        <f>bdrateOld($D111:$D114,E111:E114,$N111:$N114,O111:O114)</f>
        <v>#VALUE!</v>
      </c>
      <c r="AF111" s="50" t="e">
        <f>bdrateOld($D111:$D114,F111:F114,$N111:$N114,P111:P114)</f>
        <v>#VALUE!</v>
      </c>
      <c r="AG111" s="52" t="e">
        <f>bdrateOld($D111:$D114,G111:G114,$N111:$N114,Q111:Q114)</f>
        <v>#VALUE!</v>
      </c>
    </row>
    <row r="112" spans="1:33">
      <c r="A112" s="14"/>
      <c r="B112" s="14"/>
      <c r="C112" s="14">
        <v>27</v>
      </c>
      <c r="D112" s="15">
        <f>Reference!B230</f>
        <v>944.1776</v>
      </c>
      <c r="E112" s="16">
        <f>Reference!C230</f>
        <v>52.1036</v>
      </c>
      <c r="F112" s="16">
        <f>Reference!D230</f>
        <v>48.4505</v>
      </c>
      <c r="G112" s="16">
        <f>Reference!E230</f>
        <v>48.4035</v>
      </c>
      <c r="H112" s="16">
        <f>Reference!F230</f>
        <v>61164</v>
      </c>
      <c r="I112" s="16">
        <f>Reference!G230</f>
        <v>45.983</v>
      </c>
      <c r="J112" s="16">
        <f t="shared" si="14"/>
        <v>16.99</v>
      </c>
      <c r="K112" s="29">
        <f>Reference!H230</f>
        <v>7515964</v>
      </c>
      <c r="L112" s="30">
        <f>Reference!I230</f>
        <v>840340</v>
      </c>
      <c r="N112" s="15">
        <f>Test!B230</f>
        <v>0</v>
      </c>
      <c r="O112" s="16">
        <f>Test!C230</f>
        <v>0</v>
      </c>
      <c r="P112" s="16">
        <f>Test!D230</f>
        <v>0</v>
      </c>
      <c r="Q112" s="16">
        <f>Test!E230</f>
        <v>0</v>
      </c>
      <c r="R112" s="16">
        <f>Test!F230</f>
        <v>0</v>
      </c>
      <c r="S112" s="16">
        <f>Test!G230</f>
        <v>0</v>
      </c>
      <c r="T112" s="16">
        <f t="shared" si="15"/>
        <v>0</v>
      </c>
      <c r="U112" s="29">
        <f>Test!H230</f>
        <v>0</v>
      </c>
      <c r="V112" s="30">
        <f>Test!I230</f>
        <v>0</v>
      </c>
      <c r="W112" s="16">
        <f t="shared" si="16"/>
        <v>0</v>
      </c>
      <c r="X112" s="16">
        <f t="shared" si="17"/>
        <v>0</v>
      </c>
      <c r="Y112" s="16">
        <f t="shared" si="18"/>
        <v>0</v>
      </c>
      <c r="Z112" s="25">
        <f t="shared" si="18"/>
        <v>0</v>
      </c>
      <c r="AA112" s="42"/>
      <c r="AB112" s="43"/>
      <c r="AC112" s="44"/>
      <c r="AD112" s="44"/>
      <c r="AE112" s="43"/>
      <c r="AF112" s="44"/>
      <c r="AG112" s="45"/>
    </row>
    <row r="113" ht="12.75" customHeight="1" spans="1:33">
      <c r="A113" s="14"/>
      <c r="B113" s="14"/>
      <c r="C113" s="14">
        <v>32</v>
      </c>
      <c r="D113" s="15">
        <f>Reference!B231</f>
        <v>801.9912</v>
      </c>
      <c r="E113" s="16">
        <f>Reference!C231</f>
        <v>47.5319</v>
      </c>
      <c r="F113" s="16">
        <f>Reference!D231</f>
        <v>45.6484</v>
      </c>
      <c r="G113" s="16">
        <f>Reference!E231</f>
        <v>45.483</v>
      </c>
      <c r="H113" s="16">
        <f>Reference!F231</f>
        <v>57011</v>
      </c>
      <c r="I113" s="16">
        <f>Reference!G231</f>
        <v>53.978</v>
      </c>
      <c r="J113" s="16">
        <f t="shared" si="14"/>
        <v>15.8363888888889</v>
      </c>
      <c r="K113" s="29">
        <f>Reference!H231</f>
        <v>7514824</v>
      </c>
      <c r="L113" s="30">
        <f>Reference!I231</f>
        <v>829004</v>
      </c>
      <c r="N113" s="15">
        <f>Test!B231</f>
        <v>0</v>
      </c>
      <c r="O113" s="16">
        <f>Test!C231</f>
        <v>0</v>
      </c>
      <c r="P113" s="16">
        <f>Test!D231</f>
        <v>0</v>
      </c>
      <c r="Q113" s="16">
        <f>Test!E231</f>
        <v>0</v>
      </c>
      <c r="R113" s="16">
        <f>Test!F231</f>
        <v>0</v>
      </c>
      <c r="S113" s="16">
        <f>Test!G231</f>
        <v>0</v>
      </c>
      <c r="T113" s="16">
        <f t="shared" si="15"/>
        <v>0</v>
      </c>
      <c r="U113" s="29">
        <f>Test!H231</f>
        <v>0</v>
      </c>
      <c r="V113" s="30">
        <f>Test!I231</f>
        <v>0</v>
      </c>
      <c r="W113" s="16">
        <f t="shared" si="16"/>
        <v>0</v>
      </c>
      <c r="X113" s="16">
        <f t="shared" si="17"/>
        <v>0</v>
      </c>
      <c r="Y113" s="16">
        <f t="shared" si="18"/>
        <v>0</v>
      </c>
      <c r="Z113" s="25">
        <f t="shared" si="18"/>
        <v>0</v>
      </c>
      <c r="AA113" s="42"/>
      <c r="AB113" s="43"/>
      <c r="AC113" s="44"/>
      <c r="AD113" s="44"/>
      <c r="AE113" s="43"/>
      <c r="AF113" s="44"/>
      <c r="AG113" s="45"/>
    </row>
    <row r="114" ht="12.75" customHeight="1" spans="1:33">
      <c r="A114" s="14"/>
      <c r="B114" s="17"/>
      <c r="C114" s="17">
        <v>37</v>
      </c>
      <c r="D114" s="15">
        <f>Reference!B232</f>
        <v>690.4584</v>
      </c>
      <c r="E114" s="16">
        <f>Reference!C232</f>
        <v>42.1046</v>
      </c>
      <c r="F114" s="16">
        <f>Reference!D232</f>
        <v>42.3912</v>
      </c>
      <c r="G114" s="16">
        <f>Reference!E232</f>
        <v>42.2494</v>
      </c>
      <c r="H114" s="16">
        <f>Reference!F232</f>
        <v>53582</v>
      </c>
      <c r="I114" s="16">
        <f>Reference!G232</f>
        <v>58.096</v>
      </c>
      <c r="J114" s="19">
        <f t="shared" si="14"/>
        <v>14.8838888888889</v>
      </c>
      <c r="K114" s="29">
        <f>Reference!H232</f>
        <v>7509292</v>
      </c>
      <c r="L114" s="30">
        <f>Reference!I232</f>
        <v>795484</v>
      </c>
      <c r="N114" s="18">
        <f>Test!B232</f>
        <v>0</v>
      </c>
      <c r="O114" s="19">
        <f>Test!C232</f>
        <v>0</v>
      </c>
      <c r="P114" s="19">
        <f>Test!D232</f>
        <v>0</v>
      </c>
      <c r="Q114" s="19">
        <f>Test!E232</f>
        <v>0</v>
      </c>
      <c r="R114" s="19">
        <f>Test!F232</f>
        <v>0</v>
      </c>
      <c r="S114" s="19">
        <f>Test!G232</f>
        <v>0</v>
      </c>
      <c r="T114" s="19">
        <f t="shared" si="15"/>
        <v>0</v>
      </c>
      <c r="U114" s="29">
        <f>Test!H232</f>
        <v>0</v>
      </c>
      <c r="V114" s="30">
        <f>Test!I232</f>
        <v>0</v>
      </c>
      <c r="W114" s="16">
        <f t="shared" si="16"/>
        <v>0</v>
      </c>
      <c r="X114" s="16">
        <f t="shared" si="17"/>
        <v>0</v>
      </c>
      <c r="Y114" s="16">
        <f t="shared" si="18"/>
        <v>0</v>
      </c>
      <c r="Z114" s="25">
        <f t="shared" si="18"/>
        <v>0</v>
      </c>
      <c r="AA114" s="42"/>
      <c r="AB114" s="46"/>
      <c r="AC114" s="47"/>
      <c r="AD114" s="47"/>
      <c r="AE114" s="46"/>
      <c r="AF114" s="47"/>
      <c r="AG114" s="48"/>
    </row>
    <row r="115" spans="1:33">
      <c r="A115" s="14"/>
      <c r="B115" s="11" t="s">
        <v>119</v>
      </c>
      <c r="C115" s="11">
        <v>22</v>
      </c>
      <c r="D115" s="12">
        <f>Reference!B233</f>
        <v>3018.2384</v>
      </c>
      <c r="E115" s="13">
        <f>Reference!C233</f>
        <v>55.5621</v>
      </c>
      <c r="F115" s="13">
        <f>Reference!D233</f>
        <v>53.3517</v>
      </c>
      <c r="G115" s="13">
        <f>Reference!E233</f>
        <v>52.0916</v>
      </c>
      <c r="H115" s="13">
        <f>Reference!F233</f>
        <v>103335</v>
      </c>
      <c r="I115" s="13">
        <f>Reference!G233</f>
        <v>91.683</v>
      </c>
      <c r="J115" s="13">
        <f t="shared" si="14"/>
        <v>28.7041666666667</v>
      </c>
      <c r="K115" s="27">
        <f>Reference!H233</f>
        <v>7428632</v>
      </c>
      <c r="L115" s="28">
        <f>Reference!I233</f>
        <v>874620</v>
      </c>
      <c r="N115" s="12">
        <f>Test!B233</f>
        <v>0</v>
      </c>
      <c r="O115" s="13">
        <f>Test!C233</f>
        <v>0</v>
      </c>
      <c r="P115" s="13">
        <f>Test!D233</f>
        <v>0</v>
      </c>
      <c r="Q115" s="13">
        <f>Test!E233</f>
        <v>0</v>
      </c>
      <c r="R115" s="13">
        <f>Test!F233</f>
        <v>0</v>
      </c>
      <c r="S115" s="13">
        <f>Test!G233</f>
        <v>0</v>
      </c>
      <c r="T115" s="13">
        <f t="shared" si="15"/>
        <v>0</v>
      </c>
      <c r="U115" s="27">
        <f>Test!H233</f>
        <v>0</v>
      </c>
      <c r="V115" s="28">
        <f>Test!I233</f>
        <v>0</v>
      </c>
      <c r="W115" s="16">
        <f t="shared" si="16"/>
        <v>0</v>
      </c>
      <c r="X115" s="16">
        <f t="shared" si="17"/>
        <v>0</v>
      </c>
      <c r="Y115" s="16">
        <f t="shared" si="18"/>
        <v>0</v>
      </c>
      <c r="Z115" s="25">
        <f t="shared" si="18"/>
        <v>0</v>
      </c>
      <c r="AA115" s="42"/>
      <c r="AB115" s="39" t="e">
        <f>bdrate($D115:$D118,E115:E118,$N115:$N118,O115:O118)</f>
        <v>#VALUE!</v>
      </c>
      <c r="AC115" s="40" t="e">
        <f>bdrate($D115:$D118,F115:F118,$N115:$N118,P115:P118)</f>
        <v>#VALUE!</v>
      </c>
      <c r="AD115" s="40" t="e">
        <f>bdrate($D115:$D118,G115:G118,$N115:$N118,Q115:Q118)</f>
        <v>#VALUE!</v>
      </c>
      <c r="AE115" s="49" t="e">
        <f>bdrateOld($D115:$D118,E115:E118,$N115:$N118,O115:O118)</f>
        <v>#VALUE!</v>
      </c>
      <c r="AF115" s="50" t="e">
        <f>bdrateOld($D115:$D118,F115:F118,$N115:$N118,P115:P118)</f>
        <v>#VALUE!</v>
      </c>
      <c r="AG115" s="52" t="e">
        <f>bdrateOld($D115:$D118,G115:G118,$N115:$N118,Q115:Q118)</f>
        <v>#VALUE!</v>
      </c>
    </row>
    <row r="116" spans="1:33">
      <c r="A116" s="14"/>
      <c r="B116" s="14"/>
      <c r="C116" s="14">
        <v>27</v>
      </c>
      <c r="D116" s="15">
        <f>Reference!B234</f>
        <v>2204.4672</v>
      </c>
      <c r="E116" s="16">
        <f>Reference!C234</f>
        <v>50.8208</v>
      </c>
      <c r="F116" s="16">
        <f>Reference!D234</f>
        <v>48.7018</v>
      </c>
      <c r="G116" s="16">
        <f>Reference!E234</f>
        <v>46.7767</v>
      </c>
      <c r="H116" s="16">
        <f>Reference!F234</f>
        <v>95255</v>
      </c>
      <c r="I116" s="16">
        <f>Reference!G234</f>
        <v>89.621</v>
      </c>
      <c r="J116" s="16">
        <f t="shared" si="14"/>
        <v>26.4597222222222</v>
      </c>
      <c r="K116" s="29">
        <f>Reference!H234</f>
        <v>7427256</v>
      </c>
      <c r="L116" s="30">
        <f>Reference!I234</f>
        <v>888340</v>
      </c>
      <c r="N116" s="15">
        <f>Test!B234</f>
        <v>0</v>
      </c>
      <c r="O116" s="16">
        <f>Test!C234</f>
        <v>0</v>
      </c>
      <c r="P116" s="16">
        <f>Test!D234</f>
        <v>0</v>
      </c>
      <c r="Q116" s="16">
        <f>Test!E234</f>
        <v>0</v>
      </c>
      <c r="R116" s="16">
        <f>Test!F234</f>
        <v>0</v>
      </c>
      <c r="S116" s="16">
        <f>Test!G234</f>
        <v>0</v>
      </c>
      <c r="T116" s="16">
        <f t="shared" si="15"/>
        <v>0</v>
      </c>
      <c r="U116" s="29">
        <f>Test!H234</f>
        <v>0</v>
      </c>
      <c r="V116" s="30">
        <f>Test!I234</f>
        <v>0</v>
      </c>
      <c r="W116" s="16">
        <f t="shared" si="16"/>
        <v>0</v>
      </c>
      <c r="X116" s="16">
        <f t="shared" si="17"/>
        <v>0</v>
      </c>
      <c r="Y116" s="16">
        <f t="shared" si="18"/>
        <v>0</v>
      </c>
      <c r="Z116" s="25">
        <f t="shared" si="18"/>
        <v>0</v>
      </c>
      <c r="AA116" s="42"/>
      <c r="AB116" s="43"/>
      <c r="AC116" s="44"/>
      <c r="AD116" s="44"/>
      <c r="AE116" s="43"/>
      <c r="AF116" s="44"/>
      <c r="AG116" s="45"/>
    </row>
    <row r="117" spans="1:33">
      <c r="A117" s="14"/>
      <c r="B117" s="14"/>
      <c r="C117" s="14">
        <v>32</v>
      </c>
      <c r="D117" s="15">
        <f>Reference!B235</f>
        <v>1667.208</v>
      </c>
      <c r="E117" s="16">
        <f>Reference!C235</f>
        <v>45.405</v>
      </c>
      <c r="F117" s="16">
        <f>Reference!D235</f>
        <v>45.0407</v>
      </c>
      <c r="G117" s="16">
        <f>Reference!E235</f>
        <v>42.6039</v>
      </c>
      <c r="H117" s="16">
        <f>Reference!F235</f>
        <v>87306</v>
      </c>
      <c r="I117" s="16">
        <f>Reference!G235</f>
        <v>93.447</v>
      </c>
      <c r="J117" s="16">
        <f t="shared" si="14"/>
        <v>24.2516666666667</v>
      </c>
      <c r="K117" s="29">
        <f>Reference!H235</f>
        <v>7438028</v>
      </c>
      <c r="L117" s="30">
        <f>Reference!I235</f>
        <v>903508</v>
      </c>
      <c r="N117" s="15">
        <f>Test!B235</f>
        <v>0</v>
      </c>
      <c r="O117" s="16">
        <f>Test!C235</f>
        <v>0</v>
      </c>
      <c r="P117" s="16">
        <f>Test!D235</f>
        <v>0</v>
      </c>
      <c r="Q117" s="16">
        <f>Test!E235</f>
        <v>0</v>
      </c>
      <c r="R117" s="16">
        <f>Test!F235</f>
        <v>0</v>
      </c>
      <c r="S117" s="16">
        <f>Test!G235</f>
        <v>0</v>
      </c>
      <c r="T117" s="16">
        <f t="shared" si="15"/>
        <v>0</v>
      </c>
      <c r="U117" s="29">
        <f>Test!H235</f>
        <v>0</v>
      </c>
      <c r="V117" s="30">
        <f>Test!I235</f>
        <v>0</v>
      </c>
      <c r="W117" s="16">
        <f t="shared" si="16"/>
        <v>0</v>
      </c>
      <c r="X117" s="16">
        <f t="shared" si="17"/>
        <v>0</v>
      </c>
      <c r="Y117" s="16">
        <f t="shared" si="18"/>
        <v>0</v>
      </c>
      <c r="Z117" s="25">
        <f t="shared" si="18"/>
        <v>0</v>
      </c>
      <c r="AA117" s="42"/>
      <c r="AB117" s="43"/>
      <c r="AC117" s="44"/>
      <c r="AD117" s="44"/>
      <c r="AE117" s="43"/>
      <c r="AF117" s="44"/>
      <c r="AG117" s="45"/>
    </row>
    <row r="118" ht="12.75" spans="1:33">
      <c r="A118" s="14"/>
      <c r="B118" s="17"/>
      <c r="C118" s="17">
        <v>37</v>
      </c>
      <c r="D118" s="15">
        <f>Reference!B236</f>
        <v>1274.06</v>
      </c>
      <c r="E118" s="16">
        <f>Reference!C236</f>
        <v>40.264</v>
      </c>
      <c r="F118" s="16">
        <f>Reference!D236</f>
        <v>41.3997</v>
      </c>
      <c r="G118" s="16">
        <f>Reference!E236</f>
        <v>39.0528</v>
      </c>
      <c r="H118" s="16">
        <f>Reference!F236</f>
        <v>77227</v>
      </c>
      <c r="I118" s="16">
        <f>Reference!G236</f>
        <v>92.413</v>
      </c>
      <c r="J118" s="16">
        <f t="shared" si="14"/>
        <v>21.4519444444444</v>
      </c>
      <c r="K118" s="29">
        <f>Reference!H236</f>
        <v>7426696</v>
      </c>
      <c r="L118" s="30">
        <f>Reference!I236</f>
        <v>881924</v>
      </c>
      <c r="N118" s="18">
        <f>Test!B236</f>
        <v>0</v>
      </c>
      <c r="O118" s="19">
        <f>Test!C236</f>
        <v>0</v>
      </c>
      <c r="P118" s="19">
        <f>Test!D236</f>
        <v>0</v>
      </c>
      <c r="Q118" s="19">
        <f>Test!E236</f>
        <v>0</v>
      </c>
      <c r="R118" s="19">
        <f>Test!F236</f>
        <v>0</v>
      </c>
      <c r="S118" s="19">
        <f>Test!G236</f>
        <v>0</v>
      </c>
      <c r="T118" s="19">
        <f t="shared" si="15"/>
        <v>0</v>
      </c>
      <c r="U118" s="29">
        <f>Test!H236</f>
        <v>0</v>
      </c>
      <c r="V118" s="30">
        <f>Test!I236</f>
        <v>0</v>
      </c>
      <c r="W118" s="16">
        <f t="shared" si="16"/>
        <v>0</v>
      </c>
      <c r="X118" s="16">
        <f t="shared" si="17"/>
        <v>0</v>
      </c>
      <c r="Y118" s="16">
        <f t="shared" si="18"/>
        <v>0</v>
      </c>
      <c r="Z118" s="25">
        <f t="shared" si="18"/>
        <v>0</v>
      </c>
      <c r="AA118" s="42"/>
      <c r="AB118" s="46"/>
      <c r="AC118" s="47"/>
      <c r="AD118" s="47"/>
      <c r="AE118" s="46"/>
      <c r="AF118" s="47"/>
      <c r="AG118" s="48"/>
    </row>
    <row r="119" spans="1:33">
      <c r="A119" s="14"/>
      <c r="B119" s="11" t="s">
        <v>120</v>
      </c>
      <c r="C119" s="6">
        <v>22</v>
      </c>
      <c r="D119" s="12">
        <f>Reference!B237</f>
        <v>2993.7536</v>
      </c>
      <c r="E119" s="13">
        <f>Reference!C237</f>
        <v>52.2146</v>
      </c>
      <c r="F119" s="13">
        <f>Reference!D237</f>
        <v>51.3051</v>
      </c>
      <c r="G119" s="13">
        <f>Reference!E237</f>
        <v>51.1333</v>
      </c>
      <c r="H119" s="13">
        <f>Reference!F237</f>
        <v>65980</v>
      </c>
      <c r="I119" s="13">
        <f>Reference!G237</f>
        <v>48.46</v>
      </c>
      <c r="J119" s="13">
        <f t="shared" si="14"/>
        <v>18.3277777777778</v>
      </c>
      <c r="K119" s="27">
        <f>Reference!H237</f>
        <v>7853884</v>
      </c>
      <c r="L119" s="28">
        <f>Reference!I237</f>
        <v>890472</v>
      </c>
      <c r="N119" s="12">
        <f>Test!B237</f>
        <v>0</v>
      </c>
      <c r="O119" s="13">
        <f>Test!C237</f>
        <v>0</v>
      </c>
      <c r="P119" s="13">
        <f>Test!D237</f>
        <v>0</v>
      </c>
      <c r="Q119" s="13">
        <f>Test!E237</f>
        <v>0</v>
      </c>
      <c r="R119" s="13">
        <f>Test!F237</f>
        <v>0</v>
      </c>
      <c r="S119" s="13">
        <f>Test!G237</f>
        <v>0</v>
      </c>
      <c r="T119" s="13">
        <f t="shared" si="15"/>
        <v>0</v>
      </c>
      <c r="U119" s="27">
        <f>Test!H237</f>
        <v>0</v>
      </c>
      <c r="V119" s="28">
        <f>Test!I237</f>
        <v>0</v>
      </c>
      <c r="W119" s="16">
        <f t="shared" si="16"/>
        <v>0</v>
      </c>
      <c r="X119" s="16">
        <f t="shared" si="17"/>
        <v>0</v>
      </c>
      <c r="Y119" s="16">
        <f t="shared" si="18"/>
        <v>0</v>
      </c>
      <c r="Z119" s="25">
        <f t="shared" si="18"/>
        <v>0</v>
      </c>
      <c r="AA119" s="42"/>
      <c r="AB119" s="39" t="e">
        <f>bdrate($D119:$D122,E119:E122,$N119:$N122,O119:O122)</f>
        <v>#VALUE!</v>
      </c>
      <c r="AC119" s="40" t="e">
        <f>bdrate($D119:$D122,F119:F122,$N119:$N122,P119:P122)</f>
        <v>#VALUE!</v>
      </c>
      <c r="AD119" s="40" t="e">
        <f>bdrate($D119:$D122,G119:G122,$N119:$N122,Q119:Q122)</f>
        <v>#VALUE!</v>
      </c>
      <c r="AE119" s="49" t="e">
        <f>bdrateOld($D119:$D122,E119:E122,$N119:$N122,O119:O122)</f>
        <v>#VALUE!</v>
      </c>
      <c r="AF119" s="50" t="e">
        <f>bdrateOld($D119:$D122,F119:F122,$N119:$N122,P119:P122)</f>
        <v>#VALUE!</v>
      </c>
      <c r="AG119" s="52" t="e">
        <f>bdrateOld($D119:$D122,G119:G122,$N119:$N122,Q119:Q122)</f>
        <v>#VALUE!</v>
      </c>
    </row>
    <row r="120" spans="1:33">
      <c r="A120" s="14"/>
      <c r="B120" s="14"/>
      <c r="C120" s="65">
        <v>27</v>
      </c>
      <c r="D120" s="15">
        <f>Reference!B238</f>
        <v>2233.7832</v>
      </c>
      <c r="E120" s="16">
        <f>Reference!C238</f>
        <v>47.5552</v>
      </c>
      <c r="F120" s="16">
        <f>Reference!D238</f>
        <v>47.1981</v>
      </c>
      <c r="G120" s="16">
        <f>Reference!E238</f>
        <v>47.1388</v>
      </c>
      <c r="H120" s="16">
        <f>Reference!F238</f>
        <v>64201</v>
      </c>
      <c r="I120" s="16">
        <f>Reference!G238</f>
        <v>38.944</v>
      </c>
      <c r="J120" s="16">
        <f t="shared" si="14"/>
        <v>17.8336111111111</v>
      </c>
      <c r="K120" s="29">
        <f>Reference!H238</f>
        <v>7844824</v>
      </c>
      <c r="L120" s="30">
        <f>Reference!I238</f>
        <v>872464</v>
      </c>
      <c r="N120" s="15">
        <f>Test!B238</f>
        <v>0</v>
      </c>
      <c r="O120" s="16">
        <f>Test!C238</f>
        <v>0</v>
      </c>
      <c r="P120" s="16">
        <f>Test!D238</f>
        <v>0</v>
      </c>
      <c r="Q120" s="16">
        <f>Test!E238</f>
        <v>0</v>
      </c>
      <c r="R120" s="16">
        <f>Test!F238</f>
        <v>0</v>
      </c>
      <c r="S120" s="16">
        <f>Test!G238</f>
        <v>0</v>
      </c>
      <c r="T120" s="16">
        <f t="shared" si="15"/>
        <v>0</v>
      </c>
      <c r="U120" s="29">
        <f>Test!H238</f>
        <v>0</v>
      </c>
      <c r="V120" s="30">
        <f>Test!I238</f>
        <v>0</v>
      </c>
      <c r="W120" s="16">
        <f t="shared" si="16"/>
        <v>0</v>
      </c>
      <c r="X120" s="16">
        <f t="shared" si="17"/>
        <v>0</v>
      </c>
      <c r="Y120" s="16">
        <f t="shared" si="18"/>
        <v>0</v>
      </c>
      <c r="Z120" s="25">
        <f t="shared" si="18"/>
        <v>0</v>
      </c>
      <c r="AA120" s="42"/>
      <c r="AB120" s="43"/>
      <c r="AC120" s="44"/>
      <c r="AD120" s="44"/>
      <c r="AE120" s="43"/>
      <c r="AF120" s="44"/>
      <c r="AG120" s="45"/>
    </row>
    <row r="121" spans="1:33">
      <c r="A121" s="14"/>
      <c r="B121" s="14"/>
      <c r="C121" s="65">
        <v>32</v>
      </c>
      <c r="D121" s="15">
        <f>Reference!B239</f>
        <v>1678.0352</v>
      </c>
      <c r="E121" s="16">
        <f>Reference!C239</f>
        <v>42.7502</v>
      </c>
      <c r="F121" s="16">
        <f>Reference!D239</f>
        <v>44.036</v>
      </c>
      <c r="G121" s="16">
        <f>Reference!E239</f>
        <v>43.9746</v>
      </c>
      <c r="H121" s="16">
        <f>Reference!F239</f>
        <v>61318</v>
      </c>
      <c r="I121" s="16">
        <f>Reference!G239</f>
        <v>39.581</v>
      </c>
      <c r="J121" s="16">
        <f t="shared" si="14"/>
        <v>17.0327777777778</v>
      </c>
      <c r="K121" s="29">
        <f>Reference!H239</f>
        <v>7839404</v>
      </c>
      <c r="L121" s="30">
        <f>Reference!I239</f>
        <v>895176</v>
      </c>
      <c r="N121" s="15">
        <f>Test!B239</f>
        <v>0</v>
      </c>
      <c r="O121" s="16">
        <f>Test!C239</f>
        <v>0</v>
      </c>
      <c r="P121" s="16">
        <f>Test!D239</f>
        <v>0</v>
      </c>
      <c r="Q121" s="16">
        <f>Test!E239</f>
        <v>0</v>
      </c>
      <c r="R121" s="16">
        <f>Test!F239</f>
        <v>0</v>
      </c>
      <c r="S121" s="16">
        <f>Test!G239</f>
        <v>0</v>
      </c>
      <c r="T121" s="16">
        <f t="shared" si="15"/>
        <v>0</v>
      </c>
      <c r="U121" s="29">
        <f>Test!H239</f>
        <v>0</v>
      </c>
      <c r="V121" s="30">
        <f>Test!I239</f>
        <v>0</v>
      </c>
      <c r="W121" s="16">
        <f t="shared" si="16"/>
        <v>0</v>
      </c>
      <c r="X121" s="16">
        <f t="shared" si="17"/>
        <v>0</v>
      </c>
      <c r="Y121" s="16">
        <f t="shared" si="18"/>
        <v>0</v>
      </c>
      <c r="Z121" s="25">
        <f t="shared" si="18"/>
        <v>0</v>
      </c>
      <c r="AA121" s="42"/>
      <c r="AB121" s="43"/>
      <c r="AC121" s="44"/>
      <c r="AD121" s="44"/>
      <c r="AE121" s="43"/>
      <c r="AF121" s="44"/>
      <c r="AG121" s="45"/>
    </row>
    <row r="122" ht="12.75" spans="1:33">
      <c r="A122" s="17"/>
      <c r="B122" s="17"/>
      <c r="C122" s="77">
        <v>37</v>
      </c>
      <c r="D122" s="18">
        <f>Reference!B240</f>
        <v>1256.5904</v>
      </c>
      <c r="E122" s="19">
        <f>Reference!C240</f>
        <v>38.0448</v>
      </c>
      <c r="F122" s="19">
        <f>Reference!D240</f>
        <v>40.8853</v>
      </c>
      <c r="G122" s="19">
        <f>Reference!E240</f>
        <v>40.9927</v>
      </c>
      <c r="H122" s="19">
        <f>Reference!F240</f>
        <v>57585</v>
      </c>
      <c r="I122" s="19">
        <f>Reference!G240</f>
        <v>39.307</v>
      </c>
      <c r="J122" s="19">
        <f t="shared" si="14"/>
        <v>15.9958333333333</v>
      </c>
      <c r="K122" s="31">
        <f>Reference!H240</f>
        <v>7835688</v>
      </c>
      <c r="L122" s="32">
        <f>Reference!I240</f>
        <v>901304</v>
      </c>
      <c r="N122" s="18">
        <f>Test!B240</f>
        <v>0</v>
      </c>
      <c r="O122" s="19">
        <f>Test!C240</f>
        <v>0</v>
      </c>
      <c r="P122" s="19">
        <f>Test!D240</f>
        <v>0</v>
      </c>
      <c r="Q122" s="19">
        <f>Test!E240</f>
        <v>0</v>
      </c>
      <c r="R122" s="19">
        <f>Test!F240</f>
        <v>0</v>
      </c>
      <c r="S122" s="19">
        <f>Test!G240</f>
        <v>0</v>
      </c>
      <c r="T122" s="19">
        <f t="shared" si="15"/>
        <v>0</v>
      </c>
      <c r="U122" s="31">
        <f>Test!H240</f>
        <v>0</v>
      </c>
      <c r="V122" s="32">
        <f>Test!I240</f>
        <v>0</v>
      </c>
      <c r="W122" s="19">
        <f t="shared" si="16"/>
        <v>0</v>
      </c>
      <c r="X122" s="19">
        <f t="shared" si="17"/>
        <v>0</v>
      </c>
      <c r="Y122" s="19">
        <f t="shared" si="18"/>
        <v>0</v>
      </c>
      <c r="Z122" s="26">
        <f t="shared" si="18"/>
        <v>0</v>
      </c>
      <c r="AA122" s="51"/>
      <c r="AB122" s="46"/>
      <c r="AC122" s="47"/>
      <c r="AD122" s="47"/>
      <c r="AE122" s="46"/>
      <c r="AF122" s="47"/>
      <c r="AG122" s="48"/>
    </row>
    <row r="123" spans="2:33">
      <c r="B123" s="2" t="s">
        <v>19</v>
      </c>
      <c r="I123" s="42">
        <f>GEOMEAN(I3:I14)</f>
        <v>238.244685843075</v>
      </c>
      <c r="J123" s="42">
        <f>GEOMEAN(J3:J14)</f>
        <v>238.230967620424</v>
      </c>
      <c r="K123" s="42"/>
      <c r="L123" s="53"/>
      <c r="S123" s="42" t="e">
        <f>GEOMEAN(S3:S14)</f>
        <v>#NUM!</v>
      </c>
      <c r="T123" s="42" t="e">
        <f>GEOMEAN(T3:T14)</f>
        <v>#NUM!</v>
      </c>
      <c r="U123" s="42"/>
      <c r="V123" s="53"/>
      <c r="W123" s="42" t="e">
        <f>GEOMEAN(W3:W14)</f>
        <v>#NUM!</v>
      </c>
      <c r="X123" s="42" t="e">
        <f>GEOMEAN(X3:X14)</f>
        <v>#NUM!</v>
      </c>
      <c r="Y123" s="42" t="e">
        <f>GEOMEAN(Y3:Y14)</f>
        <v>#NUM!</v>
      </c>
      <c r="Z123" s="53" t="e">
        <f>GEOMEAN(Z3:Z14)</f>
        <v>#NUM!</v>
      </c>
      <c r="AB123" s="39" t="e">
        <f t="shared" ref="AB123:AG123" si="19">AVERAGE(AB3:AB14)</f>
        <v>#VALUE!</v>
      </c>
      <c r="AC123" s="40" t="e">
        <f t="shared" si="19"/>
        <v>#VALUE!</v>
      </c>
      <c r="AD123" s="41" t="e">
        <f t="shared" si="19"/>
        <v>#VALUE!</v>
      </c>
      <c r="AE123" s="39" t="e">
        <f t="shared" si="19"/>
        <v>#VALUE!</v>
      </c>
      <c r="AF123" s="40" t="e">
        <f t="shared" si="19"/>
        <v>#VALUE!</v>
      </c>
      <c r="AG123" s="41" t="e">
        <f t="shared" si="19"/>
        <v>#VALUE!</v>
      </c>
    </row>
    <row r="124" spans="2:33">
      <c r="B124" s="2" t="s">
        <v>21</v>
      </c>
      <c r="I124" s="42">
        <f>GEOMEAN(I15:I26)</f>
        <v>340.052070001145</v>
      </c>
      <c r="J124" s="42">
        <f>GEOMEAN(J15:J26)</f>
        <v>220.033662615924</v>
      </c>
      <c r="K124" s="42"/>
      <c r="L124" s="53"/>
      <c r="S124" s="42" t="e">
        <f>GEOMEAN(S15:S26)</f>
        <v>#NUM!</v>
      </c>
      <c r="T124" s="42" t="e">
        <f>GEOMEAN(T15:T26)</f>
        <v>#NUM!</v>
      </c>
      <c r="U124" s="42"/>
      <c r="V124" s="53"/>
      <c r="W124" s="42" t="e">
        <f>GEOMEAN(W15:W26)</f>
        <v>#NUM!</v>
      </c>
      <c r="X124" s="42" t="e">
        <f>GEOMEAN(X15:X26)</f>
        <v>#NUM!</v>
      </c>
      <c r="Y124" s="42" t="e">
        <f>GEOMEAN(Y15:Y26)</f>
        <v>#NUM!</v>
      </c>
      <c r="Z124" s="53" t="e">
        <f>GEOMEAN(Z15:Z26)</f>
        <v>#NUM!</v>
      </c>
      <c r="AB124" s="49" t="e">
        <f t="shared" ref="AB124:AG124" si="20">AVERAGE(AB15:AB26)</f>
        <v>#VALUE!</v>
      </c>
      <c r="AC124" s="50" t="e">
        <f t="shared" si="20"/>
        <v>#VALUE!</v>
      </c>
      <c r="AD124" s="52" t="e">
        <f t="shared" si="20"/>
        <v>#VALUE!</v>
      </c>
      <c r="AE124" s="49" t="e">
        <f t="shared" si="20"/>
        <v>#VALUE!</v>
      </c>
      <c r="AF124" s="50" t="e">
        <f t="shared" si="20"/>
        <v>#VALUE!</v>
      </c>
      <c r="AG124" s="52" t="e">
        <f t="shared" si="20"/>
        <v>#VALUE!</v>
      </c>
    </row>
    <row r="125" spans="2:33">
      <c r="B125" s="2" t="s">
        <v>22</v>
      </c>
      <c r="I125" s="42">
        <f>GEOMEAN(I27:I46)</f>
        <v>134.027375624068</v>
      </c>
      <c r="J125" s="42">
        <f>GEOMEAN(J27:J46)</f>
        <v>100.811013405629</v>
      </c>
      <c r="K125" s="42"/>
      <c r="L125" s="53"/>
      <c r="S125" s="42" t="e">
        <f>GEOMEAN(S27:S46)</f>
        <v>#NUM!</v>
      </c>
      <c r="T125" s="42" t="e">
        <f>GEOMEAN(T27:T46)</f>
        <v>#NUM!</v>
      </c>
      <c r="U125" s="42"/>
      <c r="V125" s="53"/>
      <c r="W125" s="42" t="e">
        <f>GEOMEAN(W27:W46)</f>
        <v>#NUM!</v>
      </c>
      <c r="X125" s="42" t="e">
        <f>GEOMEAN(X27:X46)</f>
        <v>#NUM!</v>
      </c>
      <c r="Y125" s="42" t="e">
        <f>GEOMEAN(Y27:Y46)</f>
        <v>#NUM!</v>
      </c>
      <c r="Z125" s="53" t="e">
        <f>GEOMEAN(Z27:Z46)</f>
        <v>#NUM!</v>
      </c>
      <c r="AB125" s="49" t="e">
        <f t="shared" ref="AB125:AG125" si="21">AVERAGE(AB27:AB46)</f>
        <v>#VALUE!</v>
      </c>
      <c r="AC125" s="50" t="e">
        <f t="shared" si="21"/>
        <v>#VALUE!</v>
      </c>
      <c r="AD125" s="52" t="e">
        <f t="shared" si="21"/>
        <v>#VALUE!</v>
      </c>
      <c r="AE125" s="49" t="e">
        <f t="shared" si="21"/>
        <v>#VALUE!</v>
      </c>
      <c r="AF125" s="50" t="e">
        <f t="shared" si="21"/>
        <v>#VALUE!</v>
      </c>
      <c r="AG125" s="52" t="e">
        <f t="shared" si="21"/>
        <v>#VALUE!</v>
      </c>
    </row>
    <row r="126" spans="2:33">
      <c r="B126" s="2" t="s">
        <v>23</v>
      </c>
      <c r="I126" s="42">
        <f>GEOMEAN(I47:I62)</f>
        <v>27.9225174507736</v>
      </c>
      <c r="J126" s="42">
        <f>GEOMEAN(J47:J62)</f>
        <v>11.9187607474099</v>
      </c>
      <c r="K126" s="42"/>
      <c r="L126" s="53"/>
      <c r="S126" s="42" t="e">
        <f>GEOMEAN(S47:S62)</f>
        <v>#NUM!</v>
      </c>
      <c r="T126" s="42" t="e">
        <f>GEOMEAN(T47:T62)</f>
        <v>#NUM!</v>
      </c>
      <c r="U126" s="42"/>
      <c r="V126" s="53"/>
      <c r="W126" s="42" t="e">
        <f>GEOMEAN(W47:W62)</f>
        <v>#NUM!</v>
      </c>
      <c r="X126" s="42" t="e">
        <f>GEOMEAN(X47:X62)</f>
        <v>#NUM!</v>
      </c>
      <c r="Y126" s="42" t="e">
        <f>GEOMEAN(Y47:Y62)</f>
        <v>#NUM!</v>
      </c>
      <c r="Z126" s="53" t="e">
        <f>GEOMEAN(Z47:Z62)</f>
        <v>#NUM!</v>
      </c>
      <c r="AB126" s="49" t="e">
        <f t="shared" ref="AB126:AG126" si="22">AVERAGE(AB47:AB62)</f>
        <v>#VALUE!</v>
      </c>
      <c r="AC126" s="50" t="e">
        <f t="shared" si="22"/>
        <v>#VALUE!</v>
      </c>
      <c r="AD126" s="52" t="e">
        <f t="shared" si="22"/>
        <v>#VALUE!</v>
      </c>
      <c r="AE126" s="49" t="e">
        <f t="shared" si="22"/>
        <v>#VALUE!</v>
      </c>
      <c r="AF126" s="50" t="e">
        <f t="shared" si="22"/>
        <v>#VALUE!</v>
      </c>
      <c r="AG126" s="52" t="e">
        <f t="shared" si="22"/>
        <v>#VALUE!</v>
      </c>
    </row>
    <row r="127" spans="2:33">
      <c r="B127" s="2" t="s">
        <v>27</v>
      </c>
      <c r="I127" s="42">
        <f>GEOMEAN(I63:I78)</f>
        <v>10.5118222299664</v>
      </c>
      <c r="J127" s="42">
        <f>GEOMEAN(J63:J78)</f>
        <v>4.09646496294913</v>
      </c>
      <c r="K127" s="42"/>
      <c r="L127" s="53"/>
      <c r="S127" s="42" t="e">
        <f>GEOMEAN(S63:S78)</f>
        <v>#NUM!</v>
      </c>
      <c r="T127" s="42" t="e">
        <f>GEOMEAN(T63:T78)</f>
        <v>#NUM!</v>
      </c>
      <c r="U127" s="42"/>
      <c r="V127" s="53"/>
      <c r="W127" s="42" t="e">
        <f>GEOMEAN(W63:W78)</f>
        <v>#NUM!</v>
      </c>
      <c r="X127" s="42" t="e">
        <f>GEOMEAN(X63:X78)</f>
        <v>#NUM!</v>
      </c>
      <c r="Y127" s="42" t="e">
        <f>GEOMEAN(Y63:Y78)</f>
        <v>#NUM!</v>
      </c>
      <c r="Z127" s="53" t="e">
        <f>GEOMEAN(Z63:Z78)</f>
        <v>#NUM!</v>
      </c>
      <c r="AB127" s="49" t="e">
        <f t="shared" ref="AB127:AG127" si="23">AVERAGE(AB63:AB78)</f>
        <v>#VALUE!</v>
      </c>
      <c r="AC127" s="50" t="e">
        <f t="shared" si="23"/>
        <v>#VALUE!</v>
      </c>
      <c r="AD127" s="52" t="e">
        <f t="shared" si="23"/>
        <v>#VALUE!</v>
      </c>
      <c r="AE127" s="49" t="e">
        <f t="shared" si="23"/>
        <v>#VALUE!</v>
      </c>
      <c r="AF127" s="50" t="e">
        <f t="shared" si="23"/>
        <v>#VALUE!</v>
      </c>
      <c r="AG127" s="52" t="e">
        <f t="shared" si="23"/>
        <v>#VALUE!</v>
      </c>
    </row>
    <row r="128" spans="2:33">
      <c r="B128" s="2" t="s">
        <v>24</v>
      </c>
      <c r="I128" s="42"/>
      <c r="J128" s="42"/>
      <c r="K128" s="42"/>
      <c r="L128" s="53"/>
      <c r="S128" s="42"/>
      <c r="T128" s="42"/>
      <c r="U128" s="42"/>
      <c r="V128" s="53"/>
      <c r="W128" s="42"/>
      <c r="X128" s="42"/>
      <c r="Y128" s="42"/>
      <c r="Z128" s="53"/>
      <c r="AB128" s="49"/>
      <c r="AC128" s="50"/>
      <c r="AD128" s="52"/>
      <c r="AE128" s="49"/>
      <c r="AF128" s="50"/>
      <c r="AG128" s="52"/>
    </row>
    <row r="129" spans="2:33">
      <c r="B129" s="2" t="s">
        <v>28</v>
      </c>
      <c r="I129" s="42">
        <f>GEOMEAN(I91:I106)</f>
        <v>23.5576980177939</v>
      </c>
      <c r="J129" s="42">
        <f>GEOMEAN(J91:J106)</f>
        <v>7.74075793440922</v>
      </c>
      <c r="K129" s="42"/>
      <c r="L129" s="53"/>
      <c r="S129" s="42" t="e">
        <f>GEOMEAN(S91:S106)</f>
        <v>#NUM!</v>
      </c>
      <c r="T129" s="42" t="e">
        <f>GEOMEAN(T91:T106)</f>
        <v>#NUM!</v>
      </c>
      <c r="U129" s="42"/>
      <c r="V129" s="53"/>
      <c r="W129" s="42" t="e">
        <f>GEOMEAN(W91:W106)</f>
        <v>#NUM!</v>
      </c>
      <c r="X129" s="42" t="e">
        <f>GEOMEAN(X91:X106)</f>
        <v>#NUM!</v>
      </c>
      <c r="Y129" s="42" t="e">
        <f>GEOMEAN(Y91:Y106)</f>
        <v>#NUM!</v>
      </c>
      <c r="Z129" s="53" t="e">
        <f>GEOMEAN(Z91:Z106)</f>
        <v>#NUM!</v>
      </c>
      <c r="AB129" s="49" t="e">
        <f t="shared" ref="AB129:AG129" si="24">AVERAGE(AB91:AB106)</f>
        <v>#VALUE!</v>
      </c>
      <c r="AC129" s="50" t="e">
        <f t="shared" si="24"/>
        <v>#VALUE!</v>
      </c>
      <c r="AD129" s="52" t="e">
        <f t="shared" si="24"/>
        <v>#VALUE!</v>
      </c>
      <c r="AE129" s="49" t="e">
        <f t="shared" si="24"/>
        <v>#VALUE!</v>
      </c>
      <c r="AF129" s="50" t="e">
        <f t="shared" si="24"/>
        <v>#VALUE!</v>
      </c>
      <c r="AG129" s="52" t="e">
        <f t="shared" si="24"/>
        <v>#VALUE!</v>
      </c>
    </row>
    <row r="130" ht="12.75" spans="2:33">
      <c r="B130" s="2" t="s">
        <v>121</v>
      </c>
      <c r="I130" s="42">
        <f>GEOMEAN(I107:I122)</f>
        <v>66.5210340132829</v>
      </c>
      <c r="J130" s="42">
        <f>GEOMEAN(J107:J122)</f>
        <v>21.3364680056917</v>
      </c>
      <c r="K130" s="42"/>
      <c r="L130" s="53"/>
      <c r="S130" s="42" t="e">
        <f>GEOMEAN(S107:S122)</f>
        <v>#NUM!</v>
      </c>
      <c r="T130" s="42" t="e">
        <f>GEOMEAN(T107:T122)</f>
        <v>#NUM!</v>
      </c>
      <c r="U130" s="42"/>
      <c r="V130" s="53"/>
      <c r="W130" s="42" t="e">
        <f>GEOMEAN(W107:W122)</f>
        <v>#NUM!</v>
      </c>
      <c r="X130" s="42" t="e">
        <f>GEOMEAN(X107:X122)</f>
        <v>#NUM!</v>
      </c>
      <c r="Y130" s="42" t="e">
        <f>GEOMEAN(Y107:Y122)</f>
        <v>#NUM!</v>
      </c>
      <c r="Z130" s="53" t="e">
        <f>GEOMEAN(Z107:Z122)</f>
        <v>#NUM!</v>
      </c>
      <c r="AB130" s="49" t="e">
        <f t="shared" ref="AB130:AG130" si="25">AVERAGE(AB107:AB122)</f>
        <v>#VALUE!</v>
      </c>
      <c r="AC130" s="50" t="e">
        <f t="shared" si="25"/>
        <v>#VALUE!</v>
      </c>
      <c r="AD130" s="52" t="e">
        <f t="shared" si="25"/>
        <v>#VALUE!</v>
      </c>
      <c r="AE130" s="49" t="e">
        <f t="shared" si="25"/>
        <v>#VALUE!</v>
      </c>
      <c r="AF130" s="50" t="e">
        <f t="shared" si="25"/>
        <v>#VALUE!</v>
      </c>
      <c r="AG130" s="52" t="e">
        <f t="shared" si="25"/>
        <v>#VALUE!</v>
      </c>
    </row>
    <row r="131" ht="12.75" spans="1:33">
      <c r="A131" s="54"/>
      <c r="B131" s="55" t="s">
        <v>34</v>
      </c>
      <c r="C131" s="55"/>
      <c r="D131" s="55"/>
      <c r="E131" s="55"/>
      <c r="F131" s="55"/>
      <c r="G131" s="55"/>
      <c r="H131" s="55"/>
      <c r="I131" s="56">
        <f>GEOMEAN(I3:I62,I79:I90)</f>
        <v>119.224667311877</v>
      </c>
      <c r="J131" s="56">
        <f>GEOMEAN(J3:J62,J79:J90)</f>
        <v>79.2005910438856</v>
      </c>
      <c r="K131" s="56"/>
      <c r="L131" s="57"/>
      <c r="M131" s="55"/>
      <c r="N131" s="55"/>
      <c r="O131" s="55"/>
      <c r="P131" s="55"/>
      <c r="Q131" s="55"/>
      <c r="R131" s="55"/>
      <c r="S131" s="56" t="e">
        <f>GEOMEAN(S3:S62,S79:S90)</f>
        <v>#NUM!</v>
      </c>
      <c r="T131" s="56" t="e">
        <f>GEOMEAN(T3:T62,T79:T90)</f>
        <v>#NUM!</v>
      </c>
      <c r="U131" s="56"/>
      <c r="V131" s="57"/>
      <c r="W131" s="56" t="e">
        <f>GEOMEAN(W3:W62,W79:W90)</f>
        <v>#NUM!</v>
      </c>
      <c r="X131" s="56" t="e">
        <f>GEOMEAN(X3:X62,X79:X90)</f>
        <v>#NUM!</v>
      </c>
      <c r="Y131" s="56" t="e">
        <f>GEOMEAN(Y3:Y62,Y79:Y90)</f>
        <v>#NUM!</v>
      </c>
      <c r="Z131" s="57" t="e">
        <f>GEOMEAN(Z3:Z62,Z79:Z90)</f>
        <v>#NUM!</v>
      </c>
      <c r="AA131" s="55"/>
      <c r="AB131" s="62" t="e">
        <f t="shared" ref="AB131:AG131" si="26">AVERAGE(AB3:AB62,AB79:AB90)</f>
        <v>#VALUE!</v>
      </c>
      <c r="AC131" s="63" t="e">
        <f t="shared" si="26"/>
        <v>#VALUE!</v>
      </c>
      <c r="AD131" s="64" t="e">
        <f t="shared" si="26"/>
        <v>#VALUE!</v>
      </c>
      <c r="AE131" s="62" t="e">
        <f t="shared" si="26"/>
        <v>#VALUE!</v>
      </c>
      <c r="AF131" s="63" t="e">
        <f t="shared" si="26"/>
        <v>#VALUE!</v>
      </c>
      <c r="AG131" s="64" t="e">
        <f t="shared" si="26"/>
        <v>#VALUE!</v>
      </c>
    </row>
    <row r="132" spans="2:26">
      <c r="B132" s="2" t="s">
        <v>122</v>
      </c>
      <c r="I132" s="58">
        <f>GEOMEAN(I3:I106)</f>
        <v>58.9476842708057</v>
      </c>
      <c r="J132" s="58">
        <f>GEOMEAN(J3:J106)</f>
        <v>31.5775289454016</v>
      </c>
      <c r="K132" s="58"/>
      <c r="L132" s="59"/>
      <c r="S132" s="58" t="e">
        <f>GEOMEAN(S3:S106)</f>
        <v>#NUM!</v>
      </c>
      <c r="T132" s="58" t="e">
        <f>GEOMEAN(T3:T106)</f>
        <v>#NUM!</v>
      </c>
      <c r="U132" s="58"/>
      <c r="V132" s="59"/>
      <c r="W132" s="58"/>
      <c r="X132" s="58"/>
      <c r="Y132" s="58"/>
      <c r="Z132" s="58"/>
    </row>
    <row r="133" spans="2:26">
      <c r="B133" s="2" t="s">
        <v>123</v>
      </c>
      <c r="S133" s="60" t="e">
        <f>S132/I132</f>
        <v>#NUM!</v>
      </c>
      <c r="T133" s="60" t="e">
        <f>T132/J132</f>
        <v>#NUM!</v>
      </c>
      <c r="U133" s="60"/>
      <c r="V133" s="61"/>
      <c r="W133" s="60"/>
      <c r="X133" s="60"/>
      <c r="Y133" s="60"/>
      <c r="Z133" s="60"/>
    </row>
    <row r="134" spans="2:2">
      <c r="B134" s="2" t="s">
        <v>124</v>
      </c>
    </row>
    <row r="136" spans="2:2">
      <c r="B136" s="2" t="s">
        <v>125</v>
      </c>
    </row>
    <row r="137" spans="2:26">
      <c r="B137" s="2" t="s">
        <v>19</v>
      </c>
      <c r="I137" s="42">
        <f>SUM(I$3:I$14)</f>
        <v>3365.846</v>
      </c>
      <c r="J137" s="42">
        <f>SUM(J$3:J$14)</f>
        <v>4088.19305555556</v>
      </c>
      <c r="K137" s="42"/>
      <c r="L137" s="53"/>
      <c r="S137" s="42">
        <f>SUM(S$3:S$14)</f>
        <v>0</v>
      </c>
      <c r="T137" s="42">
        <f>SUM(T$3:T$14)</f>
        <v>0</v>
      </c>
      <c r="U137" s="42"/>
      <c r="V137" s="53"/>
      <c r="W137" s="42">
        <f>T137/J137</f>
        <v>0</v>
      </c>
      <c r="X137" s="42">
        <f>S137/I137</f>
        <v>0</v>
      </c>
      <c r="Y137" s="42"/>
      <c r="Z137" s="42"/>
    </row>
    <row r="138" spans="2:26">
      <c r="B138" s="2" t="s">
        <v>21</v>
      </c>
      <c r="I138" s="42">
        <f>SUM(I$15:I$26)</f>
        <v>4467.174</v>
      </c>
      <c r="J138" s="42">
        <f>SUM(J$15:J$26)</f>
        <v>3191.14222222222</v>
      </c>
      <c r="K138" s="42"/>
      <c r="L138" s="53"/>
      <c r="S138" s="42">
        <f>SUM(S$15:S$26)</f>
        <v>0</v>
      </c>
      <c r="T138" s="42">
        <f>SUM(T$15:T$26)</f>
        <v>0</v>
      </c>
      <c r="U138" s="42"/>
      <c r="V138" s="53"/>
      <c r="W138" s="42">
        <f t="shared" ref="W138:W145" si="27">T138/J138</f>
        <v>0</v>
      </c>
      <c r="X138" s="42">
        <f t="shared" ref="X138:X145" si="28">S138/I138</f>
        <v>0</v>
      </c>
      <c r="Y138" s="42"/>
      <c r="Z138" s="42"/>
    </row>
    <row r="139" spans="2:26">
      <c r="B139" s="2" t="s">
        <v>22</v>
      </c>
      <c r="I139" s="42">
        <f>SUM(I$27:I$46)</f>
        <v>2796.444</v>
      </c>
      <c r="J139" s="42">
        <f>SUM(J$27:J$46)</f>
        <v>2349.81833333333</v>
      </c>
      <c r="K139" s="42"/>
      <c r="L139" s="53"/>
      <c r="S139" s="42">
        <f>SUM(S$27:S$46)</f>
        <v>0</v>
      </c>
      <c r="T139" s="42">
        <f>SUM(T$27:T$46)</f>
        <v>0</v>
      </c>
      <c r="U139" s="42"/>
      <c r="V139" s="53"/>
      <c r="W139" s="42">
        <f t="shared" si="27"/>
        <v>0</v>
      </c>
      <c r="X139" s="42">
        <f t="shared" si="28"/>
        <v>0</v>
      </c>
      <c r="Y139" s="42"/>
      <c r="Z139" s="42"/>
    </row>
    <row r="140" spans="2:26">
      <c r="B140" s="2" t="s">
        <v>23</v>
      </c>
      <c r="I140" s="42">
        <f>SUM(I$47:I$62)</f>
        <v>465.411</v>
      </c>
      <c r="J140" s="42">
        <f>SUM(J$47:J$62)</f>
        <v>205.097222222222</v>
      </c>
      <c r="K140" s="42"/>
      <c r="L140" s="53"/>
      <c r="S140" s="42">
        <f>SUM(S$47:S$62)</f>
        <v>0</v>
      </c>
      <c r="T140" s="42">
        <f>SUM(T$47:T$62)</f>
        <v>0</v>
      </c>
      <c r="U140" s="42"/>
      <c r="V140" s="53"/>
      <c r="W140" s="42">
        <f t="shared" si="27"/>
        <v>0</v>
      </c>
      <c r="X140" s="42">
        <f t="shared" si="28"/>
        <v>0</v>
      </c>
      <c r="Y140" s="42"/>
      <c r="Z140" s="42"/>
    </row>
    <row r="141" spans="2:26">
      <c r="B141" s="2" t="s">
        <v>27</v>
      </c>
      <c r="I141" s="42">
        <f>SUM(I$63:I$78)</f>
        <v>173.326</v>
      </c>
      <c r="J141" s="42">
        <f>SUM(J$63:J$78)</f>
        <v>72.3077777777778</v>
      </c>
      <c r="K141" s="42"/>
      <c r="L141" s="53"/>
      <c r="S141" s="42">
        <f>SUM(S$63:S$78)</f>
        <v>0</v>
      </c>
      <c r="T141" s="42">
        <f>SUM(T$63:T$78)</f>
        <v>0</v>
      </c>
      <c r="U141" s="42"/>
      <c r="V141" s="53"/>
      <c r="W141" s="42">
        <f t="shared" si="27"/>
        <v>0</v>
      </c>
      <c r="X141" s="42">
        <f t="shared" si="28"/>
        <v>0</v>
      </c>
      <c r="Y141" s="42"/>
      <c r="Z141" s="42"/>
    </row>
    <row r="142" spans="2:26">
      <c r="B142" s="2" t="s">
        <v>24</v>
      </c>
      <c r="I142" s="42">
        <f>SUM(I$79:I$90)</f>
        <v>0</v>
      </c>
      <c r="J142" s="42">
        <f>SUM(J$79:J$90)</f>
        <v>0</v>
      </c>
      <c r="K142" s="42"/>
      <c r="L142" s="53"/>
      <c r="S142" s="42">
        <f>SUM(S$79:S$90)</f>
        <v>0</v>
      </c>
      <c r="T142" s="42">
        <f>SUM(T$79:T$90)</f>
        <v>0</v>
      </c>
      <c r="U142" s="42"/>
      <c r="V142" s="53"/>
      <c r="W142" s="42" t="e">
        <f t="shared" si="27"/>
        <v>#DIV/0!</v>
      </c>
      <c r="X142" s="42" t="e">
        <f t="shared" si="28"/>
        <v>#DIV/0!</v>
      </c>
      <c r="Y142" s="42"/>
      <c r="Z142" s="42"/>
    </row>
    <row r="143" spans="2:26">
      <c r="B143" s="2" t="s">
        <v>28</v>
      </c>
      <c r="I143" s="42">
        <f>SUM(I$91:I$106)</f>
        <v>727.549</v>
      </c>
      <c r="J143" s="42">
        <f>SUM(J$91:J$106)</f>
        <v>212.335555555556</v>
      </c>
      <c r="K143" s="42"/>
      <c r="L143" s="53"/>
      <c r="S143" s="42">
        <f>SUM(S$91:S$106)</f>
        <v>0</v>
      </c>
      <c r="T143" s="42">
        <f>SUM(T$91:T$106)</f>
        <v>0</v>
      </c>
      <c r="U143" s="42"/>
      <c r="V143" s="53"/>
      <c r="W143" s="42">
        <f t="shared" si="27"/>
        <v>0</v>
      </c>
      <c r="X143" s="42">
        <f t="shared" si="28"/>
        <v>0</v>
      </c>
      <c r="Y143" s="42"/>
      <c r="Z143" s="42"/>
    </row>
    <row r="144" spans="2:26">
      <c r="B144" s="2" t="s">
        <v>29</v>
      </c>
      <c r="I144" s="42">
        <f>SUM(I$107:I$122)</f>
        <v>1127.994</v>
      </c>
      <c r="J144" s="42">
        <f>SUM(J$107:J$122)</f>
        <v>356.445277777778</v>
      </c>
      <c r="K144" s="42"/>
      <c r="L144" s="53"/>
      <c r="S144" s="42">
        <f>SUM(S$107:S$122)</f>
        <v>0</v>
      </c>
      <c r="T144" s="42">
        <f>SUM(T$107:T$122)</f>
        <v>0</v>
      </c>
      <c r="U144" s="42"/>
      <c r="V144" s="53"/>
      <c r="W144" s="42">
        <f t="shared" si="27"/>
        <v>0</v>
      </c>
      <c r="X144" s="42">
        <f t="shared" si="28"/>
        <v>0</v>
      </c>
      <c r="Y144" s="42"/>
      <c r="Z144" s="42"/>
    </row>
    <row r="145" spans="2:26">
      <c r="B145" s="2" t="s">
        <v>34</v>
      </c>
      <c r="I145" s="42">
        <f>SUM(I137:I144)</f>
        <v>13123.744</v>
      </c>
      <c r="J145" s="42">
        <f>SUM(J137:J144)</f>
        <v>10475.3394444444</v>
      </c>
      <c r="K145" s="42"/>
      <c r="L145" s="53"/>
      <c r="S145" s="42">
        <f>SUM(S137:S144)</f>
        <v>0</v>
      </c>
      <c r="T145" s="42">
        <f>SUM(T137:T144)</f>
        <v>0</v>
      </c>
      <c r="U145" s="42"/>
      <c r="V145" s="53"/>
      <c r="W145" s="42">
        <f t="shared" si="27"/>
        <v>0</v>
      </c>
      <c r="X145" s="42">
        <f t="shared" si="28"/>
        <v>0</v>
      </c>
      <c r="Y145" s="42"/>
      <c r="Z145" s="42"/>
    </row>
    <row r="146" spans="23:26">
      <c r="W146" s="42"/>
      <c r="X146" s="42"/>
      <c r="Y146" s="42"/>
      <c r="Z146" s="42"/>
    </row>
    <row r="147" spans="2:26">
      <c r="B147" s="2" t="s">
        <v>126</v>
      </c>
      <c r="W147" s="42"/>
      <c r="X147" s="42"/>
      <c r="Y147" s="42"/>
      <c r="Z147" s="42"/>
    </row>
    <row r="148" spans="2:26">
      <c r="B148" s="2" t="s">
        <v>19</v>
      </c>
      <c r="I148" s="42">
        <f>MAX(I$3:I$14)</f>
        <v>484.523</v>
      </c>
      <c r="J148" s="42">
        <f>MAX(J$3:J$14)</f>
        <v>968.489444444444</v>
      </c>
      <c r="K148" s="42"/>
      <c r="L148" s="53"/>
      <c r="S148" s="42">
        <f>MAX(S$3:S$14)</f>
        <v>0</v>
      </c>
      <c r="T148" s="42">
        <f>MAX(T$3:T$14)</f>
        <v>0</v>
      </c>
      <c r="U148" s="42"/>
      <c r="V148" s="53"/>
      <c r="W148" s="42">
        <f t="shared" ref="W148:W156" si="29">T148/J148</f>
        <v>0</v>
      </c>
      <c r="X148" s="42">
        <f t="shared" ref="X148:X156" si="30">S148/I148</f>
        <v>0</v>
      </c>
      <c r="Y148" s="42"/>
      <c r="Z148" s="42"/>
    </row>
    <row r="149" spans="2:26">
      <c r="B149" s="2" t="s">
        <v>21</v>
      </c>
      <c r="I149" s="42">
        <f>MAX(I$15:I$26)</f>
        <v>580.829</v>
      </c>
      <c r="J149" s="42">
        <f>MAX(J$15:J$26)</f>
        <v>567.171666666667</v>
      </c>
      <c r="K149" s="42"/>
      <c r="L149" s="53"/>
      <c r="S149" s="42">
        <f>MAX(S$15:S$26)</f>
        <v>0</v>
      </c>
      <c r="T149" s="42">
        <f>MAX(T$15:T$26)</f>
        <v>0</v>
      </c>
      <c r="U149" s="42"/>
      <c r="V149" s="53"/>
      <c r="W149" s="42">
        <f t="shared" si="29"/>
        <v>0</v>
      </c>
      <c r="X149" s="42">
        <f t="shared" si="30"/>
        <v>0</v>
      </c>
      <c r="Y149" s="42"/>
      <c r="Z149" s="42"/>
    </row>
    <row r="150" spans="2:26">
      <c r="B150" s="2" t="s">
        <v>22</v>
      </c>
      <c r="I150" s="42">
        <f>MAX(I$27:I$46)</f>
        <v>220.147</v>
      </c>
      <c r="J150" s="42">
        <f>MAX(J$27:J$46)</f>
        <v>248.541388888889</v>
      </c>
      <c r="K150" s="42"/>
      <c r="L150" s="53"/>
      <c r="S150" s="42">
        <f>MAX(S$27:S$46)</f>
        <v>0</v>
      </c>
      <c r="T150" s="42">
        <f>MAX(T$27:T$46)</f>
        <v>0</v>
      </c>
      <c r="U150" s="42"/>
      <c r="V150" s="53"/>
      <c r="W150" s="42">
        <f t="shared" si="29"/>
        <v>0</v>
      </c>
      <c r="X150" s="42">
        <f t="shared" si="30"/>
        <v>0</v>
      </c>
      <c r="Y150" s="42"/>
      <c r="Z150" s="42"/>
    </row>
    <row r="151" spans="2:26">
      <c r="B151" s="2" t="s">
        <v>23</v>
      </c>
      <c r="I151" s="42">
        <f>MAX(I$47:I$62)</f>
        <v>46.175</v>
      </c>
      <c r="J151" s="42">
        <f>MAX(J$47:J$62)</f>
        <v>21.8558333333333</v>
      </c>
      <c r="K151" s="42"/>
      <c r="L151" s="53"/>
      <c r="S151" s="42">
        <f>MAX(S$47:S$62)</f>
        <v>0</v>
      </c>
      <c r="T151" s="42">
        <f>MAX(T$47:T$62)</f>
        <v>0</v>
      </c>
      <c r="U151" s="42"/>
      <c r="V151" s="53"/>
      <c r="W151" s="42">
        <f t="shared" si="29"/>
        <v>0</v>
      </c>
      <c r="X151" s="42">
        <f t="shared" si="30"/>
        <v>0</v>
      </c>
      <c r="Y151" s="42"/>
      <c r="Z151" s="42"/>
    </row>
    <row r="152" spans="2:26">
      <c r="B152" s="2" t="s">
        <v>27</v>
      </c>
      <c r="I152" s="42">
        <f>MAX(I$63:I$78)</f>
        <v>15.706</v>
      </c>
      <c r="J152" s="42">
        <f>MAX(J$63:J$78)</f>
        <v>8.09055555555556</v>
      </c>
      <c r="K152" s="42"/>
      <c r="L152" s="53"/>
      <c r="S152" s="42">
        <f>MAX(S$63:S$78)</f>
        <v>0</v>
      </c>
      <c r="T152" s="42">
        <f>MAX(T$63:T$78)</f>
        <v>0</v>
      </c>
      <c r="U152" s="42"/>
      <c r="V152" s="53"/>
      <c r="W152" s="42">
        <f t="shared" si="29"/>
        <v>0</v>
      </c>
      <c r="X152" s="42">
        <f t="shared" si="30"/>
        <v>0</v>
      </c>
      <c r="Y152" s="42"/>
      <c r="Z152" s="42"/>
    </row>
    <row r="153" spans="2:26">
      <c r="B153" s="2" t="s">
        <v>24</v>
      </c>
      <c r="I153" s="42">
        <f>MAX(I$79:I$90)</f>
        <v>0</v>
      </c>
      <c r="J153" s="42">
        <f>MAX(J$79:J$90)</f>
        <v>0</v>
      </c>
      <c r="K153" s="42"/>
      <c r="L153" s="53"/>
      <c r="S153" s="42">
        <f>MAX(S$79:S$90)</f>
        <v>0</v>
      </c>
      <c r="T153" s="42">
        <f>MAX(T$79:T$90)</f>
        <v>0</v>
      </c>
      <c r="U153" s="42"/>
      <c r="V153" s="53"/>
      <c r="W153" s="42" t="e">
        <f t="shared" si="29"/>
        <v>#DIV/0!</v>
      </c>
      <c r="X153" s="42" t="e">
        <f t="shared" si="30"/>
        <v>#DIV/0!</v>
      </c>
      <c r="Y153" s="42"/>
      <c r="Z153" s="42"/>
    </row>
    <row r="154" spans="2:26">
      <c r="B154" s="2" t="s">
        <v>28</v>
      </c>
      <c r="I154" s="42">
        <f>MAX(I$91:I$106)</f>
        <v>182.823</v>
      </c>
      <c r="J154" s="42">
        <f>MAX(J$91:J$106)</f>
        <v>57.4519444444444</v>
      </c>
      <c r="K154" s="42"/>
      <c r="L154" s="53"/>
      <c r="S154" s="42">
        <f>MAX(S$91:S$106)</f>
        <v>0</v>
      </c>
      <c r="T154" s="42">
        <f>MAX(T$91:T$106)</f>
        <v>0</v>
      </c>
      <c r="U154" s="42"/>
      <c r="V154" s="53"/>
      <c r="W154" s="42">
        <f t="shared" si="29"/>
        <v>0</v>
      </c>
      <c r="X154" s="42">
        <f t="shared" si="30"/>
        <v>0</v>
      </c>
      <c r="Y154" s="42"/>
      <c r="Z154" s="42"/>
    </row>
    <row r="155" spans="2:26">
      <c r="B155" s="2" t="s">
        <v>29</v>
      </c>
      <c r="I155" s="42">
        <f>MAX(I$107:I$122)</f>
        <v>94.729</v>
      </c>
      <c r="J155" s="42">
        <f>MAX(J$107:J$122)</f>
        <v>39.04</v>
      </c>
      <c r="K155" s="42"/>
      <c r="L155" s="53"/>
      <c r="S155" s="42">
        <f>MAX(S$107:S$122)</f>
        <v>0</v>
      </c>
      <c r="T155" s="42">
        <f>MAX(T$107:T$122)</f>
        <v>0</v>
      </c>
      <c r="U155" s="42"/>
      <c r="V155" s="53"/>
      <c r="W155" s="42">
        <f t="shared" si="29"/>
        <v>0</v>
      </c>
      <c r="X155" s="42">
        <f t="shared" si="30"/>
        <v>0</v>
      </c>
      <c r="Y155" s="42"/>
      <c r="Z155" s="42"/>
    </row>
    <row r="156" spans="2:26">
      <c r="B156" s="2" t="s">
        <v>34</v>
      </c>
      <c r="I156" s="42">
        <f>MAX(I148:I155)</f>
        <v>580.829</v>
      </c>
      <c r="J156" s="42">
        <f>MAX(J148:J155)</f>
        <v>968.489444444444</v>
      </c>
      <c r="K156" s="42"/>
      <c r="L156" s="53"/>
      <c r="S156" s="42">
        <f>MAX(S148:S155)</f>
        <v>0</v>
      </c>
      <c r="T156" s="42">
        <f>MAX(T148:T155)</f>
        <v>0</v>
      </c>
      <c r="U156" s="42"/>
      <c r="V156" s="53"/>
      <c r="W156" s="42">
        <f t="shared" si="29"/>
        <v>0</v>
      </c>
      <c r="X156" s="42">
        <f t="shared" si="30"/>
        <v>0</v>
      </c>
      <c r="Y156" s="42"/>
      <c r="Z156" s="42"/>
    </row>
  </sheetData>
  <mergeCells count="4">
    <mergeCell ref="D1:L1"/>
    <mergeCell ref="N1:V1"/>
    <mergeCell ref="AB1:AD1"/>
    <mergeCell ref="AE1:AG1"/>
  </mergeCells>
  <conditionalFormatting sqref="AE3">
    <cfRule type="cellIs" dxfId="0" priority="579" operator="greaterThan">
      <formula>0.03</formula>
    </cfRule>
    <cfRule type="cellIs" dxfId="1" priority="580" stopIfTrue="1" operator="lessThan">
      <formula>-0.03</formula>
    </cfRule>
  </conditionalFormatting>
  <conditionalFormatting sqref="AF3">
    <cfRule type="cellIs" dxfId="0" priority="577" operator="greaterThan">
      <formula>0.03</formula>
    </cfRule>
    <cfRule type="cellIs" dxfId="1" priority="578" stopIfTrue="1" operator="lessThan">
      <formula>-0.03</formula>
    </cfRule>
  </conditionalFormatting>
  <conditionalFormatting sqref="AG3">
    <cfRule type="cellIs" dxfId="0" priority="575" operator="greaterThan">
      <formula>0.03</formula>
    </cfRule>
    <cfRule type="cellIs" dxfId="1" priority="576" stopIfTrue="1" operator="lessThan">
      <formula>-0.03</formula>
    </cfRule>
  </conditionalFormatting>
  <conditionalFormatting sqref="AE6:AF6">
    <cfRule type="cellIs" dxfId="0" priority="555" operator="greaterThan">
      <formula>0.03</formula>
    </cfRule>
    <cfRule type="cellIs" dxfId="1" priority="556" stopIfTrue="1" operator="lessThan">
      <formula>-0.03</formula>
    </cfRule>
  </conditionalFormatting>
  <conditionalFormatting sqref="AE7">
    <cfRule type="cellIs" dxfId="0" priority="573" operator="greaterThan">
      <formula>0.03</formula>
    </cfRule>
    <cfRule type="cellIs" dxfId="1" priority="574" stopIfTrue="1" operator="lessThan">
      <formula>-0.03</formula>
    </cfRule>
  </conditionalFormatting>
  <conditionalFormatting sqref="AF7">
    <cfRule type="cellIs" dxfId="0" priority="571" operator="greaterThan">
      <formula>0.03</formula>
    </cfRule>
    <cfRule type="cellIs" dxfId="1" priority="572" stopIfTrue="1" operator="lessThan">
      <formula>-0.03</formula>
    </cfRule>
  </conditionalFormatting>
  <conditionalFormatting sqref="AG7">
    <cfRule type="cellIs" dxfId="0" priority="569" operator="greaterThan">
      <formula>0.03</formula>
    </cfRule>
    <cfRule type="cellIs" dxfId="1" priority="570" stopIfTrue="1" operator="lessThan">
      <formula>-0.03</formula>
    </cfRule>
  </conditionalFormatting>
  <conditionalFormatting sqref="AE10:AF10">
    <cfRule type="cellIs" dxfId="0" priority="553" operator="greaterThan">
      <formula>0.03</formula>
    </cfRule>
    <cfRule type="cellIs" dxfId="1" priority="554" stopIfTrue="1" operator="lessThan">
      <formula>-0.03</formula>
    </cfRule>
  </conditionalFormatting>
  <conditionalFormatting sqref="AE11">
    <cfRule type="cellIs" dxfId="0" priority="567" operator="greaterThan">
      <formula>0.03</formula>
    </cfRule>
    <cfRule type="cellIs" dxfId="1" priority="568" stopIfTrue="1" operator="lessThan">
      <formula>-0.03</formula>
    </cfRule>
  </conditionalFormatting>
  <conditionalFormatting sqref="AF11">
    <cfRule type="cellIs" dxfId="0" priority="565" operator="greaterThan">
      <formula>0.03</formula>
    </cfRule>
    <cfRule type="cellIs" dxfId="1" priority="566" stopIfTrue="1" operator="lessThan">
      <formula>-0.03</formula>
    </cfRule>
  </conditionalFormatting>
  <conditionalFormatting sqref="AG11">
    <cfRule type="cellIs" dxfId="0" priority="563" operator="greaterThan">
      <formula>0.03</formula>
    </cfRule>
    <cfRule type="cellIs" dxfId="1" priority="564" stopIfTrue="1" operator="lessThan">
      <formula>-0.03</formula>
    </cfRule>
  </conditionalFormatting>
  <conditionalFormatting sqref="AE14:AF14">
    <cfRule type="cellIs" dxfId="0" priority="551" operator="greaterThan">
      <formula>0.03</formula>
    </cfRule>
    <cfRule type="cellIs" dxfId="1" priority="552" stopIfTrue="1" operator="lessThan">
      <formula>-0.03</formula>
    </cfRule>
  </conditionalFormatting>
  <conditionalFormatting sqref="AE15">
    <cfRule type="cellIs" dxfId="0" priority="481" operator="greaterThan">
      <formula>0.03</formula>
    </cfRule>
    <cfRule type="cellIs" dxfId="1" priority="482" stopIfTrue="1" operator="lessThan">
      <formula>-0.03</formula>
    </cfRule>
  </conditionalFormatting>
  <conditionalFormatting sqref="AF15">
    <cfRule type="cellIs" dxfId="0" priority="479" operator="greaterThan">
      <formula>0.03</formula>
    </cfRule>
    <cfRule type="cellIs" dxfId="1" priority="480" stopIfTrue="1" operator="lessThan">
      <formula>-0.03</formula>
    </cfRule>
  </conditionalFormatting>
  <conditionalFormatting sqref="AG15">
    <cfRule type="cellIs" dxfId="0" priority="477" operator="greaterThan">
      <formula>0.03</formula>
    </cfRule>
    <cfRule type="cellIs" dxfId="1" priority="478" stopIfTrue="1" operator="lessThan">
      <formula>-0.03</formula>
    </cfRule>
  </conditionalFormatting>
  <conditionalFormatting sqref="AE18:AF18">
    <cfRule type="cellIs" dxfId="0" priority="457" operator="greaterThan">
      <formula>0.03</formula>
    </cfRule>
    <cfRule type="cellIs" dxfId="1" priority="458" stopIfTrue="1" operator="lessThan">
      <formula>-0.03</formula>
    </cfRule>
  </conditionalFormatting>
  <conditionalFormatting sqref="AE19">
    <cfRule type="cellIs" dxfId="0" priority="475" operator="greaterThan">
      <formula>0.03</formula>
    </cfRule>
    <cfRule type="cellIs" dxfId="1" priority="476" stopIfTrue="1" operator="lessThan">
      <formula>-0.03</formula>
    </cfRule>
  </conditionalFormatting>
  <conditionalFormatting sqref="AF19">
    <cfRule type="cellIs" dxfId="0" priority="473" operator="greaterThan">
      <formula>0.03</formula>
    </cfRule>
    <cfRule type="cellIs" dxfId="1" priority="474" stopIfTrue="1" operator="lessThan">
      <formula>-0.03</formula>
    </cfRule>
  </conditionalFormatting>
  <conditionalFormatting sqref="AG19">
    <cfRule type="cellIs" dxfId="0" priority="471" operator="greaterThan">
      <formula>0.03</formula>
    </cfRule>
    <cfRule type="cellIs" dxfId="1" priority="472" stopIfTrue="1" operator="lessThan">
      <formula>-0.03</formula>
    </cfRule>
  </conditionalFormatting>
  <conditionalFormatting sqref="AE22:AF22">
    <cfRule type="cellIs" dxfId="0" priority="455" operator="greaterThan">
      <formula>0.03</formula>
    </cfRule>
    <cfRule type="cellIs" dxfId="1" priority="456" stopIfTrue="1" operator="lessThan">
      <formula>-0.03</formula>
    </cfRule>
  </conditionalFormatting>
  <conditionalFormatting sqref="AE23">
    <cfRule type="cellIs" dxfId="0" priority="469" operator="greaterThan">
      <formula>0.03</formula>
    </cfRule>
    <cfRule type="cellIs" dxfId="1" priority="470" stopIfTrue="1" operator="lessThan">
      <formula>-0.03</formula>
    </cfRule>
  </conditionalFormatting>
  <conditionalFormatting sqref="AF23">
    <cfRule type="cellIs" dxfId="0" priority="467" operator="greaterThan">
      <formula>0.03</formula>
    </cfRule>
    <cfRule type="cellIs" dxfId="1" priority="468" stopIfTrue="1" operator="lessThan">
      <formula>-0.03</formula>
    </cfRule>
  </conditionalFormatting>
  <conditionalFormatting sqref="AG23">
    <cfRule type="cellIs" dxfId="0" priority="465" operator="greaterThan">
      <formula>0.03</formula>
    </cfRule>
    <cfRule type="cellIs" dxfId="1" priority="466" stopIfTrue="1" operator="lessThan">
      <formula>-0.03</formula>
    </cfRule>
  </conditionalFormatting>
  <conditionalFormatting sqref="AE26:AF26">
    <cfRule type="cellIs" dxfId="0" priority="453" operator="greaterThan">
      <formula>0.03</formula>
    </cfRule>
    <cfRule type="cellIs" dxfId="1" priority="454" stopIfTrue="1" operator="lessThan">
      <formula>-0.03</formula>
    </cfRule>
  </conditionalFormatting>
  <conditionalFormatting sqref="AE27">
    <cfRule type="cellIs" dxfId="0" priority="407" operator="greaterThan">
      <formula>0.03</formula>
    </cfRule>
    <cfRule type="cellIs" dxfId="1" priority="408" stopIfTrue="1" operator="lessThan">
      <formula>-0.03</formula>
    </cfRule>
  </conditionalFormatting>
  <conditionalFormatting sqref="AF27">
    <cfRule type="cellIs" dxfId="0" priority="405" operator="greaterThan">
      <formula>0.03</formula>
    </cfRule>
    <cfRule type="cellIs" dxfId="1" priority="406" stopIfTrue="1" operator="lessThan">
      <formula>-0.03</formula>
    </cfRule>
  </conditionalFormatting>
  <conditionalFormatting sqref="AG27">
    <cfRule type="cellIs" dxfId="0" priority="403" operator="greaterThan">
      <formula>0.03</formula>
    </cfRule>
    <cfRule type="cellIs" dxfId="1" priority="404" stopIfTrue="1" operator="lessThan">
      <formula>-0.03</formula>
    </cfRule>
  </conditionalFormatting>
  <conditionalFormatting sqref="AE30:AF30">
    <cfRule type="cellIs" dxfId="0" priority="401" operator="greaterThan">
      <formula>0.03</formula>
    </cfRule>
    <cfRule type="cellIs" dxfId="1" priority="402" stopIfTrue="1" operator="lessThan">
      <formula>-0.03</formula>
    </cfRule>
  </conditionalFormatting>
  <conditionalFormatting sqref="AE31">
    <cfRule type="cellIs" dxfId="0" priority="387" operator="greaterThan">
      <formula>0.03</formula>
    </cfRule>
    <cfRule type="cellIs" dxfId="1" priority="388" stopIfTrue="1" operator="lessThan">
      <formula>-0.03</formula>
    </cfRule>
  </conditionalFormatting>
  <conditionalFormatting sqref="AF31">
    <cfRule type="cellIs" dxfId="0" priority="385" operator="greaterThan">
      <formula>0.03</formula>
    </cfRule>
    <cfRule type="cellIs" dxfId="1" priority="386" stopIfTrue="1" operator="lessThan">
      <formula>-0.03</formula>
    </cfRule>
  </conditionalFormatting>
  <conditionalFormatting sqref="AG31">
    <cfRule type="cellIs" dxfId="0" priority="383" operator="greaterThan">
      <formula>0.03</formula>
    </cfRule>
    <cfRule type="cellIs" dxfId="1" priority="384" stopIfTrue="1" operator="lessThan">
      <formula>-0.03</formula>
    </cfRule>
  </conditionalFormatting>
  <conditionalFormatting sqref="AE34:AF34">
    <cfRule type="cellIs" dxfId="0" priority="375" operator="greaterThan">
      <formula>0.03</formula>
    </cfRule>
    <cfRule type="cellIs" dxfId="1" priority="376" stopIfTrue="1" operator="lessThan">
      <formula>-0.03</formula>
    </cfRule>
  </conditionalFormatting>
  <conditionalFormatting sqref="AE35">
    <cfRule type="cellIs" dxfId="0" priority="381" operator="greaterThan">
      <formula>0.03</formula>
    </cfRule>
    <cfRule type="cellIs" dxfId="1" priority="382" stopIfTrue="1" operator="lessThan">
      <formula>-0.03</formula>
    </cfRule>
  </conditionalFormatting>
  <conditionalFormatting sqref="AF35">
    <cfRule type="cellIs" dxfId="0" priority="379" operator="greaterThan">
      <formula>0.03</formula>
    </cfRule>
    <cfRule type="cellIs" dxfId="1" priority="380" stopIfTrue="1" operator="lessThan">
      <formula>-0.03</formula>
    </cfRule>
  </conditionalFormatting>
  <conditionalFormatting sqref="AG35">
    <cfRule type="cellIs" dxfId="0" priority="377" operator="greaterThan">
      <formula>0.03</formula>
    </cfRule>
    <cfRule type="cellIs" dxfId="1" priority="378" stopIfTrue="1" operator="lessThan">
      <formula>-0.03</formula>
    </cfRule>
  </conditionalFormatting>
  <conditionalFormatting sqref="AE38:AF38">
    <cfRule type="cellIs" dxfId="0" priority="373" operator="greaterThan">
      <formula>0.03</formula>
    </cfRule>
    <cfRule type="cellIs" dxfId="1" priority="374" stopIfTrue="1" operator="lessThan">
      <formula>-0.03</formula>
    </cfRule>
  </conditionalFormatting>
  <conditionalFormatting sqref="AE39">
    <cfRule type="cellIs" dxfId="0" priority="349" operator="greaterThan">
      <formula>0.03</formula>
    </cfRule>
    <cfRule type="cellIs" dxfId="1" priority="350" stopIfTrue="1" operator="lessThan">
      <formula>-0.03</formula>
    </cfRule>
  </conditionalFormatting>
  <conditionalFormatting sqref="AF39">
    <cfRule type="cellIs" dxfId="0" priority="347" operator="greaterThan">
      <formula>0.03</formula>
    </cfRule>
    <cfRule type="cellIs" dxfId="1" priority="348" stopIfTrue="1" operator="lessThan">
      <formula>-0.03</formula>
    </cfRule>
  </conditionalFormatting>
  <conditionalFormatting sqref="AG39">
    <cfRule type="cellIs" dxfId="0" priority="345" operator="greaterThan">
      <formula>0.03</formula>
    </cfRule>
    <cfRule type="cellIs" dxfId="1" priority="346" stopIfTrue="1" operator="lessThan">
      <formula>-0.03</formula>
    </cfRule>
  </conditionalFormatting>
  <conditionalFormatting sqref="AE42:AF42">
    <cfRule type="cellIs" dxfId="0" priority="337" operator="greaterThan">
      <formula>0.03</formula>
    </cfRule>
    <cfRule type="cellIs" dxfId="1" priority="338" stopIfTrue="1" operator="lessThan">
      <formula>-0.03</formula>
    </cfRule>
  </conditionalFormatting>
  <conditionalFormatting sqref="AE43">
    <cfRule type="cellIs" dxfId="0" priority="343" operator="greaterThan">
      <formula>0.03</formula>
    </cfRule>
    <cfRule type="cellIs" dxfId="1" priority="344" stopIfTrue="1" operator="lessThan">
      <formula>-0.03</formula>
    </cfRule>
  </conditionalFormatting>
  <conditionalFormatting sqref="AF43">
    <cfRule type="cellIs" dxfId="0" priority="341" operator="greaterThan">
      <formula>0.03</formula>
    </cfRule>
    <cfRule type="cellIs" dxfId="1" priority="342" stopIfTrue="1" operator="lessThan">
      <formula>-0.03</formula>
    </cfRule>
  </conditionalFormatting>
  <conditionalFormatting sqref="AG43">
    <cfRule type="cellIs" dxfId="0" priority="339" operator="greaterThan">
      <formula>0.03</formula>
    </cfRule>
    <cfRule type="cellIs" dxfId="1" priority="340" stopIfTrue="1" operator="lessThan">
      <formula>-0.03</formula>
    </cfRule>
  </conditionalFormatting>
  <conditionalFormatting sqref="AE46:AF46">
    <cfRule type="cellIs" dxfId="0" priority="335" operator="greaterThan">
      <formula>0.03</formula>
    </cfRule>
    <cfRule type="cellIs" dxfId="1" priority="336" stopIfTrue="1" operator="lessThan">
      <formula>-0.03</formula>
    </cfRule>
  </conditionalFormatting>
  <conditionalFormatting sqref="AE47">
    <cfRule type="cellIs" dxfId="0" priority="311" operator="greaterThan">
      <formula>0.03</formula>
    </cfRule>
    <cfRule type="cellIs" dxfId="1" priority="312" stopIfTrue="1" operator="lessThan">
      <formula>-0.03</formula>
    </cfRule>
  </conditionalFormatting>
  <conditionalFormatting sqref="AF47">
    <cfRule type="cellIs" dxfId="0" priority="309" operator="greaterThan">
      <formula>0.03</formula>
    </cfRule>
    <cfRule type="cellIs" dxfId="1" priority="310" stopIfTrue="1" operator="lessThan">
      <formula>-0.03</formula>
    </cfRule>
  </conditionalFormatting>
  <conditionalFormatting sqref="AG47">
    <cfRule type="cellIs" dxfId="0" priority="307" operator="greaterThan">
      <formula>0.03</formula>
    </cfRule>
    <cfRule type="cellIs" dxfId="1" priority="308" stopIfTrue="1" operator="lessThan">
      <formula>-0.03</formula>
    </cfRule>
  </conditionalFormatting>
  <conditionalFormatting sqref="AE50:AF50">
    <cfRule type="cellIs" dxfId="0" priority="287" operator="greaterThan">
      <formula>0.03</formula>
    </cfRule>
    <cfRule type="cellIs" dxfId="1" priority="288" stopIfTrue="1" operator="lessThan">
      <formula>-0.03</formula>
    </cfRule>
  </conditionalFormatting>
  <conditionalFormatting sqref="AE51">
    <cfRule type="cellIs" dxfId="0" priority="305" operator="greaterThan">
      <formula>0.03</formula>
    </cfRule>
    <cfRule type="cellIs" dxfId="1" priority="306" stopIfTrue="1" operator="lessThan">
      <formula>-0.03</formula>
    </cfRule>
  </conditionalFormatting>
  <conditionalFormatting sqref="AF51">
    <cfRule type="cellIs" dxfId="0" priority="303" operator="greaterThan">
      <formula>0.03</formula>
    </cfRule>
    <cfRule type="cellIs" dxfId="1" priority="304" stopIfTrue="1" operator="lessThan">
      <formula>-0.03</formula>
    </cfRule>
  </conditionalFormatting>
  <conditionalFormatting sqref="AG51">
    <cfRule type="cellIs" dxfId="0" priority="301" operator="greaterThan">
      <formula>0.03</formula>
    </cfRule>
    <cfRule type="cellIs" dxfId="1" priority="302" stopIfTrue="1" operator="lessThan">
      <formula>-0.03</formula>
    </cfRule>
  </conditionalFormatting>
  <conditionalFormatting sqref="AE54:AF54">
    <cfRule type="cellIs" dxfId="0" priority="285" operator="greaterThan">
      <formula>0.03</formula>
    </cfRule>
    <cfRule type="cellIs" dxfId="1" priority="286" stopIfTrue="1" operator="lessThan">
      <formula>-0.03</formula>
    </cfRule>
  </conditionalFormatting>
  <conditionalFormatting sqref="AE55">
    <cfRule type="cellIs" dxfId="0" priority="299" operator="greaterThan">
      <formula>0.03</formula>
    </cfRule>
    <cfRule type="cellIs" dxfId="1" priority="300" stopIfTrue="1" operator="lessThan">
      <formula>-0.03</formula>
    </cfRule>
  </conditionalFormatting>
  <conditionalFormatting sqref="AF55">
    <cfRule type="cellIs" dxfId="0" priority="297" operator="greaterThan">
      <formula>0.03</formula>
    </cfRule>
    <cfRule type="cellIs" dxfId="1" priority="298" stopIfTrue="1" operator="lessThan">
      <formula>-0.03</formula>
    </cfRule>
  </conditionalFormatting>
  <conditionalFormatting sqref="AG55">
    <cfRule type="cellIs" dxfId="0" priority="295" operator="greaterThan">
      <formula>0.03</formula>
    </cfRule>
    <cfRule type="cellIs" dxfId="1" priority="296" stopIfTrue="1" operator="lessThan">
      <formula>-0.03</formula>
    </cfRule>
  </conditionalFormatting>
  <conditionalFormatting sqref="AE58:AF58">
    <cfRule type="cellIs" dxfId="0" priority="283" operator="greaterThan">
      <formula>0.03</formula>
    </cfRule>
    <cfRule type="cellIs" dxfId="1" priority="284" stopIfTrue="1" operator="lessThan">
      <formula>-0.03</formula>
    </cfRule>
  </conditionalFormatting>
  <conditionalFormatting sqref="AE59">
    <cfRule type="cellIs" dxfId="0" priority="293" operator="greaterThan">
      <formula>0.03</formula>
    </cfRule>
    <cfRule type="cellIs" dxfId="1" priority="294" stopIfTrue="1" operator="lessThan">
      <formula>-0.03</formula>
    </cfRule>
  </conditionalFormatting>
  <conditionalFormatting sqref="AF59">
    <cfRule type="cellIs" dxfId="0" priority="291" operator="greaterThan">
      <formula>0.03</formula>
    </cfRule>
    <cfRule type="cellIs" dxfId="1" priority="292" stopIfTrue="1" operator="lessThan">
      <formula>-0.03</formula>
    </cfRule>
  </conditionalFormatting>
  <conditionalFormatting sqref="AG59">
    <cfRule type="cellIs" dxfId="0" priority="289" operator="greaterThan">
      <formula>0.03</formula>
    </cfRule>
    <cfRule type="cellIs" dxfId="1" priority="290" stopIfTrue="1" operator="lessThan">
      <formula>-0.03</formula>
    </cfRule>
  </conditionalFormatting>
  <conditionalFormatting sqref="AE62:AF62">
    <cfRule type="cellIs" dxfId="0" priority="281" operator="greaterThan">
      <formula>0.03</formula>
    </cfRule>
    <cfRule type="cellIs" dxfId="1" priority="282" stopIfTrue="1" operator="lessThan">
      <formula>-0.03</formula>
    </cfRule>
  </conditionalFormatting>
  <conditionalFormatting sqref="AE63">
    <cfRule type="cellIs" dxfId="0" priority="237" operator="greaterThan">
      <formula>0.03</formula>
    </cfRule>
    <cfRule type="cellIs" dxfId="1" priority="238" stopIfTrue="1" operator="lessThan">
      <formula>-0.03</formula>
    </cfRule>
  </conditionalFormatting>
  <conditionalFormatting sqref="AF63">
    <cfRule type="cellIs" dxfId="0" priority="235" operator="greaterThan">
      <formula>0.03</formula>
    </cfRule>
    <cfRule type="cellIs" dxfId="1" priority="236" stopIfTrue="1" operator="lessThan">
      <formula>-0.03</formula>
    </cfRule>
  </conditionalFormatting>
  <conditionalFormatting sqref="AG63">
    <cfRule type="cellIs" dxfId="0" priority="233" operator="greaterThan">
      <formula>0.03</formula>
    </cfRule>
    <cfRule type="cellIs" dxfId="1" priority="234" stopIfTrue="1" operator="lessThan">
      <formula>-0.03</formula>
    </cfRule>
  </conditionalFormatting>
  <conditionalFormatting sqref="AE66:AF66">
    <cfRule type="cellIs" dxfId="0" priority="213" operator="greaterThan">
      <formula>0.03</formula>
    </cfRule>
    <cfRule type="cellIs" dxfId="1" priority="214" stopIfTrue="1" operator="lessThan">
      <formula>-0.03</formula>
    </cfRule>
  </conditionalFormatting>
  <conditionalFormatting sqref="AE67">
    <cfRule type="cellIs" dxfId="0" priority="231" operator="greaterThan">
      <formula>0.03</formula>
    </cfRule>
    <cfRule type="cellIs" dxfId="1" priority="232" stopIfTrue="1" operator="lessThan">
      <formula>-0.03</formula>
    </cfRule>
  </conditionalFormatting>
  <conditionalFormatting sqref="AF67">
    <cfRule type="cellIs" dxfId="0" priority="229" operator="greaterThan">
      <formula>0.03</formula>
    </cfRule>
    <cfRule type="cellIs" dxfId="1" priority="230" stopIfTrue="1" operator="lessThan">
      <formula>-0.03</formula>
    </cfRule>
  </conditionalFormatting>
  <conditionalFormatting sqref="AG67">
    <cfRule type="cellIs" dxfId="0" priority="227" operator="greaterThan">
      <formula>0.03</formula>
    </cfRule>
    <cfRule type="cellIs" dxfId="1" priority="228" stopIfTrue="1" operator="lessThan">
      <formula>-0.03</formula>
    </cfRule>
  </conditionalFormatting>
  <conditionalFormatting sqref="AE70:AF70">
    <cfRule type="cellIs" dxfId="0" priority="211" operator="greaterThan">
      <formula>0.03</formula>
    </cfRule>
    <cfRule type="cellIs" dxfId="1" priority="212" stopIfTrue="1" operator="lessThan">
      <formula>-0.03</formula>
    </cfRule>
  </conditionalFormatting>
  <conditionalFormatting sqref="AE71">
    <cfRule type="cellIs" dxfId="0" priority="225" operator="greaterThan">
      <formula>0.03</formula>
    </cfRule>
    <cfRule type="cellIs" dxfId="1" priority="226" stopIfTrue="1" operator="lessThan">
      <formula>-0.03</formula>
    </cfRule>
  </conditionalFormatting>
  <conditionalFormatting sqref="AF71">
    <cfRule type="cellIs" dxfId="0" priority="223" operator="greaterThan">
      <formula>0.03</formula>
    </cfRule>
    <cfRule type="cellIs" dxfId="1" priority="224" stopIfTrue="1" operator="lessThan">
      <formula>-0.03</formula>
    </cfRule>
  </conditionalFormatting>
  <conditionalFormatting sqref="AG71">
    <cfRule type="cellIs" dxfId="0" priority="221" operator="greaterThan">
      <formula>0.03</formula>
    </cfRule>
    <cfRule type="cellIs" dxfId="1" priority="222" stopIfTrue="1" operator="lessThan">
      <formula>-0.03</formula>
    </cfRule>
  </conditionalFormatting>
  <conditionalFormatting sqref="AE74:AF74">
    <cfRule type="cellIs" dxfId="0" priority="209" operator="greaterThan">
      <formula>0.03</formula>
    </cfRule>
    <cfRule type="cellIs" dxfId="1" priority="210" stopIfTrue="1" operator="lessThan">
      <formula>-0.03</formula>
    </cfRule>
  </conditionalFormatting>
  <conditionalFormatting sqref="AE75">
    <cfRule type="cellIs" dxfId="0" priority="219" operator="greaterThan">
      <formula>0.03</formula>
    </cfRule>
    <cfRule type="cellIs" dxfId="1" priority="220" stopIfTrue="1" operator="lessThan">
      <formula>-0.03</formula>
    </cfRule>
  </conditionalFormatting>
  <conditionalFormatting sqref="AF75">
    <cfRule type="cellIs" dxfId="0" priority="217" operator="greaterThan">
      <formula>0.03</formula>
    </cfRule>
    <cfRule type="cellIs" dxfId="1" priority="218" stopIfTrue="1" operator="lessThan">
      <formula>-0.03</formula>
    </cfRule>
  </conditionalFormatting>
  <conditionalFormatting sqref="AG75">
    <cfRule type="cellIs" dxfId="0" priority="215" operator="greaterThan">
      <formula>0.03</formula>
    </cfRule>
    <cfRule type="cellIs" dxfId="1" priority="216" stopIfTrue="1" operator="lessThan">
      <formula>-0.03</formula>
    </cfRule>
  </conditionalFormatting>
  <conditionalFormatting sqref="AE78:AF78">
    <cfRule type="cellIs" dxfId="0" priority="207" operator="greaterThan">
      <formula>0.03</formula>
    </cfRule>
    <cfRule type="cellIs" dxfId="1" priority="208" stopIfTrue="1" operator="lessThan">
      <formula>-0.03</formula>
    </cfRule>
  </conditionalFormatting>
  <conditionalFormatting sqref="AE79">
    <cfRule type="cellIs" dxfId="0" priority="89" operator="greaterThan">
      <formula>0.03</formula>
    </cfRule>
    <cfRule type="cellIs" dxfId="1" priority="90" stopIfTrue="1" operator="lessThan">
      <formula>-0.03</formula>
    </cfRule>
  </conditionalFormatting>
  <conditionalFormatting sqref="AF79">
    <cfRule type="cellIs" dxfId="0" priority="87" operator="greaterThan">
      <formula>0.03</formula>
    </cfRule>
    <cfRule type="cellIs" dxfId="1" priority="88" stopIfTrue="1" operator="lessThan">
      <formula>-0.03</formula>
    </cfRule>
  </conditionalFormatting>
  <conditionalFormatting sqref="AG79">
    <cfRule type="cellIs" dxfId="0" priority="85" operator="greaterThan">
      <formula>0.03</formula>
    </cfRule>
    <cfRule type="cellIs" dxfId="1" priority="86" stopIfTrue="1" operator="lessThan">
      <formula>-0.03</formula>
    </cfRule>
  </conditionalFormatting>
  <conditionalFormatting sqref="AE82:AF82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conditionalFormatting sqref="AE83">
    <cfRule type="cellIs" dxfId="0" priority="83" operator="greaterThan">
      <formula>0.03</formula>
    </cfRule>
    <cfRule type="cellIs" dxfId="1" priority="84" stopIfTrue="1" operator="lessThan">
      <formula>-0.03</formula>
    </cfRule>
  </conditionalFormatting>
  <conditionalFormatting sqref="AF83">
    <cfRule type="cellIs" dxfId="0" priority="81" operator="greaterThan">
      <formula>0.03</formula>
    </cfRule>
    <cfRule type="cellIs" dxfId="1" priority="82" stopIfTrue="1" operator="lessThan">
      <formula>-0.03</formula>
    </cfRule>
  </conditionalFormatting>
  <conditionalFormatting sqref="AG83">
    <cfRule type="cellIs" dxfId="0" priority="79" operator="greaterThan">
      <formula>0.03</formula>
    </cfRule>
    <cfRule type="cellIs" dxfId="1" priority="80" stopIfTrue="1" operator="lessThan">
      <formula>-0.03</formula>
    </cfRule>
  </conditionalFormatting>
  <conditionalFormatting sqref="AE86:AF86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AE87">
    <cfRule type="cellIs" dxfId="0" priority="77" operator="greaterThan">
      <formula>0.03</formula>
    </cfRule>
    <cfRule type="cellIs" dxfId="1" priority="78" stopIfTrue="1" operator="lessThan">
      <formula>-0.03</formula>
    </cfRule>
  </conditionalFormatting>
  <conditionalFormatting sqref="AF87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conditionalFormatting sqref="AG87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AE90:AF90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AE91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AF91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AG91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AE94:AF94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AE95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AF95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AG95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AE98:AF98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AE99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AF99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AG99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AE102:AF102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AE103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AF103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AG103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AE106:AF106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AE107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AF107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AG107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AE110:AF110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AE111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AF111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AG111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AE114:AF114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AE115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AF115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AG115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AE118:AF118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AE119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AF119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AG119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AE122:AF122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AB124:AG124">
    <cfRule type="cellIs" dxfId="0" priority="497" operator="greaterThan">
      <formula>0.03</formula>
    </cfRule>
    <cfRule type="cellIs" dxfId="1" priority="498" stopIfTrue="1" operator="lessThan">
      <formula>-0.03</formula>
    </cfRule>
  </conditionalFormatting>
  <conditionalFormatting sqref="AB126:AG126">
    <cfRule type="cellIs" dxfId="0" priority="501" operator="greaterThan">
      <formula>0.03</formula>
    </cfRule>
    <cfRule type="cellIs" dxfId="1" priority="502" stopIfTrue="1" operator="lessThan">
      <formula>-0.03</formula>
    </cfRule>
  </conditionalFormatting>
  <conditionalFormatting sqref="AB129:AG129">
    <cfRule type="cellIs" dxfId="0" priority="499" operator="greaterThan">
      <formula>0.03</formula>
    </cfRule>
    <cfRule type="cellIs" dxfId="1" priority="500" stopIfTrue="1" operator="lessThan">
      <formula>-0.03</formula>
    </cfRule>
  </conditionalFormatting>
  <conditionalFormatting sqref="AB130:AG130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AB131:AG131">
    <cfRule type="cellIs" dxfId="0" priority="507" operator="greaterThan">
      <formula>0.03</formula>
    </cfRule>
    <cfRule type="cellIs" dxfId="1" priority="508" stopIfTrue="1" operator="lessThan">
      <formula>-0.03</formula>
    </cfRule>
  </conditionalFormatting>
  <conditionalFormatting sqref="AB3:AD14">
    <cfRule type="cellIs" dxfId="0" priority="581" operator="greaterThan">
      <formula>0.03</formula>
    </cfRule>
    <cfRule type="cellIs" dxfId="1" priority="582" stopIfTrue="1" operator="lessThan">
      <formula>-0.03</formula>
    </cfRule>
  </conditionalFormatting>
  <conditionalFormatting sqref="AB15:AD26">
    <cfRule type="cellIs" dxfId="0" priority="483" operator="greaterThan">
      <formula>0.03</formula>
    </cfRule>
    <cfRule type="cellIs" dxfId="1" priority="484" stopIfTrue="1" operator="lessThan">
      <formula>-0.03</formula>
    </cfRule>
  </conditionalFormatting>
  <conditionalFormatting sqref="AB27:AD30">
    <cfRule type="cellIs" dxfId="0" priority="409" operator="greaterThan">
      <formula>0.03</formula>
    </cfRule>
    <cfRule type="cellIs" dxfId="1" priority="410" stopIfTrue="1" operator="lessThan">
      <formula>-0.03</formula>
    </cfRule>
  </conditionalFormatting>
  <conditionalFormatting sqref="AB31:AD38">
    <cfRule type="cellIs" dxfId="0" priority="389" operator="greaterThan">
      <formula>0.03</formula>
    </cfRule>
    <cfRule type="cellIs" dxfId="1" priority="390" stopIfTrue="1" operator="lessThan">
      <formula>-0.03</formula>
    </cfRule>
  </conditionalFormatting>
  <conditionalFormatting sqref="AB39:AD46">
    <cfRule type="cellIs" dxfId="0" priority="351" operator="greaterThan">
      <formula>0.03</formula>
    </cfRule>
    <cfRule type="cellIs" dxfId="1" priority="352" stopIfTrue="1" operator="lessThan">
      <formula>-0.03</formula>
    </cfRule>
  </conditionalFormatting>
  <conditionalFormatting sqref="AB47:AD62">
    <cfRule type="cellIs" dxfId="0" priority="313" operator="greaterThan">
      <formula>0.03</formula>
    </cfRule>
    <cfRule type="cellIs" dxfId="1" priority="314" stopIfTrue="1" operator="lessThan">
      <formula>-0.03</formula>
    </cfRule>
  </conditionalFormatting>
  <conditionalFormatting sqref="AB63:AD78">
    <cfRule type="cellIs" dxfId="0" priority="239" operator="greaterThan">
      <formula>0.03</formula>
    </cfRule>
    <cfRule type="cellIs" dxfId="1" priority="240" stopIfTrue="1" operator="lessThan">
      <formula>-0.03</formula>
    </cfRule>
  </conditionalFormatting>
  <conditionalFormatting sqref="AB79:AD90">
    <cfRule type="cellIs" dxfId="0" priority="91" operator="greaterThan">
      <formula>0.03</formula>
    </cfRule>
    <cfRule type="cellIs" dxfId="1" priority="92" stopIfTrue="1" operator="lessThan">
      <formula>-0.03</formula>
    </cfRule>
  </conditionalFormatting>
  <conditionalFormatting sqref="AB91:AD106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AB107:AD122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AB123:AG123 AB125:AG125">
    <cfRule type="cellIs" dxfId="0" priority="503" operator="greaterThan">
      <formula>0.03</formula>
    </cfRule>
    <cfRule type="cellIs" dxfId="1" priority="504" stopIfTrue="1" operator="lessThan">
      <formula>-0.03</formula>
    </cfRule>
  </conditionalFormatting>
  <conditionalFormatting sqref="AB127:AG128">
    <cfRule type="cellIs" dxfId="0" priority="505" operator="greaterThan">
      <formula>0.03</formula>
    </cfRule>
    <cfRule type="cellIs" dxfId="1" priority="506" stopIfTrue="1" operator="lessThan">
      <formula>-0.03</formula>
    </cfRule>
  </conditionalFormatting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AG156"/>
  <sheetViews>
    <sheetView zoomScale="85" zoomScaleNormal="85" topLeftCell="A57" workbookViewId="0">
      <selection activeCell="W63" sqref="W63"/>
    </sheetView>
  </sheetViews>
  <sheetFormatPr defaultColWidth="10.75" defaultRowHeight="1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10" width="8.75" style="2" customWidth="1"/>
    <col min="11" max="11" width="11.8333333333333" style="2" customWidth="1"/>
    <col min="12" max="12" width="11.8333333333333" style="3" customWidth="1"/>
    <col min="13" max="13" width="2.75" style="2" customWidth="1"/>
    <col min="14" max="14" width="9.75" style="2" customWidth="1"/>
    <col min="15" max="17" width="6.75" style="2" customWidth="1"/>
    <col min="18" max="20" width="8.75" style="2" customWidth="1"/>
    <col min="21" max="21" width="11.8333333333333" style="2" customWidth="1"/>
    <col min="22" max="22" width="11.8333333333333" style="3" customWidth="1"/>
    <col min="23" max="24" width="5.58333333333333" style="2" customWidth="1"/>
    <col min="25" max="25" width="9.83333333333333" style="2" customWidth="1"/>
    <col min="26" max="26" width="7.25" style="2" customWidth="1"/>
    <col min="27" max="27" width="2.75" style="2" customWidth="1"/>
    <col min="28" max="33" width="8.75" style="2" customWidth="1"/>
    <col min="34" max="34" width="10.75" style="2" customWidth="1"/>
    <col min="35" max="16384" width="10.75" style="2"/>
  </cols>
  <sheetData>
    <row r="1" ht="12.75" customHeight="1" spans="4:33">
      <c r="D1" s="4" t="s">
        <v>95</v>
      </c>
      <c r="E1" s="5"/>
      <c r="F1" s="5"/>
      <c r="G1" s="5"/>
      <c r="H1" s="5"/>
      <c r="I1" s="5"/>
      <c r="J1" s="5"/>
      <c r="K1" s="5"/>
      <c r="L1" s="20"/>
      <c r="N1" s="4" t="s">
        <v>96</v>
      </c>
      <c r="O1" s="5"/>
      <c r="P1" s="5"/>
      <c r="Q1" s="5"/>
      <c r="R1" s="5"/>
      <c r="S1" s="5"/>
      <c r="T1" s="5"/>
      <c r="U1" s="5"/>
      <c r="V1" s="20"/>
      <c r="W1" s="33"/>
      <c r="X1" s="33"/>
      <c r="Y1" s="33"/>
      <c r="Z1" s="35"/>
      <c r="AA1" s="36"/>
      <c r="AB1" s="4" t="s">
        <v>97</v>
      </c>
      <c r="AC1" s="5"/>
      <c r="AD1" s="20"/>
      <c r="AE1" s="4" t="s">
        <v>98</v>
      </c>
      <c r="AF1" s="5"/>
      <c r="AG1" s="20"/>
    </row>
    <row r="2" ht="12.75" customHeight="1" spans="1:33">
      <c r="A2" s="6"/>
      <c r="B2" s="7"/>
      <c r="C2" s="8" t="s">
        <v>99</v>
      </c>
      <c r="D2" s="9" t="s">
        <v>59</v>
      </c>
      <c r="E2" s="10" t="s">
        <v>60</v>
      </c>
      <c r="F2" s="10" t="s">
        <v>61</v>
      </c>
      <c r="G2" s="10" t="s">
        <v>62</v>
      </c>
      <c r="H2" s="10" t="s">
        <v>100</v>
      </c>
      <c r="I2" s="10" t="s">
        <v>101</v>
      </c>
      <c r="J2" s="10" t="s">
        <v>102</v>
      </c>
      <c r="K2" s="21" t="s">
        <v>103</v>
      </c>
      <c r="L2" s="22" t="s">
        <v>104</v>
      </c>
      <c r="M2" s="23"/>
      <c r="N2" s="9" t="s">
        <v>59</v>
      </c>
      <c r="O2" s="10" t="s">
        <v>60</v>
      </c>
      <c r="P2" s="10" t="s">
        <v>61</v>
      </c>
      <c r="Q2" s="10" t="s">
        <v>62</v>
      </c>
      <c r="R2" s="10" t="s">
        <v>100</v>
      </c>
      <c r="S2" s="10" t="s">
        <v>101</v>
      </c>
      <c r="T2" s="10" t="s">
        <v>102</v>
      </c>
      <c r="U2" s="22" t="s">
        <v>103</v>
      </c>
      <c r="V2" s="22" t="s">
        <v>104</v>
      </c>
      <c r="W2" s="34" t="s">
        <v>105</v>
      </c>
      <c r="X2" s="21" t="s">
        <v>106</v>
      </c>
      <c r="Y2" s="21" t="s">
        <v>107</v>
      </c>
      <c r="Z2" s="37" t="s">
        <v>108</v>
      </c>
      <c r="AA2" s="37"/>
      <c r="AB2" s="9" t="s">
        <v>9</v>
      </c>
      <c r="AC2" s="10" t="s">
        <v>10</v>
      </c>
      <c r="AD2" s="22" t="s">
        <v>11</v>
      </c>
      <c r="AE2" s="9" t="s">
        <v>9</v>
      </c>
      <c r="AF2" s="10" t="s">
        <v>10</v>
      </c>
      <c r="AG2" s="22" t="s">
        <v>11</v>
      </c>
    </row>
    <row r="3" spans="1:33">
      <c r="A3" s="11" t="s">
        <v>19</v>
      </c>
      <c r="B3" s="11" t="s">
        <v>64</v>
      </c>
      <c r="C3" s="11">
        <v>22</v>
      </c>
      <c r="D3" s="12"/>
      <c r="E3" s="13"/>
      <c r="F3" s="13"/>
      <c r="G3" s="13"/>
      <c r="H3" s="13"/>
      <c r="I3" s="13"/>
      <c r="J3" s="13"/>
      <c r="K3" s="13"/>
      <c r="L3" s="24"/>
      <c r="N3" s="12"/>
      <c r="O3" s="13"/>
      <c r="P3" s="13"/>
      <c r="Q3" s="13"/>
      <c r="R3" s="13"/>
      <c r="S3" s="13"/>
      <c r="T3" s="13"/>
      <c r="U3" s="13"/>
      <c r="V3" s="24"/>
      <c r="W3" s="13"/>
      <c r="X3" s="13"/>
      <c r="Y3" s="13"/>
      <c r="Z3" s="24"/>
      <c r="AA3" s="38"/>
      <c r="AB3" s="39"/>
      <c r="AC3" s="40"/>
      <c r="AD3" s="41"/>
      <c r="AE3" s="39"/>
      <c r="AF3" s="40"/>
      <c r="AG3" s="41"/>
    </row>
    <row r="4" spans="1:33">
      <c r="A4" s="14" t="s">
        <v>109</v>
      </c>
      <c r="B4" s="14"/>
      <c r="C4" s="14">
        <v>27</v>
      </c>
      <c r="D4" s="15"/>
      <c r="E4" s="16"/>
      <c r="F4" s="16"/>
      <c r="G4" s="16"/>
      <c r="H4" s="16"/>
      <c r="I4" s="16"/>
      <c r="J4" s="16"/>
      <c r="K4" s="16"/>
      <c r="L4" s="25"/>
      <c r="N4" s="15"/>
      <c r="O4" s="16"/>
      <c r="P4" s="16"/>
      <c r="Q4" s="16"/>
      <c r="R4" s="16"/>
      <c r="S4" s="16"/>
      <c r="T4" s="16"/>
      <c r="U4" s="16"/>
      <c r="V4" s="25"/>
      <c r="W4" s="16"/>
      <c r="X4" s="16"/>
      <c r="Y4" s="16"/>
      <c r="Z4" s="25"/>
      <c r="AA4" s="42"/>
      <c r="AB4" s="43"/>
      <c r="AC4" s="44"/>
      <c r="AD4" s="45"/>
      <c r="AE4" s="43"/>
      <c r="AF4" s="44"/>
      <c r="AG4" s="45"/>
    </row>
    <row r="5" spans="1:33">
      <c r="A5" s="14"/>
      <c r="B5" s="14"/>
      <c r="C5" s="14">
        <v>32</v>
      </c>
      <c r="D5" s="15"/>
      <c r="E5" s="16"/>
      <c r="F5" s="16"/>
      <c r="G5" s="16"/>
      <c r="H5" s="16"/>
      <c r="I5" s="16"/>
      <c r="J5" s="16"/>
      <c r="K5" s="16"/>
      <c r="L5" s="25"/>
      <c r="N5" s="15"/>
      <c r="O5" s="16"/>
      <c r="P5" s="16"/>
      <c r="Q5" s="16"/>
      <c r="R5" s="16"/>
      <c r="S5" s="16"/>
      <c r="T5" s="16"/>
      <c r="U5" s="16"/>
      <c r="V5" s="25"/>
      <c r="W5" s="16"/>
      <c r="X5" s="16"/>
      <c r="Y5" s="16"/>
      <c r="Z5" s="25"/>
      <c r="AA5" s="42"/>
      <c r="AB5" s="43"/>
      <c r="AC5" s="44"/>
      <c r="AD5" s="45"/>
      <c r="AE5" s="43"/>
      <c r="AF5" s="44"/>
      <c r="AG5" s="45"/>
    </row>
    <row r="6" ht="12.75" customHeight="1" spans="1:33">
      <c r="A6" s="14"/>
      <c r="B6" s="17"/>
      <c r="C6" s="17">
        <v>37</v>
      </c>
      <c r="D6" s="18"/>
      <c r="E6" s="19"/>
      <c r="F6" s="19"/>
      <c r="G6" s="19"/>
      <c r="H6" s="19"/>
      <c r="I6" s="19"/>
      <c r="J6" s="19"/>
      <c r="K6" s="19"/>
      <c r="L6" s="26"/>
      <c r="N6" s="18"/>
      <c r="O6" s="19"/>
      <c r="P6" s="19"/>
      <c r="Q6" s="19"/>
      <c r="R6" s="19"/>
      <c r="S6" s="19"/>
      <c r="T6" s="19"/>
      <c r="U6" s="19"/>
      <c r="V6" s="26"/>
      <c r="W6" s="16"/>
      <c r="X6" s="16"/>
      <c r="Y6" s="16"/>
      <c r="Z6" s="25"/>
      <c r="AA6" s="42"/>
      <c r="AB6" s="46"/>
      <c r="AC6" s="47"/>
      <c r="AD6" s="48"/>
      <c r="AE6" s="46"/>
      <c r="AF6" s="47"/>
      <c r="AG6" s="48"/>
    </row>
    <row r="7" spans="1:33">
      <c r="A7" s="14"/>
      <c r="B7" s="11" t="s">
        <v>66</v>
      </c>
      <c r="C7" s="11">
        <v>22</v>
      </c>
      <c r="D7" s="12"/>
      <c r="E7" s="13"/>
      <c r="F7" s="13"/>
      <c r="G7" s="13"/>
      <c r="H7" s="13"/>
      <c r="I7" s="13"/>
      <c r="J7" s="13"/>
      <c r="K7" s="13"/>
      <c r="L7" s="24"/>
      <c r="N7" s="12"/>
      <c r="O7" s="13"/>
      <c r="P7" s="13"/>
      <c r="Q7" s="13"/>
      <c r="R7" s="13"/>
      <c r="S7" s="13"/>
      <c r="T7" s="13"/>
      <c r="U7" s="13"/>
      <c r="V7" s="24"/>
      <c r="W7" s="16"/>
      <c r="X7" s="16"/>
      <c r="Y7" s="16"/>
      <c r="Z7" s="25"/>
      <c r="AA7" s="42"/>
      <c r="AB7" s="39"/>
      <c r="AC7" s="40"/>
      <c r="AD7" s="40"/>
      <c r="AE7" s="49"/>
      <c r="AF7" s="50"/>
      <c r="AG7" s="52"/>
    </row>
    <row r="8" spans="1:33">
      <c r="A8" s="14"/>
      <c r="B8" s="14"/>
      <c r="C8" s="14">
        <v>27</v>
      </c>
      <c r="D8" s="15"/>
      <c r="E8" s="16"/>
      <c r="F8" s="16"/>
      <c r="G8" s="16"/>
      <c r="H8" s="16"/>
      <c r="I8" s="16"/>
      <c r="J8" s="16"/>
      <c r="K8" s="16"/>
      <c r="L8" s="25"/>
      <c r="N8" s="15"/>
      <c r="O8" s="16"/>
      <c r="P8" s="16"/>
      <c r="Q8" s="16"/>
      <c r="R8" s="16"/>
      <c r="S8" s="16"/>
      <c r="T8" s="16"/>
      <c r="U8" s="16"/>
      <c r="V8" s="25"/>
      <c r="W8" s="16"/>
      <c r="X8" s="16"/>
      <c r="Y8" s="16"/>
      <c r="Z8" s="25"/>
      <c r="AA8" s="42"/>
      <c r="AB8" s="43"/>
      <c r="AC8" s="44"/>
      <c r="AD8" s="44"/>
      <c r="AE8" s="43"/>
      <c r="AF8" s="44"/>
      <c r="AG8" s="45"/>
    </row>
    <row r="9" spans="1:33">
      <c r="A9" s="14"/>
      <c r="B9" s="14"/>
      <c r="C9" s="14">
        <v>32</v>
      </c>
      <c r="D9" s="15"/>
      <c r="E9" s="16"/>
      <c r="F9" s="16"/>
      <c r="G9" s="16"/>
      <c r="H9" s="16"/>
      <c r="I9" s="16"/>
      <c r="J9" s="16"/>
      <c r="K9" s="16"/>
      <c r="L9" s="25"/>
      <c r="N9" s="15"/>
      <c r="O9" s="16"/>
      <c r="P9" s="16"/>
      <c r="Q9" s="16"/>
      <c r="R9" s="16"/>
      <c r="S9" s="16"/>
      <c r="T9" s="16"/>
      <c r="U9" s="16"/>
      <c r="V9" s="25"/>
      <c r="W9" s="16"/>
      <c r="X9" s="16"/>
      <c r="Y9" s="16"/>
      <c r="Z9" s="25"/>
      <c r="AA9" s="42"/>
      <c r="AB9" s="43"/>
      <c r="AC9" s="44"/>
      <c r="AD9" s="44"/>
      <c r="AE9" s="43"/>
      <c r="AF9" s="44"/>
      <c r="AG9" s="45"/>
    </row>
    <row r="10" ht="12.75" customHeight="1" spans="1:33">
      <c r="A10" s="14"/>
      <c r="B10" s="17"/>
      <c r="C10" s="17">
        <v>37</v>
      </c>
      <c r="D10" s="18"/>
      <c r="E10" s="19"/>
      <c r="F10" s="19"/>
      <c r="G10" s="19"/>
      <c r="H10" s="19"/>
      <c r="I10" s="19"/>
      <c r="J10" s="19"/>
      <c r="K10" s="19"/>
      <c r="L10" s="26"/>
      <c r="N10" s="18"/>
      <c r="O10" s="19"/>
      <c r="P10" s="19"/>
      <c r="Q10" s="19"/>
      <c r="R10" s="19"/>
      <c r="S10" s="19"/>
      <c r="T10" s="19"/>
      <c r="U10" s="19"/>
      <c r="V10" s="26"/>
      <c r="W10" s="16"/>
      <c r="X10" s="16"/>
      <c r="Y10" s="16"/>
      <c r="Z10" s="25"/>
      <c r="AA10" s="42"/>
      <c r="AB10" s="46"/>
      <c r="AC10" s="47"/>
      <c r="AD10" s="47"/>
      <c r="AE10" s="46"/>
      <c r="AF10" s="47"/>
      <c r="AG10" s="48"/>
    </row>
    <row r="11" spans="1:33">
      <c r="A11" s="14"/>
      <c r="B11" s="11" t="s">
        <v>67</v>
      </c>
      <c r="C11" s="11">
        <v>22</v>
      </c>
      <c r="D11" s="12"/>
      <c r="E11" s="13"/>
      <c r="F11" s="13"/>
      <c r="G11" s="13"/>
      <c r="H11" s="13"/>
      <c r="I11" s="13"/>
      <c r="J11" s="13"/>
      <c r="K11" s="13"/>
      <c r="L11" s="24"/>
      <c r="N11" s="12"/>
      <c r="O11" s="13"/>
      <c r="P11" s="13"/>
      <c r="Q11" s="13"/>
      <c r="R11" s="13"/>
      <c r="S11" s="13"/>
      <c r="T11" s="13"/>
      <c r="U11" s="13"/>
      <c r="V11" s="24"/>
      <c r="W11" s="16"/>
      <c r="X11" s="16"/>
      <c r="Y11" s="16"/>
      <c r="Z11" s="25"/>
      <c r="AA11" s="42"/>
      <c r="AB11" s="39"/>
      <c r="AC11" s="40"/>
      <c r="AD11" s="40"/>
      <c r="AE11" s="49"/>
      <c r="AF11" s="50"/>
      <c r="AG11" s="52"/>
    </row>
    <row r="12" spans="1:33">
      <c r="A12" s="14"/>
      <c r="B12" s="14"/>
      <c r="C12" s="14">
        <v>27</v>
      </c>
      <c r="D12" s="15"/>
      <c r="E12" s="16"/>
      <c r="F12" s="16"/>
      <c r="G12" s="16"/>
      <c r="H12" s="16"/>
      <c r="I12" s="16"/>
      <c r="J12" s="16"/>
      <c r="K12" s="16"/>
      <c r="L12" s="25"/>
      <c r="N12" s="15"/>
      <c r="O12" s="16"/>
      <c r="P12" s="16"/>
      <c r="Q12" s="16"/>
      <c r="R12" s="16"/>
      <c r="S12" s="16"/>
      <c r="T12" s="16"/>
      <c r="U12" s="16"/>
      <c r="V12" s="25"/>
      <c r="W12" s="16"/>
      <c r="X12" s="16"/>
      <c r="Y12" s="16"/>
      <c r="Z12" s="25"/>
      <c r="AA12" s="42"/>
      <c r="AB12" s="43"/>
      <c r="AC12" s="44"/>
      <c r="AD12" s="44"/>
      <c r="AE12" s="43"/>
      <c r="AF12" s="44"/>
      <c r="AG12" s="45"/>
    </row>
    <row r="13" spans="1:33">
      <c r="A13" s="14"/>
      <c r="B13" s="14"/>
      <c r="C13" s="14">
        <v>32</v>
      </c>
      <c r="D13" s="15"/>
      <c r="E13" s="16"/>
      <c r="F13" s="16"/>
      <c r="G13" s="16"/>
      <c r="H13" s="16"/>
      <c r="I13" s="16"/>
      <c r="J13" s="16"/>
      <c r="K13" s="16"/>
      <c r="L13" s="25"/>
      <c r="N13" s="15"/>
      <c r="O13" s="16"/>
      <c r="P13" s="16"/>
      <c r="Q13" s="16"/>
      <c r="R13" s="16"/>
      <c r="S13" s="16"/>
      <c r="T13" s="16"/>
      <c r="U13" s="16"/>
      <c r="V13" s="25"/>
      <c r="W13" s="16"/>
      <c r="X13" s="16"/>
      <c r="Y13" s="16"/>
      <c r="Z13" s="25"/>
      <c r="AA13" s="42"/>
      <c r="AB13" s="43"/>
      <c r="AC13" s="44"/>
      <c r="AD13" s="44"/>
      <c r="AE13" s="43"/>
      <c r="AF13" s="44"/>
      <c r="AG13" s="45"/>
    </row>
    <row r="14" ht="12.75" customHeight="1" spans="1:33">
      <c r="A14" s="14"/>
      <c r="B14" s="17"/>
      <c r="C14" s="17">
        <v>37</v>
      </c>
      <c r="D14" s="18"/>
      <c r="E14" s="19"/>
      <c r="F14" s="19"/>
      <c r="G14" s="19"/>
      <c r="H14" s="19"/>
      <c r="I14" s="19"/>
      <c r="J14" s="19"/>
      <c r="K14" s="19"/>
      <c r="L14" s="26"/>
      <c r="N14" s="18"/>
      <c r="O14" s="19"/>
      <c r="P14" s="19"/>
      <c r="Q14" s="19"/>
      <c r="R14" s="19"/>
      <c r="S14" s="19"/>
      <c r="T14" s="19"/>
      <c r="U14" s="19"/>
      <c r="V14" s="26"/>
      <c r="W14" s="16"/>
      <c r="X14" s="16"/>
      <c r="Y14" s="16"/>
      <c r="Z14" s="25"/>
      <c r="AA14" s="42"/>
      <c r="AB14" s="46"/>
      <c r="AC14" s="47"/>
      <c r="AD14" s="47"/>
      <c r="AE14" s="46"/>
      <c r="AF14" s="47"/>
      <c r="AG14" s="48"/>
    </row>
    <row r="15" spans="1:33">
      <c r="A15" s="11" t="s">
        <v>21</v>
      </c>
      <c r="B15" s="11" t="s">
        <v>110</v>
      </c>
      <c r="C15" s="11">
        <v>22</v>
      </c>
      <c r="D15" s="12"/>
      <c r="E15" s="13"/>
      <c r="F15" s="13"/>
      <c r="G15" s="13"/>
      <c r="H15" s="13"/>
      <c r="I15" s="13"/>
      <c r="J15" s="13"/>
      <c r="K15" s="13"/>
      <c r="L15" s="24"/>
      <c r="N15" s="12"/>
      <c r="O15" s="13"/>
      <c r="P15" s="13"/>
      <c r="Q15" s="13"/>
      <c r="R15" s="13"/>
      <c r="S15" s="13"/>
      <c r="T15" s="13"/>
      <c r="U15" s="13"/>
      <c r="V15" s="24"/>
      <c r="W15" s="13"/>
      <c r="X15" s="13"/>
      <c r="Y15" s="13"/>
      <c r="Z15" s="24"/>
      <c r="AA15" s="38"/>
      <c r="AB15" s="39"/>
      <c r="AC15" s="40"/>
      <c r="AD15" s="41"/>
      <c r="AE15" s="39"/>
      <c r="AF15" s="40"/>
      <c r="AG15" s="41"/>
    </row>
    <row r="16" spans="1:33">
      <c r="A16" s="14" t="s">
        <v>109</v>
      </c>
      <c r="B16" s="14"/>
      <c r="C16" s="14">
        <v>27</v>
      </c>
      <c r="D16" s="15"/>
      <c r="E16" s="16"/>
      <c r="F16" s="16"/>
      <c r="G16" s="16"/>
      <c r="H16" s="16"/>
      <c r="I16" s="16"/>
      <c r="J16" s="16"/>
      <c r="K16" s="16"/>
      <c r="L16" s="25"/>
      <c r="N16" s="15"/>
      <c r="O16" s="16"/>
      <c r="P16" s="16"/>
      <c r="Q16" s="16"/>
      <c r="R16" s="16"/>
      <c r="S16" s="16"/>
      <c r="T16" s="16"/>
      <c r="U16" s="16"/>
      <c r="V16" s="25"/>
      <c r="W16" s="16"/>
      <c r="X16" s="16"/>
      <c r="Y16" s="16"/>
      <c r="Z16" s="25"/>
      <c r="AA16" s="42"/>
      <c r="AB16" s="43"/>
      <c r="AC16" s="44"/>
      <c r="AD16" s="45"/>
      <c r="AE16" s="43"/>
      <c r="AF16" s="44"/>
      <c r="AG16" s="45"/>
    </row>
    <row r="17" spans="1:33">
      <c r="A17" s="14"/>
      <c r="B17" s="14"/>
      <c r="C17" s="14">
        <v>32</v>
      </c>
      <c r="D17" s="15"/>
      <c r="E17" s="16"/>
      <c r="F17" s="16"/>
      <c r="G17" s="16"/>
      <c r="H17" s="16"/>
      <c r="I17" s="16"/>
      <c r="J17" s="16"/>
      <c r="K17" s="16"/>
      <c r="L17" s="25"/>
      <c r="N17" s="15"/>
      <c r="O17" s="16"/>
      <c r="P17" s="16"/>
      <c r="Q17" s="16"/>
      <c r="R17" s="16"/>
      <c r="S17" s="16"/>
      <c r="T17" s="16"/>
      <c r="U17" s="16"/>
      <c r="V17" s="25"/>
      <c r="W17" s="16"/>
      <c r="X17" s="16"/>
      <c r="Y17" s="16"/>
      <c r="Z17" s="25"/>
      <c r="AA17" s="42"/>
      <c r="AB17" s="43"/>
      <c r="AC17" s="44"/>
      <c r="AD17" s="45"/>
      <c r="AE17" s="43"/>
      <c r="AF17" s="44"/>
      <c r="AG17" s="45"/>
    </row>
    <row r="18" ht="12.75" customHeight="1" spans="1:33">
      <c r="A18" s="14"/>
      <c r="B18" s="17"/>
      <c r="C18" s="17">
        <v>37</v>
      </c>
      <c r="D18" s="18"/>
      <c r="E18" s="19"/>
      <c r="F18" s="19"/>
      <c r="G18" s="19"/>
      <c r="H18" s="19"/>
      <c r="I18" s="19"/>
      <c r="J18" s="19"/>
      <c r="K18" s="19"/>
      <c r="L18" s="26"/>
      <c r="N18" s="18"/>
      <c r="O18" s="19"/>
      <c r="P18" s="19"/>
      <c r="Q18" s="19"/>
      <c r="R18" s="19"/>
      <c r="S18" s="19"/>
      <c r="T18" s="19"/>
      <c r="U18" s="19"/>
      <c r="V18" s="26"/>
      <c r="W18" s="16"/>
      <c r="X18" s="16"/>
      <c r="Y18" s="16"/>
      <c r="Z18" s="25"/>
      <c r="AA18" s="42"/>
      <c r="AB18" s="46"/>
      <c r="AC18" s="47"/>
      <c r="AD18" s="48"/>
      <c r="AE18" s="46"/>
      <c r="AF18" s="47"/>
      <c r="AG18" s="48"/>
    </row>
    <row r="19" spans="1:33">
      <c r="A19" s="14"/>
      <c r="B19" s="14" t="s">
        <v>70</v>
      </c>
      <c r="C19" s="11">
        <v>22</v>
      </c>
      <c r="D19" s="12"/>
      <c r="E19" s="13"/>
      <c r="F19" s="13"/>
      <c r="G19" s="13"/>
      <c r="H19" s="13"/>
      <c r="I19" s="13"/>
      <c r="J19" s="13"/>
      <c r="K19" s="13"/>
      <c r="L19" s="24"/>
      <c r="N19" s="12"/>
      <c r="O19" s="13"/>
      <c r="P19" s="13"/>
      <c r="Q19" s="13"/>
      <c r="R19" s="13"/>
      <c r="S19" s="13"/>
      <c r="T19" s="13"/>
      <c r="U19" s="13"/>
      <c r="V19" s="24"/>
      <c r="W19" s="16"/>
      <c r="X19" s="16"/>
      <c r="Y19" s="16"/>
      <c r="Z19" s="25"/>
      <c r="AA19" s="42"/>
      <c r="AB19" s="39"/>
      <c r="AC19" s="40"/>
      <c r="AD19" s="40"/>
      <c r="AE19" s="49"/>
      <c r="AF19" s="50"/>
      <c r="AG19" s="52"/>
    </row>
    <row r="20" spans="1:33">
      <c r="A20" s="14"/>
      <c r="B20" s="14"/>
      <c r="C20" s="14">
        <v>27</v>
      </c>
      <c r="D20" s="15"/>
      <c r="E20" s="16"/>
      <c r="F20" s="16"/>
      <c r="G20" s="16"/>
      <c r="H20" s="16"/>
      <c r="I20" s="16"/>
      <c r="J20" s="16"/>
      <c r="K20" s="16"/>
      <c r="L20" s="25"/>
      <c r="N20" s="15"/>
      <c r="O20" s="16"/>
      <c r="P20" s="16"/>
      <c r="Q20" s="16"/>
      <c r="R20" s="16"/>
      <c r="S20" s="16"/>
      <c r="T20" s="16"/>
      <c r="U20" s="16"/>
      <c r="V20" s="25"/>
      <c r="W20" s="16"/>
      <c r="X20" s="16"/>
      <c r="Y20" s="16"/>
      <c r="Z20" s="25"/>
      <c r="AA20" s="42"/>
      <c r="AB20" s="43"/>
      <c r="AC20" s="44"/>
      <c r="AD20" s="44"/>
      <c r="AE20" s="43"/>
      <c r="AF20" s="44"/>
      <c r="AG20" s="45"/>
    </row>
    <row r="21" spans="1:33">
      <c r="A21" s="14"/>
      <c r="B21" s="14"/>
      <c r="C21" s="14">
        <v>32</v>
      </c>
      <c r="D21" s="15"/>
      <c r="E21" s="16"/>
      <c r="F21" s="16"/>
      <c r="G21" s="16"/>
      <c r="H21" s="16"/>
      <c r="I21" s="16"/>
      <c r="J21" s="16"/>
      <c r="K21" s="16"/>
      <c r="L21" s="25"/>
      <c r="N21" s="15"/>
      <c r="O21" s="16"/>
      <c r="P21" s="16"/>
      <c r="Q21" s="16"/>
      <c r="R21" s="16"/>
      <c r="S21" s="16"/>
      <c r="T21" s="16"/>
      <c r="U21" s="16"/>
      <c r="V21" s="25"/>
      <c r="W21" s="16"/>
      <c r="X21" s="16"/>
      <c r="Y21" s="16"/>
      <c r="Z21" s="25"/>
      <c r="AA21" s="42"/>
      <c r="AB21" s="43"/>
      <c r="AC21" s="44"/>
      <c r="AD21" s="44"/>
      <c r="AE21" s="43"/>
      <c r="AF21" s="44"/>
      <c r="AG21" s="45"/>
    </row>
    <row r="22" ht="12.75" customHeight="1" spans="1:33">
      <c r="A22" s="14"/>
      <c r="B22" s="17"/>
      <c r="C22" s="17">
        <v>37</v>
      </c>
      <c r="D22" s="18"/>
      <c r="E22" s="19"/>
      <c r="F22" s="19"/>
      <c r="G22" s="19"/>
      <c r="H22" s="19"/>
      <c r="I22" s="19"/>
      <c r="J22" s="19"/>
      <c r="K22" s="19"/>
      <c r="L22" s="26"/>
      <c r="N22" s="18"/>
      <c r="O22" s="19"/>
      <c r="P22" s="19"/>
      <c r="Q22" s="19"/>
      <c r="R22" s="19"/>
      <c r="S22" s="19"/>
      <c r="T22" s="19"/>
      <c r="U22" s="19"/>
      <c r="V22" s="26"/>
      <c r="W22" s="16"/>
      <c r="X22" s="16"/>
      <c r="Y22" s="16"/>
      <c r="Z22" s="25"/>
      <c r="AA22" s="42"/>
      <c r="AB22" s="46"/>
      <c r="AC22" s="47"/>
      <c r="AD22" s="47"/>
      <c r="AE22" s="46"/>
      <c r="AF22" s="47"/>
      <c r="AG22" s="48"/>
    </row>
    <row r="23" spans="1:33">
      <c r="A23" s="14"/>
      <c r="B23" s="14" t="s">
        <v>71</v>
      </c>
      <c r="C23" s="11">
        <v>22</v>
      </c>
      <c r="D23" s="12"/>
      <c r="E23" s="13"/>
      <c r="F23" s="13"/>
      <c r="G23" s="13"/>
      <c r="H23" s="13"/>
      <c r="I23" s="13"/>
      <c r="J23" s="13"/>
      <c r="K23" s="13"/>
      <c r="L23" s="24"/>
      <c r="N23" s="12"/>
      <c r="O23" s="13"/>
      <c r="P23" s="13"/>
      <c r="Q23" s="13"/>
      <c r="R23" s="13"/>
      <c r="S23" s="13"/>
      <c r="T23" s="13"/>
      <c r="U23" s="13"/>
      <c r="V23" s="24"/>
      <c r="W23" s="16"/>
      <c r="X23" s="16"/>
      <c r="Y23" s="16"/>
      <c r="Z23" s="25"/>
      <c r="AA23" s="42"/>
      <c r="AB23" s="39"/>
      <c r="AC23" s="40"/>
      <c r="AD23" s="40"/>
      <c r="AE23" s="49"/>
      <c r="AF23" s="50"/>
      <c r="AG23" s="52"/>
    </row>
    <row r="24" spans="1:33">
      <c r="A24" s="14"/>
      <c r="B24" s="14"/>
      <c r="C24" s="14">
        <v>27</v>
      </c>
      <c r="D24" s="15"/>
      <c r="E24" s="16"/>
      <c r="F24" s="16"/>
      <c r="G24" s="16"/>
      <c r="H24" s="16"/>
      <c r="I24" s="16"/>
      <c r="J24" s="16"/>
      <c r="K24" s="16"/>
      <c r="L24" s="25"/>
      <c r="N24" s="15"/>
      <c r="O24" s="16"/>
      <c r="P24" s="16"/>
      <c r="Q24" s="16"/>
      <c r="R24" s="16"/>
      <c r="S24" s="16"/>
      <c r="T24" s="16"/>
      <c r="U24" s="16"/>
      <c r="V24" s="25"/>
      <c r="W24" s="16"/>
      <c r="X24" s="16"/>
      <c r="Y24" s="16"/>
      <c r="Z24" s="25"/>
      <c r="AA24" s="42"/>
      <c r="AB24" s="43"/>
      <c r="AC24" s="44"/>
      <c r="AD24" s="44"/>
      <c r="AE24" s="43"/>
      <c r="AF24" s="44"/>
      <c r="AG24" s="45"/>
    </row>
    <row r="25" spans="1:33">
      <c r="A25" s="14"/>
      <c r="B25" s="14"/>
      <c r="C25" s="14">
        <v>32</v>
      </c>
      <c r="D25" s="15"/>
      <c r="E25" s="16"/>
      <c r="F25" s="16"/>
      <c r="G25" s="16"/>
      <c r="H25" s="16"/>
      <c r="I25" s="16"/>
      <c r="J25" s="16"/>
      <c r="K25" s="16"/>
      <c r="L25" s="25"/>
      <c r="N25" s="15"/>
      <c r="O25" s="16"/>
      <c r="P25" s="16"/>
      <c r="Q25" s="16"/>
      <c r="R25" s="16"/>
      <c r="S25" s="16"/>
      <c r="T25" s="16"/>
      <c r="U25" s="16"/>
      <c r="V25" s="25"/>
      <c r="W25" s="16"/>
      <c r="X25" s="16"/>
      <c r="Y25" s="16"/>
      <c r="Z25" s="25"/>
      <c r="AA25" s="42"/>
      <c r="AB25" s="43"/>
      <c r="AC25" s="44"/>
      <c r="AD25" s="44"/>
      <c r="AE25" s="43"/>
      <c r="AF25" s="44"/>
      <c r="AG25" s="45"/>
    </row>
    <row r="26" ht="12.75" customHeight="1" spans="1:33">
      <c r="A26" s="14"/>
      <c r="B26" s="17"/>
      <c r="C26" s="17">
        <v>37</v>
      </c>
      <c r="D26" s="18"/>
      <c r="E26" s="19"/>
      <c r="F26" s="19"/>
      <c r="G26" s="19"/>
      <c r="H26" s="19"/>
      <c r="I26" s="19"/>
      <c r="J26" s="19"/>
      <c r="K26" s="19"/>
      <c r="L26" s="26"/>
      <c r="N26" s="18"/>
      <c r="O26" s="19"/>
      <c r="P26" s="19"/>
      <c r="Q26" s="19"/>
      <c r="R26" s="19"/>
      <c r="S26" s="19"/>
      <c r="T26" s="19"/>
      <c r="U26" s="19"/>
      <c r="V26" s="26"/>
      <c r="W26" s="16"/>
      <c r="X26" s="16"/>
      <c r="Y26" s="16"/>
      <c r="Z26" s="25"/>
      <c r="AA26" s="42"/>
      <c r="AB26" s="46"/>
      <c r="AC26" s="47"/>
      <c r="AD26" s="47"/>
      <c r="AE26" s="46"/>
      <c r="AF26" s="47"/>
      <c r="AG26" s="48"/>
    </row>
    <row r="27" spans="1:33">
      <c r="A27" s="11" t="s">
        <v>22</v>
      </c>
      <c r="B27" s="11" t="s">
        <v>72</v>
      </c>
      <c r="C27" s="11">
        <v>22</v>
      </c>
      <c r="D27" s="12">
        <f>Reference!B265</f>
        <v>9258.3792</v>
      </c>
      <c r="E27" s="13">
        <f>Reference!C265</f>
        <v>40.5867</v>
      </c>
      <c r="F27" s="13">
        <f>Reference!D265</f>
        <v>44.4432</v>
      </c>
      <c r="G27" s="13">
        <f>Reference!E265</f>
        <v>45.0589</v>
      </c>
      <c r="H27" s="13">
        <f>Reference!F265</f>
        <v>107659</v>
      </c>
      <c r="I27" s="13">
        <f>Reference!G265</f>
        <v>83.006</v>
      </c>
      <c r="J27" s="13">
        <f t="shared" ref="J27:J58" si="0">H27/3600</f>
        <v>29.9052777777778</v>
      </c>
      <c r="K27" s="27">
        <f>Reference!H265</f>
        <v>4068232</v>
      </c>
      <c r="L27" s="28">
        <f>Reference!I265</f>
        <v>818880</v>
      </c>
      <c r="N27" s="12">
        <f>Test!B265</f>
        <v>0</v>
      </c>
      <c r="O27" s="13">
        <f>Test!C265</f>
        <v>0</v>
      </c>
      <c r="P27" s="13">
        <f>Test!D265</f>
        <v>0</v>
      </c>
      <c r="Q27" s="13">
        <f>Test!E265</f>
        <v>0</v>
      </c>
      <c r="R27" s="13">
        <f>Test!F265</f>
        <v>0</v>
      </c>
      <c r="S27" s="13">
        <f>Test!G265</f>
        <v>0</v>
      </c>
      <c r="T27" s="13">
        <f t="shared" ref="T27:T58" si="1">R27/3600</f>
        <v>0</v>
      </c>
      <c r="U27" s="27">
        <f>Test!H265</f>
        <v>0</v>
      </c>
      <c r="V27" s="28">
        <f>Test!I265</f>
        <v>0</v>
      </c>
      <c r="W27" s="13">
        <f t="shared" ref="W27:W58" si="2">R27/H27</f>
        <v>0</v>
      </c>
      <c r="X27" s="13">
        <f t="shared" ref="X27:X58" si="3">S27/I27</f>
        <v>0</v>
      </c>
      <c r="Y27" s="13">
        <f>U27/K27</f>
        <v>0</v>
      </c>
      <c r="Z27" s="24">
        <f>V27/L27</f>
        <v>0</v>
      </c>
      <c r="AA27" s="38"/>
      <c r="AB27" s="39" t="e">
        <f>bdrate($D27:$D30,E27:E30,$N27:$N30,O27:O30)</f>
        <v>#VALUE!</v>
      </c>
      <c r="AC27" s="40" t="e">
        <f>bdrate($D27:$D30,F27:F30,$N27:$N30,P27:P30)</f>
        <v>#VALUE!</v>
      </c>
      <c r="AD27" s="41" t="e">
        <f>bdrate($D27:$D30,G27:G30,$N27:$N30,Q27:Q30)</f>
        <v>#VALUE!</v>
      </c>
      <c r="AE27" s="39" t="e">
        <f>bdrateOld($D27:$D30,E27:E30,$N27:$N30,O27:O30)</f>
        <v>#VALUE!</v>
      </c>
      <c r="AF27" s="40" t="e">
        <f>bdrateOld($D27:$D30,F27:F30,$N27:$N30,P27:P30)</f>
        <v>#VALUE!</v>
      </c>
      <c r="AG27" s="41" t="e">
        <f>bdrateOld($D27:$D30,G27:G30,$N27:$N30,Q27:Q30)</f>
        <v>#VALUE!</v>
      </c>
    </row>
    <row r="28" spans="1:33">
      <c r="A28" s="14" t="s">
        <v>111</v>
      </c>
      <c r="B28" s="14"/>
      <c r="C28" s="14">
        <v>27</v>
      </c>
      <c r="D28" s="15">
        <f>Reference!B266</f>
        <v>3046.1632</v>
      </c>
      <c r="E28" s="16">
        <f>Reference!C266</f>
        <v>38.8761</v>
      </c>
      <c r="F28" s="16">
        <f>Reference!D266</f>
        <v>43.1623</v>
      </c>
      <c r="G28" s="16">
        <f>Reference!E266</f>
        <v>43.5444</v>
      </c>
      <c r="H28" s="16">
        <f>Reference!F266</f>
        <v>60335</v>
      </c>
      <c r="I28" s="16">
        <f>Reference!G266</f>
        <v>61.736</v>
      </c>
      <c r="J28" s="16">
        <f t="shared" si="0"/>
        <v>16.7597222222222</v>
      </c>
      <c r="K28" s="29">
        <f>Reference!H266</f>
        <v>4045636</v>
      </c>
      <c r="L28" s="30">
        <f>Reference!I266</f>
        <v>817156</v>
      </c>
      <c r="N28" s="15">
        <f>Test!B266</f>
        <v>0</v>
      </c>
      <c r="O28" s="16">
        <f>Test!C266</f>
        <v>0</v>
      </c>
      <c r="P28" s="16">
        <f>Test!D266</f>
        <v>0</v>
      </c>
      <c r="Q28" s="16">
        <f>Test!E266</f>
        <v>0</v>
      </c>
      <c r="R28" s="16">
        <f>Test!F266</f>
        <v>0</v>
      </c>
      <c r="S28" s="16">
        <f>Test!G266</f>
        <v>0</v>
      </c>
      <c r="T28" s="16">
        <f t="shared" si="1"/>
        <v>0</v>
      </c>
      <c r="U28" s="29">
        <f>Test!H266</f>
        <v>0</v>
      </c>
      <c r="V28" s="30">
        <f>Test!I266</f>
        <v>0</v>
      </c>
      <c r="W28" s="16">
        <f t="shared" si="2"/>
        <v>0</v>
      </c>
      <c r="X28" s="16">
        <f t="shared" si="3"/>
        <v>0</v>
      </c>
      <c r="Y28" s="16">
        <f t="shared" ref="Y28:Z91" si="4">U28/K28</f>
        <v>0</v>
      </c>
      <c r="Z28" s="25">
        <f t="shared" si="4"/>
        <v>0</v>
      </c>
      <c r="AA28" s="42"/>
      <c r="AB28" s="43"/>
      <c r="AC28" s="44"/>
      <c r="AD28" s="45"/>
      <c r="AE28" s="43"/>
      <c r="AF28" s="44"/>
      <c r="AG28" s="45"/>
    </row>
    <row r="29" spans="1:33">
      <c r="A29" s="14"/>
      <c r="B29" s="14"/>
      <c r="C29" s="14">
        <v>32</v>
      </c>
      <c r="D29" s="15">
        <f>Reference!B267</f>
        <v>1362.1424</v>
      </c>
      <c r="E29" s="16">
        <f>Reference!C267</f>
        <v>36.94</v>
      </c>
      <c r="F29" s="16">
        <f>Reference!D267</f>
        <v>42.0506</v>
      </c>
      <c r="G29" s="16">
        <f>Reference!E267</f>
        <v>42.1599</v>
      </c>
      <c r="H29" s="16">
        <f>Reference!F267</f>
        <v>42007</v>
      </c>
      <c r="I29" s="16">
        <f>Reference!G267</f>
        <v>51.471</v>
      </c>
      <c r="J29" s="16">
        <f t="shared" si="0"/>
        <v>11.6686111111111</v>
      </c>
      <c r="K29" s="29">
        <f>Reference!H267</f>
        <v>4376396</v>
      </c>
      <c r="L29" s="30">
        <f>Reference!I267</f>
        <v>830340</v>
      </c>
      <c r="N29" s="15">
        <f>Test!B267</f>
        <v>0</v>
      </c>
      <c r="O29" s="16">
        <f>Test!C267</f>
        <v>0</v>
      </c>
      <c r="P29" s="16">
        <f>Test!D267</f>
        <v>0</v>
      </c>
      <c r="Q29" s="16">
        <f>Test!E267</f>
        <v>0</v>
      </c>
      <c r="R29" s="16">
        <f>Test!F267</f>
        <v>0</v>
      </c>
      <c r="S29" s="16">
        <f>Test!G267</f>
        <v>0</v>
      </c>
      <c r="T29" s="16">
        <f t="shared" si="1"/>
        <v>0</v>
      </c>
      <c r="U29" s="29">
        <f>Test!H267</f>
        <v>0</v>
      </c>
      <c r="V29" s="30">
        <f>Test!I267</f>
        <v>0</v>
      </c>
      <c r="W29" s="16">
        <f t="shared" si="2"/>
        <v>0</v>
      </c>
      <c r="X29" s="16">
        <f t="shared" si="3"/>
        <v>0</v>
      </c>
      <c r="Y29" s="16">
        <f t="shared" si="4"/>
        <v>0</v>
      </c>
      <c r="Z29" s="25">
        <f t="shared" si="4"/>
        <v>0</v>
      </c>
      <c r="AA29" s="42"/>
      <c r="AB29" s="43"/>
      <c r="AC29" s="44"/>
      <c r="AD29" s="45"/>
      <c r="AE29" s="43"/>
      <c r="AF29" s="44"/>
      <c r="AG29" s="45"/>
    </row>
    <row r="30" ht="12.75" customHeight="1" spans="1:33">
      <c r="A30" s="14"/>
      <c r="B30" s="17"/>
      <c r="C30" s="17">
        <v>37</v>
      </c>
      <c r="D30" s="18">
        <f>Reference!B268</f>
        <v>655.2016</v>
      </c>
      <c r="E30" s="19">
        <f>Reference!C268</f>
        <v>34.8411</v>
      </c>
      <c r="F30" s="19">
        <f>Reference!D268</f>
        <v>40.9802</v>
      </c>
      <c r="G30" s="19">
        <f>Reference!E268</f>
        <v>41.0485</v>
      </c>
      <c r="H30" s="19">
        <f>Reference!F268</f>
        <v>32611</v>
      </c>
      <c r="I30" s="19">
        <f>Reference!G268</f>
        <v>44.639</v>
      </c>
      <c r="J30" s="19">
        <f t="shared" si="0"/>
        <v>9.05861111111111</v>
      </c>
      <c r="K30" s="29">
        <f>Reference!H268</f>
        <v>3160188</v>
      </c>
      <c r="L30" s="30">
        <f>Reference!I268</f>
        <v>647956</v>
      </c>
      <c r="N30" s="18">
        <f>Test!B268</f>
        <v>0</v>
      </c>
      <c r="O30" s="19">
        <f>Test!C268</f>
        <v>0</v>
      </c>
      <c r="P30" s="19">
        <f>Test!D268</f>
        <v>0</v>
      </c>
      <c r="Q30" s="19">
        <f>Test!E268</f>
        <v>0</v>
      </c>
      <c r="R30" s="19">
        <f>Test!F268</f>
        <v>0</v>
      </c>
      <c r="S30" s="19">
        <f>Test!G268</f>
        <v>0</v>
      </c>
      <c r="T30" s="19">
        <f t="shared" si="1"/>
        <v>0</v>
      </c>
      <c r="U30" s="31">
        <f>Test!H268</f>
        <v>0</v>
      </c>
      <c r="V30" s="32">
        <f>Test!I268</f>
        <v>0</v>
      </c>
      <c r="W30" s="16">
        <f t="shared" si="2"/>
        <v>0</v>
      </c>
      <c r="X30" s="16">
        <f t="shared" si="3"/>
        <v>0</v>
      </c>
      <c r="Y30" s="16">
        <f t="shared" si="4"/>
        <v>0</v>
      </c>
      <c r="Z30" s="25">
        <f t="shared" si="4"/>
        <v>0</v>
      </c>
      <c r="AA30" s="42"/>
      <c r="AB30" s="46"/>
      <c r="AC30" s="47"/>
      <c r="AD30" s="48"/>
      <c r="AE30" s="46"/>
      <c r="AF30" s="47"/>
      <c r="AG30" s="48"/>
    </row>
    <row r="31" spans="1:33">
      <c r="A31" s="14"/>
      <c r="B31" s="11" t="s">
        <v>73</v>
      </c>
      <c r="C31" s="11">
        <v>22</v>
      </c>
      <c r="D31" s="12">
        <f>Reference!B269</f>
        <v>7538.8048</v>
      </c>
      <c r="E31" s="13">
        <f>Reference!C269</f>
        <v>44.8474</v>
      </c>
      <c r="F31" s="13">
        <f>Reference!D269</f>
        <v>48.0447</v>
      </c>
      <c r="G31" s="13">
        <f>Reference!E269</f>
        <v>48.5713</v>
      </c>
      <c r="H31" s="13">
        <f>Reference!F269</f>
        <v>110887</v>
      </c>
      <c r="I31" s="13">
        <f>Reference!G269</f>
        <v>104.708</v>
      </c>
      <c r="J31" s="13">
        <f t="shared" si="0"/>
        <v>30.8019444444444</v>
      </c>
      <c r="K31" s="27">
        <f>Reference!H269</f>
        <v>4011680</v>
      </c>
      <c r="L31" s="28">
        <f>Reference!I269</f>
        <v>790800</v>
      </c>
      <c r="N31" s="12">
        <f>Test!B269</f>
        <v>0</v>
      </c>
      <c r="O31" s="13">
        <f>Test!C269</f>
        <v>0</v>
      </c>
      <c r="P31" s="13">
        <f>Test!D269</f>
        <v>0</v>
      </c>
      <c r="Q31" s="13">
        <f>Test!E269</f>
        <v>0</v>
      </c>
      <c r="R31" s="13">
        <f>Test!F269</f>
        <v>0</v>
      </c>
      <c r="S31" s="13">
        <f>Test!G269</f>
        <v>0</v>
      </c>
      <c r="T31" s="13">
        <f t="shared" si="1"/>
        <v>0</v>
      </c>
      <c r="U31" s="27">
        <f>Test!H269</f>
        <v>0</v>
      </c>
      <c r="V31" s="28">
        <f>Test!I269</f>
        <v>0</v>
      </c>
      <c r="W31" s="16">
        <f t="shared" si="2"/>
        <v>0</v>
      </c>
      <c r="X31" s="16">
        <f t="shared" si="3"/>
        <v>0</v>
      </c>
      <c r="Y31" s="16">
        <f t="shared" si="4"/>
        <v>0</v>
      </c>
      <c r="Z31" s="25">
        <f t="shared" si="4"/>
        <v>0</v>
      </c>
      <c r="AA31" s="42"/>
      <c r="AB31" s="39" t="e">
        <f>bdrate($D31:$D34,E31:E34,$N31:$N34,O31:O34)</f>
        <v>#VALUE!</v>
      </c>
      <c r="AC31" s="40" t="e">
        <f>bdrate($D31:$D34,F31:F34,$N31:$N34,P31:P34)</f>
        <v>#VALUE!</v>
      </c>
      <c r="AD31" s="40" t="e">
        <f>bdrate($D31:$D34,G31:G34,$N31:$N34,Q31:Q34)</f>
        <v>#VALUE!</v>
      </c>
      <c r="AE31" s="49" t="e">
        <f>bdrateOld($D31:$D34,E31:E34,$N31:$N34,O31:O34)</f>
        <v>#VALUE!</v>
      </c>
      <c r="AF31" s="50" t="e">
        <f>bdrateOld($D31:$D34,F31:F34,$N31:$N34,P31:P34)</f>
        <v>#VALUE!</v>
      </c>
      <c r="AG31" s="52" t="e">
        <f>bdrateOld($D31:$D34,G31:G34,$N31:$N34,Q31:Q34)</f>
        <v>#VALUE!</v>
      </c>
    </row>
    <row r="32" spans="1:33">
      <c r="A32" s="14"/>
      <c r="B32" s="14"/>
      <c r="C32" s="14">
        <v>27</v>
      </c>
      <c r="D32" s="15">
        <f>Reference!B270</f>
        <v>3649.4352</v>
      </c>
      <c r="E32" s="16">
        <f>Reference!C270</f>
        <v>41.51</v>
      </c>
      <c r="F32" s="16">
        <f>Reference!D270</f>
        <v>45.5163</v>
      </c>
      <c r="G32" s="16">
        <f>Reference!E270</f>
        <v>45.5656</v>
      </c>
      <c r="H32" s="16">
        <f>Reference!F270</f>
        <v>55023</v>
      </c>
      <c r="I32" s="16">
        <f>Reference!G270</f>
        <v>55.904</v>
      </c>
      <c r="J32" s="16">
        <f t="shared" si="0"/>
        <v>15.2841666666667</v>
      </c>
      <c r="K32" s="29">
        <f>Reference!H270</f>
        <v>3991872</v>
      </c>
      <c r="L32" s="30">
        <f>Reference!I270</f>
        <v>826264</v>
      </c>
      <c r="N32" s="15">
        <f>Test!B270</f>
        <v>0</v>
      </c>
      <c r="O32" s="16">
        <f>Test!C270</f>
        <v>0</v>
      </c>
      <c r="P32" s="16">
        <f>Test!D270</f>
        <v>0</v>
      </c>
      <c r="Q32" s="16">
        <f>Test!E270</f>
        <v>0</v>
      </c>
      <c r="R32" s="16">
        <f>Test!F270</f>
        <v>0</v>
      </c>
      <c r="S32" s="16">
        <f>Test!G270</f>
        <v>0</v>
      </c>
      <c r="T32" s="16">
        <f t="shared" si="1"/>
        <v>0</v>
      </c>
      <c r="U32" s="29">
        <f>Test!H270</f>
        <v>0</v>
      </c>
      <c r="V32" s="30">
        <f>Test!I270</f>
        <v>0</v>
      </c>
      <c r="W32" s="16">
        <f t="shared" si="2"/>
        <v>0</v>
      </c>
      <c r="X32" s="16">
        <f t="shared" si="3"/>
        <v>0</v>
      </c>
      <c r="Y32" s="16">
        <f t="shared" si="4"/>
        <v>0</v>
      </c>
      <c r="Z32" s="25">
        <f t="shared" si="4"/>
        <v>0</v>
      </c>
      <c r="AA32" s="42"/>
      <c r="AB32" s="43"/>
      <c r="AC32" s="44"/>
      <c r="AD32" s="44"/>
      <c r="AE32" s="43"/>
      <c r="AF32" s="44"/>
      <c r="AG32" s="45"/>
    </row>
    <row r="33" spans="1:33">
      <c r="A33" s="14"/>
      <c r="B33" s="14"/>
      <c r="C33" s="14">
        <v>32</v>
      </c>
      <c r="D33" s="15">
        <f>Reference!B271</f>
        <v>1885.9056</v>
      </c>
      <c r="E33" s="16">
        <f>Reference!C271</f>
        <v>38.2652</v>
      </c>
      <c r="F33" s="16">
        <f>Reference!D271</f>
        <v>43.8151</v>
      </c>
      <c r="G33" s="16">
        <f>Reference!E271</f>
        <v>43.6304</v>
      </c>
      <c r="H33" s="16">
        <f>Reference!F271</f>
        <v>55192</v>
      </c>
      <c r="I33" s="16">
        <f>Reference!G271</f>
        <v>58.047</v>
      </c>
      <c r="J33" s="16">
        <f t="shared" si="0"/>
        <v>15.3311111111111</v>
      </c>
      <c r="K33" s="29">
        <f>Reference!H271</f>
        <v>4044516</v>
      </c>
      <c r="L33" s="30">
        <f>Reference!I271</f>
        <v>825096</v>
      </c>
      <c r="N33" s="15">
        <f>Test!B271</f>
        <v>0</v>
      </c>
      <c r="O33" s="16">
        <f>Test!C271</f>
        <v>0</v>
      </c>
      <c r="P33" s="16">
        <f>Test!D271</f>
        <v>0</v>
      </c>
      <c r="Q33" s="16">
        <f>Test!E271</f>
        <v>0</v>
      </c>
      <c r="R33" s="16">
        <f>Test!F271</f>
        <v>0</v>
      </c>
      <c r="S33" s="16">
        <f>Test!G271</f>
        <v>0</v>
      </c>
      <c r="T33" s="16">
        <f t="shared" si="1"/>
        <v>0</v>
      </c>
      <c r="U33" s="29">
        <f>Test!H271</f>
        <v>0</v>
      </c>
      <c r="V33" s="30">
        <f>Test!I271</f>
        <v>0</v>
      </c>
      <c r="W33" s="16">
        <f t="shared" si="2"/>
        <v>0</v>
      </c>
      <c r="X33" s="16">
        <f t="shared" si="3"/>
        <v>0</v>
      </c>
      <c r="Y33" s="16">
        <f t="shared" si="4"/>
        <v>0</v>
      </c>
      <c r="Z33" s="25">
        <f t="shared" si="4"/>
        <v>0</v>
      </c>
      <c r="AA33" s="42"/>
      <c r="AB33" s="43"/>
      <c r="AC33" s="44"/>
      <c r="AD33" s="44"/>
      <c r="AE33" s="43"/>
      <c r="AF33" s="44"/>
      <c r="AG33" s="45"/>
    </row>
    <row r="34" ht="12.75" customHeight="1" spans="1:33">
      <c r="A34" s="14"/>
      <c r="B34" s="17"/>
      <c r="C34" s="17">
        <v>37</v>
      </c>
      <c r="D34" s="18">
        <f>Reference!B272</f>
        <v>1023.6144</v>
      </c>
      <c r="E34" s="19">
        <f>Reference!C272</f>
        <v>35.5456</v>
      </c>
      <c r="F34" s="19">
        <f>Reference!D272</f>
        <v>42.3424</v>
      </c>
      <c r="G34" s="19">
        <f>Reference!E272</f>
        <v>42.0477</v>
      </c>
      <c r="H34" s="19">
        <f>Reference!F272</f>
        <v>35753</v>
      </c>
      <c r="I34" s="19">
        <f>Reference!G272</f>
        <v>34.687</v>
      </c>
      <c r="J34" s="19">
        <f t="shared" si="0"/>
        <v>9.93138888888889</v>
      </c>
      <c r="K34" s="29">
        <f>Reference!H272</f>
        <v>3879868</v>
      </c>
      <c r="L34" s="30">
        <f>Reference!I272</f>
        <v>766016</v>
      </c>
      <c r="N34" s="18">
        <f>Test!B272</f>
        <v>0</v>
      </c>
      <c r="O34" s="19">
        <f>Test!C272</f>
        <v>0</v>
      </c>
      <c r="P34" s="19">
        <f>Test!D272</f>
        <v>0</v>
      </c>
      <c r="Q34" s="19">
        <f>Test!E272</f>
        <v>0</v>
      </c>
      <c r="R34" s="19">
        <f>Test!F272</f>
        <v>0</v>
      </c>
      <c r="S34" s="19">
        <f>Test!G272</f>
        <v>0</v>
      </c>
      <c r="T34" s="19">
        <f t="shared" si="1"/>
        <v>0</v>
      </c>
      <c r="U34" s="31">
        <f>Test!H272</f>
        <v>0</v>
      </c>
      <c r="V34" s="32">
        <f>Test!I272</f>
        <v>0</v>
      </c>
      <c r="W34" s="16">
        <f t="shared" si="2"/>
        <v>0</v>
      </c>
      <c r="X34" s="16">
        <f t="shared" si="3"/>
        <v>0</v>
      </c>
      <c r="Y34" s="16">
        <f t="shared" si="4"/>
        <v>0</v>
      </c>
      <c r="Z34" s="25">
        <f t="shared" si="4"/>
        <v>0</v>
      </c>
      <c r="AA34" s="42"/>
      <c r="AB34" s="46"/>
      <c r="AC34" s="47"/>
      <c r="AD34" s="47"/>
      <c r="AE34" s="46"/>
      <c r="AF34" s="47"/>
      <c r="AG34" s="48"/>
    </row>
    <row r="35" spans="1:33">
      <c r="A35" s="14"/>
      <c r="B35" s="11" t="s">
        <v>74</v>
      </c>
      <c r="C35" s="11">
        <v>22</v>
      </c>
      <c r="D35" s="12">
        <f>Reference!B273</f>
        <v>10163.0032</v>
      </c>
      <c r="E35" s="13">
        <f>Reference!C273</f>
        <v>38.6754</v>
      </c>
      <c r="F35" s="13">
        <f>Reference!D273</f>
        <v>40.1807</v>
      </c>
      <c r="G35" s="13">
        <f>Reference!E273</f>
        <v>43.8575</v>
      </c>
      <c r="H35" s="13">
        <f>Reference!F273</f>
        <v>123690</v>
      </c>
      <c r="I35" s="13">
        <f>Reference!G273</f>
        <v>85.418</v>
      </c>
      <c r="J35" s="13">
        <f t="shared" si="0"/>
        <v>34.3583333333333</v>
      </c>
      <c r="K35" s="27">
        <f>Reference!H273</f>
        <v>3996436</v>
      </c>
      <c r="L35" s="28">
        <f>Reference!I273</f>
        <v>808788</v>
      </c>
      <c r="N35" s="12">
        <f>Test!B273</f>
        <v>0</v>
      </c>
      <c r="O35" s="13">
        <f>Test!C273</f>
        <v>0</v>
      </c>
      <c r="P35" s="13">
        <f>Test!D273</f>
        <v>0</v>
      </c>
      <c r="Q35" s="13">
        <f>Test!E273</f>
        <v>0</v>
      </c>
      <c r="R35" s="13">
        <f>Test!F273</f>
        <v>0</v>
      </c>
      <c r="S35" s="13">
        <f>Test!G273</f>
        <v>0</v>
      </c>
      <c r="T35" s="13">
        <f t="shared" si="1"/>
        <v>0</v>
      </c>
      <c r="U35" s="27">
        <f>Test!H273</f>
        <v>0</v>
      </c>
      <c r="V35" s="28">
        <f>Test!I273</f>
        <v>0</v>
      </c>
      <c r="W35" s="16">
        <f t="shared" si="2"/>
        <v>0</v>
      </c>
      <c r="X35" s="16">
        <f t="shared" si="3"/>
        <v>0</v>
      </c>
      <c r="Y35" s="16">
        <f t="shared" si="4"/>
        <v>0</v>
      </c>
      <c r="Z35" s="25">
        <f t="shared" si="4"/>
        <v>0</v>
      </c>
      <c r="AA35" s="42"/>
      <c r="AB35" s="39" t="e">
        <f>bdrate($D35:$D38,E35:E38,$N35:$N38,O35:O38)</f>
        <v>#VALUE!</v>
      </c>
      <c r="AC35" s="40" t="e">
        <f>bdrate($D35:$D38,F35:F38,$N35:$N38,P35:P38)</f>
        <v>#VALUE!</v>
      </c>
      <c r="AD35" s="40" t="e">
        <f>bdrate($D35:$D38,G35:G38,$N35:$N38,Q35:Q38)</f>
        <v>#VALUE!</v>
      </c>
      <c r="AE35" s="49" t="e">
        <f>bdrateOld($D35:$D38,E35:E38,$N35:$N38,O35:O38)</f>
        <v>#VALUE!</v>
      </c>
      <c r="AF35" s="50" t="e">
        <f>bdrateOld($D35:$D38,F35:F38,$N35:$N38,P35:P38)</f>
        <v>#VALUE!</v>
      </c>
      <c r="AG35" s="52" t="e">
        <f>bdrateOld($D35:$D38,G35:G38,$N35:$N38,Q35:Q38)</f>
        <v>#VALUE!</v>
      </c>
    </row>
    <row r="36" spans="1:33">
      <c r="A36" s="14"/>
      <c r="B36" s="14"/>
      <c r="C36" s="14">
        <v>27</v>
      </c>
      <c r="D36" s="15">
        <f>Reference!B274</f>
        <v>3073.9616</v>
      </c>
      <c r="E36" s="16">
        <f>Reference!C274</f>
        <v>36.8377</v>
      </c>
      <c r="F36" s="16">
        <f>Reference!D274</f>
        <v>39.2891</v>
      </c>
      <c r="G36" s="16">
        <f>Reference!E274</f>
        <v>41.9174</v>
      </c>
      <c r="H36" s="16">
        <f>Reference!F274</f>
        <v>51010</v>
      </c>
      <c r="I36" s="16">
        <f>Reference!G274</f>
        <v>40.372</v>
      </c>
      <c r="J36" s="16">
        <f t="shared" si="0"/>
        <v>14.1694444444444</v>
      </c>
      <c r="K36" s="29">
        <f>Reference!H274</f>
        <v>3979680</v>
      </c>
      <c r="L36" s="30">
        <f>Reference!I274</f>
        <v>819932</v>
      </c>
      <c r="N36" s="15">
        <f>Test!B274</f>
        <v>0</v>
      </c>
      <c r="O36" s="16">
        <f>Test!C274</f>
        <v>0</v>
      </c>
      <c r="P36" s="16">
        <f>Test!D274</f>
        <v>0</v>
      </c>
      <c r="Q36" s="16">
        <f>Test!E274</f>
        <v>0</v>
      </c>
      <c r="R36" s="16">
        <f>Test!F274</f>
        <v>0</v>
      </c>
      <c r="S36" s="16">
        <f>Test!G274</f>
        <v>0</v>
      </c>
      <c r="T36" s="16">
        <f t="shared" si="1"/>
        <v>0</v>
      </c>
      <c r="U36" s="29">
        <f>Test!H274</f>
        <v>0</v>
      </c>
      <c r="V36" s="30">
        <f>Test!I274</f>
        <v>0</v>
      </c>
      <c r="W36" s="16">
        <f t="shared" si="2"/>
        <v>0</v>
      </c>
      <c r="X36" s="16">
        <f t="shared" si="3"/>
        <v>0</v>
      </c>
      <c r="Y36" s="16">
        <f t="shared" si="4"/>
        <v>0</v>
      </c>
      <c r="Z36" s="25">
        <f t="shared" si="4"/>
        <v>0</v>
      </c>
      <c r="AA36" s="42"/>
      <c r="AB36" s="43"/>
      <c r="AC36" s="44"/>
      <c r="AD36" s="44"/>
      <c r="AE36" s="43"/>
      <c r="AF36" s="44"/>
      <c r="AG36" s="45"/>
    </row>
    <row r="37" spans="1:33">
      <c r="A37" s="14"/>
      <c r="B37" s="14"/>
      <c r="C37" s="14">
        <v>32</v>
      </c>
      <c r="D37" s="15">
        <f>Reference!B275</f>
        <v>1408.3744</v>
      </c>
      <c r="E37" s="16">
        <f>Reference!C275</f>
        <v>34.8538</v>
      </c>
      <c r="F37" s="16">
        <f>Reference!D275</f>
        <v>38.4643</v>
      </c>
      <c r="G37" s="16">
        <f>Reference!E275</f>
        <v>40.2084</v>
      </c>
      <c r="H37" s="16">
        <f>Reference!F275</f>
        <v>35141</v>
      </c>
      <c r="I37" s="16">
        <f>Reference!G275</f>
        <v>30.029</v>
      </c>
      <c r="J37" s="16">
        <f t="shared" si="0"/>
        <v>9.76138888888889</v>
      </c>
      <c r="K37" s="29">
        <f>Reference!H275</f>
        <v>3968236</v>
      </c>
      <c r="L37" s="30">
        <f>Reference!I275</f>
        <v>803352</v>
      </c>
      <c r="N37" s="15">
        <f>Test!B275</f>
        <v>0</v>
      </c>
      <c r="O37" s="16">
        <f>Test!C275</f>
        <v>0</v>
      </c>
      <c r="P37" s="16">
        <f>Test!D275</f>
        <v>0</v>
      </c>
      <c r="Q37" s="16">
        <f>Test!E275</f>
        <v>0</v>
      </c>
      <c r="R37" s="16">
        <f>Test!F275</f>
        <v>0</v>
      </c>
      <c r="S37" s="16">
        <f>Test!G275</f>
        <v>0</v>
      </c>
      <c r="T37" s="16">
        <f t="shared" si="1"/>
        <v>0</v>
      </c>
      <c r="U37" s="29">
        <f>Test!H275</f>
        <v>0</v>
      </c>
      <c r="V37" s="30">
        <f>Test!I275</f>
        <v>0</v>
      </c>
      <c r="W37" s="16">
        <f t="shared" si="2"/>
        <v>0</v>
      </c>
      <c r="X37" s="16">
        <f t="shared" si="3"/>
        <v>0</v>
      </c>
      <c r="Y37" s="16">
        <f t="shared" si="4"/>
        <v>0</v>
      </c>
      <c r="Z37" s="25">
        <f t="shared" si="4"/>
        <v>0</v>
      </c>
      <c r="AA37" s="42"/>
      <c r="AB37" s="43"/>
      <c r="AC37" s="44"/>
      <c r="AD37" s="44"/>
      <c r="AE37" s="43"/>
      <c r="AF37" s="44"/>
      <c r="AG37" s="45"/>
    </row>
    <row r="38" ht="12.75" customHeight="1" spans="1:33">
      <c r="A38" s="14"/>
      <c r="B38" s="17"/>
      <c r="C38" s="17">
        <v>37</v>
      </c>
      <c r="D38" s="18">
        <f>Reference!B276</f>
        <v>694.5264</v>
      </c>
      <c r="E38" s="19">
        <f>Reference!C276</f>
        <v>32.6939</v>
      </c>
      <c r="F38" s="19">
        <f>Reference!D276</f>
        <v>37.4156</v>
      </c>
      <c r="G38" s="19">
        <f>Reference!E276</f>
        <v>38.567</v>
      </c>
      <c r="H38" s="19">
        <f>Reference!F276</f>
        <v>27124</v>
      </c>
      <c r="I38" s="19">
        <f>Reference!G276</f>
        <v>26.585</v>
      </c>
      <c r="J38" s="19">
        <f t="shared" si="0"/>
        <v>7.53444444444444</v>
      </c>
      <c r="K38" s="29">
        <f>Reference!H276</f>
        <v>3958932</v>
      </c>
      <c r="L38" s="30">
        <f>Reference!I276</f>
        <v>777348</v>
      </c>
      <c r="N38" s="18">
        <f>Test!B276</f>
        <v>0</v>
      </c>
      <c r="O38" s="19">
        <f>Test!C276</f>
        <v>0</v>
      </c>
      <c r="P38" s="19">
        <f>Test!D276</f>
        <v>0</v>
      </c>
      <c r="Q38" s="19">
        <f>Test!E276</f>
        <v>0</v>
      </c>
      <c r="R38" s="19">
        <f>Test!F276</f>
        <v>0</v>
      </c>
      <c r="S38" s="19">
        <f>Test!G276</f>
        <v>0</v>
      </c>
      <c r="T38" s="19">
        <f t="shared" si="1"/>
        <v>0</v>
      </c>
      <c r="U38" s="31">
        <f>Test!H276</f>
        <v>0</v>
      </c>
      <c r="V38" s="32">
        <f>Test!I276</f>
        <v>0</v>
      </c>
      <c r="W38" s="16">
        <f t="shared" si="2"/>
        <v>0</v>
      </c>
      <c r="X38" s="16">
        <f t="shared" si="3"/>
        <v>0</v>
      </c>
      <c r="Y38" s="16">
        <f t="shared" si="4"/>
        <v>0</v>
      </c>
      <c r="Z38" s="25">
        <f t="shared" si="4"/>
        <v>0</v>
      </c>
      <c r="AA38" s="42"/>
      <c r="AB38" s="46"/>
      <c r="AC38" s="47"/>
      <c r="AD38" s="47"/>
      <c r="AE38" s="46"/>
      <c r="AF38" s="47"/>
      <c r="AG38" s="48"/>
    </row>
    <row r="39" spans="1:33">
      <c r="A39" s="14"/>
      <c r="B39" s="11" t="s">
        <v>79</v>
      </c>
      <c r="C39" s="11">
        <v>22</v>
      </c>
      <c r="D39" s="12">
        <f>Reference!B277</f>
        <v>13118.7216</v>
      </c>
      <c r="E39" s="13">
        <f>Reference!C277</f>
        <v>39.5612</v>
      </c>
      <c r="F39" s="13">
        <f>Reference!D277</f>
        <v>44.2584</v>
      </c>
      <c r="G39" s="13">
        <f>Reference!E277</f>
        <v>45.5693</v>
      </c>
      <c r="H39" s="13">
        <f>Reference!F277</f>
        <v>168689</v>
      </c>
      <c r="I39" s="13">
        <f>Reference!G277</f>
        <v>97.901</v>
      </c>
      <c r="J39" s="13">
        <f t="shared" si="0"/>
        <v>46.8580555555556</v>
      </c>
      <c r="K39" s="27">
        <f>Reference!H277</f>
        <v>4125364</v>
      </c>
      <c r="L39" s="28">
        <f>Reference!I277</f>
        <v>799016</v>
      </c>
      <c r="N39" s="12">
        <f>Test!B277</f>
        <v>0</v>
      </c>
      <c r="O39" s="13">
        <f>Test!C277</f>
        <v>0</v>
      </c>
      <c r="P39" s="13">
        <f>Test!D277</f>
        <v>0</v>
      </c>
      <c r="Q39" s="13">
        <f>Test!E277</f>
        <v>0</v>
      </c>
      <c r="R39" s="13">
        <f>Test!F277</f>
        <v>0</v>
      </c>
      <c r="S39" s="13">
        <f>Test!G277</f>
        <v>0</v>
      </c>
      <c r="T39" s="13">
        <f t="shared" si="1"/>
        <v>0</v>
      </c>
      <c r="U39" s="27">
        <f>Test!H277</f>
        <v>0</v>
      </c>
      <c r="V39" s="28">
        <f>Test!I277</f>
        <v>0</v>
      </c>
      <c r="W39" s="16">
        <f t="shared" si="2"/>
        <v>0</v>
      </c>
      <c r="X39" s="16">
        <f t="shared" si="3"/>
        <v>0</v>
      </c>
      <c r="Y39" s="16">
        <f t="shared" si="4"/>
        <v>0</v>
      </c>
      <c r="Z39" s="25">
        <f t="shared" si="4"/>
        <v>0</v>
      </c>
      <c r="AA39" s="42"/>
      <c r="AB39" s="39" t="e">
        <f>bdrate($D39:$D42,E39:E42,$N39:$N42,O39:O42)</f>
        <v>#VALUE!</v>
      </c>
      <c r="AC39" s="40" t="e">
        <f>bdrate($D39:$D42,F39:F42,$N39:$N42,P39:P42)</f>
        <v>#VALUE!</v>
      </c>
      <c r="AD39" s="40" t="e">
        <f>bdrate($D39:$D42,G39:G42,$N39:$N42,Q39:Q42)</f>
        <v>#VALUE!</v>
      </c>
      <c r="AE39" s="49" t="e">
        <f>bdrateOld($D39:$D42,E39:E42,$N39:$N42,O39:O42)</f>
        <v>#VALUE!</v>
      </c>
      <c r="AF39" s="50" t="e">
        <f>bdrateOld($D39:$D42,F39:F42,$N39:$N42,P39:P42)</f>
        <v>#VALUE!</v>
      </c>
      <c r="AG39" s="52" t="e">
        <f>bdrateOld($D39:$D42,G39:G42,$N39:$N42,Q39:Q42)</f>
        <v>#VALUE!</v>
      </c>
    </row>
    <row r="40" spans="1:33">
      <c r="A40" s="14"/>
      <c r="B40" s="14"/>
      <c r="C40" s="14">
        <v>27</v>
      </c>
      <c r="D40" s="15">
        <f>Reference!B278</f>
        <v>4130.424</v>
      </c>
      <c r="E40" s="16">
        <f>Reference!C278</f>
        <v>37.7724</v>
      </c>
      <c r="F40" s="16">
        <f>Reference!D278</f>
        <v>42.7129</v>
      </c>
      <c r="G40" s="16">
        <f>Reference!E278</f>
        <v>43.099</v>
      </c>
      <c r="H40" s="16">
        <f>Reference!F278</f>
        <v>65364</v>
      </c>
      <c r="I40" s="16">
        <f>Reference!G278</f>
        <v>52.564</v>
      </c>
      <c r="J40" s="16">
        <f t="shared" si="0"/>
        <v>18.1566666666667</v>
      </c>
      <c r="K40" s="29">
        <f>Reference!H278</f>
        <v>4135288</v>
      </c>
      <c r="L40" s="30">
        <f>Reference!I278</f>
        <v>846308</v>
      </c>
      <c r="N40" s="15">
        <f>Test!B278</f>
        <v>0</v>
      </c>
      <c r="O40" s="16">
        <f>Test!C278</f>
        <v>0</v>
      </c>
      <c r="P40" s="16">
        <f>Test!D278</f>
        <v>0</v>
      </c>
      <c r="Q40" s="16">
        <f>Test!E278</f>
        <v>0</v>
      </c>
      <c r="R40" s="16">
        <f>Test!F278</f>
        <v>0</v>
      </c>
      <c r="S40" s="16">
        <f>Test!G278</f>
        <v>0</v>
      </c>
      <c r="T40" s="16">
        <f t="shared" si="1"/>
        <v>0</v>
      </c>
      <c r="U40" s="29">
        <f>Test!H278</f>
        <v>0</v>
      </c>
      <c r="V40" s="30">
        <f>Test!I278</f>
        <v>0</v>
      </c>
      <c r="W40" s="16">
        <f t="shared" si="2"/>
        <v>0</v>
      </c>
      <c r="X40" s="16">
        <f t="shared" si="3"/>
        <v>0</v>
      </c>
      <c r="Y40" s="16">
        <f t="shared" si="4"/>
        <v>0</v>
      </c>
      <c r="Z40" s="25">
        <f t="shared" si="4"/>
        <v>0</v>
      </c>
      <c r="AA40" s="42"/>
      <c r="AB40" s="43"/>
      <c r="AC40" s="44"/>
      <c r="AD40" s="44"/>
      <c r="AE40" s="43"/>
      <c r="AF40" s="44"/>
      <c r="AG40" s="45"/>
    </row>
    <row r="41" spans="1:33">
      <c r="A41" s="14"/>
      <c r="B41" s="14"/>
      <c r="C41" s="14">
        <v>32</v>
      </c>
      <c r="D41" s="15">
        <f>Reference!B279</f>
        <v>1979.0816</v>
      </c>
      <c r="E41" s="16">
        <f>Reference!C279</f>
        <v>35.9507</v>
      </c>
      <c r="F41" s="16">
        <f>Reference!D279</f>
        <v>41.5407</v>
      </c>
      <c r="G41" s="16">
        <f>Reference!E279</f>
        <v>41.4075</v>
      </c>
      <c r="H41" s="16">
        <f>Reference!F279</f>
        <v>45451</v>
      </c>
      <c r="I41" s="16">
        <f>Reference!G279</f>
        <v>46.366</v>
      </c>
      <c r="J41" s="16">
        <f t="shared" si="0"/>
        <v>12.6252777777778</v>
      </c>
      <c r="K41" s="29">
        <f>Reference!H279</f>
        <v>4120428</v>
      </c>
      <c r="L41" s="30">
        <f>Reference!I279</f>
        <v>800264</v>
      </c>
      <c r="N41" s="15">
        <f>Test!B279</f>
        <v>0</v>
      </c>
      <c r="O41" s="16">
        <f>Test!C279</f>
        <v>0</v>
      </c>
      <c r="P41" s="16">
        <f>Test!D279</f>
        <v>0</v>
      </c>
      <c r="Q41" s="16">
        <f>Test!E279</f>
        <v>0</v>
      </c>
      <c r="R41" s="16">
        <f>Test!F279</f>
        <v>0</v>
      </c>
      <c r="S41" s="16">
        <f>Test!G279</f>
        <v>0</v>
      </c>
      <c r="T41" s="16">
        <f t="shared" si="1"/>
        <v>0</v>
      </c>
      <c r="U41" s="29">
        <f>Test!H279</f>
        <v>0</v>
      </c>
      <c r="V41" s="30">
        <f>Test!I279</f>
        <v>0</v>
      </c>
      <c r="W41" s="16">
        <f t="shared" si="2"/>
        <v>0</v>
      </c>
      <c r="X41" s="16">
        <f t="shared" si="3"/>
        <v>0</v>
      </c>
      <c r="Y41" s="16">
        <f t="shared" si="4"/>
        <v>0</v>
      </c>
      <c r="Z41" s="25">
        <f t="shared" si="4"/>
        <v>0</v>
      </c>
      <c r="AA41" s="42"/>
      <c r="AB41" s="43"/>
      <c r="AC41" s="44"/>
      <c r="AD41" s="44"/>
      <c r="AE41" s="43"/>
      <c r="AF41" s="44"/>
      <c r="AG41" s="45"/>
    </row>
    <row r="42" ht="12.75" customHeight="1" spans="1:33">
      <c r="A42" s="14"/>
      <c r="B42" s="17"/>
      <c r="C42" s="17">
        <v>37</v>
      </c>
      <c r="D42" s="18">
        <f>Reference!B280</f>
        <v>1019.4736</v>
      </c>
      <c r="E42" s="19">
        <f>Reference!C280</f>
        <v>33.99</v>
      </c>
      <c r="F42" s="19">
        <f>Reference!D280</f>
        <v>40.2568</v>
      </c>
      <c r="G42" s="19">
        <f>Reference!E280</f>
        <v>39.4332</v>
      </c>
      <c r="H42" s="19">
        <f>Reference!F280</f>
        <v>45149</v>
      </c>
      <c r="I42" s="19">
        <f>Reference!G280</f>
        <v>60.738</v>
      </c>
      <c r="J42" s="19">
        <f t="shared" si="0"/>
        <v>12.5413888888889</v>
      </c>
      <c r="K42" s="29">
        <f>Reference!H280</f>
        <v>4101924</v>
      </c>
      <c r="L42" s="30">
        <f>Reference!I280</f>
        <v>795724</v>
      </c>
      <c r="N42" s="18">
        <f>Test!B280</f>
        <v>0</v>
      </c>
      <c r="O42" s="19">
        <f>Test!C280</f>
        <v>0</v>
      </c>
      <c r="P42" s="19">
        <f>Test!D280</f>
        <v>0</v>
      </c>
      <c r="Q42" s="19">
        <f>Test!E280</f>
        <v>0</v>
      </c>
      <c r="R42" s="19">
        <f>Test!F280</f>
        <v>0</v>
      </c>
      <c r="S42" s="19">
        <f>Test!G280</f>
        <v>0</v>
      </c>
      <c r="T42" s="19">
        <f t="shared" si="1"/>
        <v>0</v>
      </c>
      <c r="U42" s="31">
        <f>Test!H280</f>
        <v>0</v>
      </c>
      <c r="V42" s="32">
        <f>Test!I280</f>
        <v>0</v>
      </c>
      <c r="W42" s="16">
        <f t="shared" si="2"/>
        <v>0</v>
      </c>
      <c r="X42" s="16">
        <f t="shared" si="3"/>
        <v>0</v>
      </c>
      <c r="Y42" s="16">
        <f t="shared" si="4"/>
        <v>0</v>
      </c>
      <c r="Z42" s="25">
        <f t="shared" si="4"/>
        <v>0</v>
      </c>
      <c r="AA42" s="42"/>
      <c r="AB42" s="46"/>
      <c r="AC42" s="47"/>
      <c r="AD42" s="47"/>
      <c r="AE42" s="46"/>
      <c r="AF42" s="47"/>
      <c r="AG42" s="48"/>
    </row>
    <row r="43" spans="1:33">
      <c r="A43" s="14"/>
      <c r="B43" s="11" t="s">
        <v>80</v>
      </c>
      <c r="C43" s="11">
        <v>22</v>
      </c>
      <c r="D43" s="12">
        <f>Reference!B281</f>
        <v>28642.616</v>
      </c>
      <c r="E43" s="13">
        <f>Reference!C281</f>
        <v>38.2232</v>
      </c>
      <c r="F43" s="13">
        <f>Reference!D281</f>
        <v>42.9341</v>
      </c>
      <c r="G43" s="13">
        <f>Reference!E281</f>
        <v>45.3832</v>
      </c>
      <c r="H43" s="13">
        <f>Reference!F281</f>
        <v>126996</v>
      </c>
      <c r="I43" s="13">
        <f>Reference!G281</f>
        <v>71.616</v>
      </c>
      <c r="J43" s="13">
        <f t="shared" si="0"/>
        <v>35.2766666666667</v>
      </c>
      <c r="K43" s="27">
        <f>Reference!H281</f>
        <v>4183108</v>
      </c>
      <c r="L43" s="28">
        <f>Reference!I281</f>
        <v>845860</v>
      </c>
      <c r="N43" s="12">
        <f>Test!B281</f>
        <v>0</v>
      </c>
      <c r="O43" s="13">
        <f>Test!C281</f>
        <v>0</v>
      </c>
      <c r="P43" s="13">
        <f>Test!D281</f>
        <v>0</v>
      </c>
      <c r="Q43" s="13">
        <f>Test!E281</f>
        <v>0</v>
      </c>
      <c r="R43" s="13">
        <f>Test!F281</f>
        <v>0</v>
      </c>
      <c r="S43" s="13">
        <f>Test!G281</f>
        <v>0</v>
      </c>
      <c r="T43" s="13">
        <f t="shared" si="1"/>
        <v>0</v>
      </c>
      <c r="U43" s="27">
        <f>Test!H281</f>
        <v>0</v>
      </c>
      <c r="V43" s="28">
        <f>Test!I281</f>
        <v>0</v>
      </c>
      <c r="W43" s="16">
        <f t="shared" si="2"/>
        <v>0</v>
      </c>
      <c r="X43" s="16">
        <f t="shared" si="3"/>
        <v>0</v>
      </c>
      <c r="Y43" s="16">
        <f t="shared" si="4"/>
        <v>0</v>
      </c>
      <c r="Z43" s="25">
        <f t="shared" si="4"/>
        <v>0</v>
      </c>
      <c r="AA43" s="42"/>
      <c r="AB43" s="39" t="e">
        <f>bdrate($D43:$D46,E43:E46,$N43:$N46,O43:O46)</f>
        <v>#VALUE!</v>
      </c>
      <c r="AC43" s="40" t="e">
        <f>bdrate($D43:$D46,F43:F46,$N43:$N46,P43:P46)</f>
        <v>#VALUE!</v>
      </c>
      <c r="AD43" s="40" t="e">
        <f>bdrate($D43:$D46,G43:G46,$N43:$N46,Q43:Q46)</f>
        <v>#VALUE!</v>
      </c>
      <c r="AE43" s="49" t="e">
        <f>bdrateOld($D43:$D46,E43:E46,$N43:$N46,O43:O46)</f>
        <v>#VALUE!</v>
      </c>
      <c r="AF43" s="50" t="e">
        <f>bdrateOld($D43:$D46,F43:F46,$N43:$N46,P43:P46)</f>
        <v>#VALUE!</v>
      </c>
      <c r="AG43" s="52" t="e">
        <f>bdrateOld($D43:$D46,G43:G46,$N43:$N46,Q43:Q46)</f>
        <v>#VALUE!</v>
      </c>
    </row>
    <row r="44" spans="1:33">
      <c r="A44" s="14"/>
      <c r="B44" s="14"/>
      <c r="C44" s="14">
        <v>27</v>
      </c>
      <c r="D44" s="15">
        <f>Reference!B282</f>
        <v>3625.1632</v>
      </c>
      <c r="E44" s="16">
        <f>Reference!C282</f>
        <v>35.9183</v>
      </c>
      <c r="F44" s="16">
        <f>Reference!D282</f>
        <v>41.8958</v>
      </c>
      <c r="G44" s="16">
        <f>Reference!E282</f>
        <v>44.3897</v>
      </c>
      <c r="H44" s="16">
        <f>Reference!F282</f>
        <v>86102</v>
      </c>
      <c r="I44" s="16">
        <f>Reference!G282</f>
        <v>68.719</v>
      </c>
      <c r="J44" s="16">
        <f t="shared" si="0"/>
        <v>23.9172222222222</v>
      </c>
      <c r="K44" s="29">
        <f>Reference!H282</f>
        <v>4164964</v>
      </c>
      <c r="L44" s="30">
        <f>Reference!I282</f>
        <v>905520</v>
      </c>
      <c r="N44" s="15">
        <f>Test!B282</f>
        <v>0</v>
      </c>
      <c r="O44" s="16">
        <f>Test!C282</f>
        <v>0</v>
      </c>
      <c r="P44" s="16">
        <f>Test!D282</f>
        <v>0</v>
      </c>
      <c r="Q44" s="16">
        <f>Test!E282</f>
        <v>0</v>
      </c>
      <c r="R44" s="16">
        <f>Test!F282</f>
        <v>0</v>
      </c>
      <c r="S44" s="16">
        <f>Test!G282</f>
        <v>0</v>
      </c>
      <c r="T44" s="16">
        <f t="shared" si="1"/>
        <v>0</v>
      </c>
      <c r="U44" s="29">
        <f>Test!H282</f>
        <v>0</v>
      </c>
      <c r="V44" s="30">
        <f>Test!I282</f>
        <v>0</v>
      </c>
      <c r="W44" s="16">
        <f t="shared" si="2"/>
        <v>0</v>
      </c>
      <c r="X44" s="16">
        <f t="shared" si="3"/>
        <v>0</v>
      </c>
      <c r="Y44" s="16">
        <f t="shared" si="4"/>
        <v>0</v>
      </c>
      <c r="Z44" s="25">
        <f t="shared" si="4"/>
        <v>0</v>
      </c>
      <c r="AA44" s="42"/>
      <c r="AB44" s="43"/>
      <c r="AC44" s="44"/>
      <c r="AD44" s="44"/>
      <c r="AE44" s="43"/>
      <c r="AF44" s="44"/>
      <c r="AG44" s="45"/>
    </row>
    <row r="45" spans="1:33">
      <c r="A45" s="14"/>
      <c r="B45" s="14"/>
      <c r="C45" s="14">
        <v>32</v>
      </c>
      <c r="D45" s="15">
        <f>Reference!B283</f>
        <v>1234.6176</v>
      </c>
      <c r="E45" s="16">
        <f>Reference!C283</f>
        <v>34.376</v>
      </c>
      <c r="F45" s="16">
        <f>Reference!D283</f>
        <v>40.745</v>
      </c>
      <c r="G45" s="16">
        <f>Reference!E283</f>
        <v>43.192</v>
      </c>
      <c r="H45" s="16">
        <f>Reference!F283</f>
        <v>36429</v>
      </c>
      <c r="I45" s="16">
        <f>Reference!G283</f>
        <v>39.799</v>
      </c>
      <c r="J45" s="16">
        <f t="shared" si="0"/>
        <v>10.1191666666667</v>
      </c>
      <c r="K45" s="29">
        <f>Reference!H283</f>
        <v>4262920</v>
      </c>
      <c r="L45" s="30">
        <f>Reference!I283</f>
        <v>818028</v>
      </c>
      <c r="N45" s="15">
        <f>Test!B283</f>
        <v>0</v>
      </c>
      <c r="O45" s="16">
        <f>Test!C283</f>
        <v>0</v>
      </c>
      <c r="P45" s="16">
        <f>Test!D283</f>
        <v>0</v>
      </c>
      <c r="Q45" s="16">
        <f>Test!E283</f>
        <v>0</v>
      </c>
      <c r="R45" s="16">
        <f>Test!F283</f>
        <v>0</v>
      </c>
      <c r="S45" s="16">
        <f>Test!G283</f>
        <v>0</v>
      </c>
      <c r="T45" s="16">
        <f t="shared" si="1"/>
        <v>0</v>
      </c>
      <c r="U45" s="29">
        <f>Test!H283</f>
        <v>0</v>
      </c>
      <c r="V45" s="30">
        <f>Test!I283</f>
        <v>0</v>
      </c>
      <c r="W45" s="16">
        <f t="shared" si="2"/>
        <v>0</v>
      </c>
      <c r="X45" s="16">
        <f t="shared" si="3"/>
        <v>0</v>
      </c>
      <c r="Y45" s="16">
        <f t="shared" si="4"/>
        <v>0</v>
      </c>
      <c r="Z45" s="25">
        <f t="shared" si="4"/>
        <v>0</v>
      </c>
      <c r="AA45" s="42"/>
      <c r="AB45" s="43"/>
      <c r="AC45" s="44"/>
      <c r="AD45" s="44"/>
      <c r="AE45" s="43"/>
      <c r="AF45" s="44"/>
      <c r="AG45" s="45"/>
    </row>
    <row r="46" ht="12.75" customHeight="1" spans="1:33">
      <c r="A46" s="17"/>
      <c r="B46" s="17"/>
      <c r="C46" s="17">
        <v>37</v>
      </c>
      <c r="D46" s="18">
        <f>Reference!B284</f>
        <v>505.2032</v>
      </c>
      <c r="E46" s="19">
        <f>Reference!C284</f>
        <v>32.6649</v>
      </c>
      <c r="F46" s="19">
        <f>Reference!D284</f>
        <v>39.6092</v>
      </c>
      <c r="G46" s="19">
        <f>Reference!E284</f>
        <v>42.1495</v>
      </c>
      <c r="H46" s="19">
        <f>Reference!F284</f>
        <v>25592</v>
      </c>
      <c r="I46" s="19">
        <f>Reference!G284</f>
        <v>31.788</v>
      </c>
      <c r="J46" s="19">
        <f t="shared" si="0"/>
        <v>7.10888888888889</v>
      </c>
      <c r="K46" s="29">
        <f>Reference!H284</f>
        <v>4104808</v>
      </c>
      <c r="L46" s="30">
        <f>Reference!I284</f>
        <v>822048</v>
      </c>
      <c r="N46" s="18">
        <f>Test!B284</f>
        <v>0</v>
      </c>
      <c r="O46" s="19">
        <f>Test!C284</f>
        <v>0</v>
      </c>
      <c r="P46" s="19">
        <f>Test!D284</f>
        <v>0</v>
      </c>
      <c r="Q46" s="19">
        <f>Test!E284</f>
        <v>0</v>
      </c>
      <c r="R46" s="19">
        <f>Test!F284</f>
        <v>0</v>
      </c>
      <c r="S46" s="19">
        <f>Test!G284</f>
        <v>0</v>
      </c>
      <c r="T46" s="19">
        <f t="shared" si="1"/>
        <v>0</v>
      </c>
      <c r="U46" s="31">
        <f>Test!H284</f>
        <v>0</v>
      </c>
      <c r="V46" s="32">
        <f>Test!I284</f>
        <v>0</v>
      </c>
      <c r="W46" s="16">
        <f t="shared" si="2"/>
        <v>0</v>
      </c>
      <c r="X46" s="16">
        <f t="shared" si="3"/>
        <v>0</v>
      </c>
      <c r="Y46" s="16">
        <f t="shared" si="4"/>
        <v>0</v>
      </c>
      <c r="Z46" s="25">
        <f t="shared" si="4"/>
        <v>0</v>
      </c>
      <c r="AA46" s="42"/>
      <c r="AB46" s="46"/>
      <c r="AC46" s="47"/>
      <c r="AD46" s="47"/>
      <c r="AE46" s="46"/>
      <c r="AF46" s="47"/>
      <c r="AG46" s="48"/>
    </row>
    <row r="47" spans="1:33">
      <c r="A47" s="11" t="s">
        <v>23</v>
      </c>
      <c r="B47" s="11" t="s">
        <v>81</v>
      </c>
      <c r="C47" s="11">
        <v>22</v>
      </c>
      <c r="D47" s="12">
        <f>Reference!B285</f>
        <v>2278.9664</v>
      </c>
      <c r="E47" s="13">
        <f>Reference!C285</f>
        <v>41.5883</v>
      </c>
      <c r="F47" s="13">
        <f>Reference!D285</f>
        <v>43.8425</v>
      </c>
      <c r="G47" s="13">
        <f>Reference!E285</f>
        <v>44.8196</v>
      </c>
      <c r="H47" s="13">
        <f>Reference!F285</f>
        <v>18370</v>
      </c>
      <c r="I47" s="13">
        <f>Reference!G285</f>
        <v>13.753</v>
      </c>
      <c r="J47" s="13">
        <f t="shared" si="0"/>
        <v>5.10277777777778</v>
      </c>
      <c r="K47" s="27">
        <f>Reference!H285</f>
        <v>1597800</v>
      </c>
      <c r="L47" s="28">
        <f>Reference!I285</f>
        <v>471252</v>
      </c>
      <c r="N47" s="12">
        <f>Test!B285</f>
        <v>0</v>
      </c>
      <c r="O47" s="13">
        <f>Test!C285</f>
        <v>0</v>
      </c>
      <c r="P47" s="13">
        <f>Test!D285</f>
        <v>0</v>
      </c>
      <c r="Q47" s="13">
        <f>Test!E285</f>
        <v>0</v>
      </c>
      <c r="R47" s="13">
        <f>Test!F285</f>
        <v>0</v>
      </c>
      <c r="S47" s="13">
        <f>Test!G285</f>
        <v>0</v>
      </c>
      <c r="T47" s="13">
        <f t="shared" si="1"/>
        <v>0</v>
      </c>
      <c r="U47" s="27">
        <f>Test!H285</f>
        <v>0</v>
      </c>
      <c r="V47" s="28">
        <f>Test!I285</f>
        <v>0</v>
      </c>
      <c r="W47" s="13">
        <f t="shared" si="2"/>
        <v>0</v>
      </c>
      <c r="X47" s="13">
        <f t="shared" si="3"/>
        <v>0</v>
      </c>
      <c r="Y47" s="13">
        <f t="shared" si="4"/>
        <v>0</v>
      </c>
      <c r="Z47" s="24">
        <f t="shared" si="4"/>
        <v>0</v>
      </c>
      <c r="AA47" s="38"/>
      <c r="AB47" s="39" t="e">
        <f>bdrate($D47:$D50,E47:E50,$N47:$N50,O47:O50)</f>
        <v>#VALUE!</v>
      </c>
      <c r="AC47" s="40" t="e">
        <f>bdrate($D47:$D50,F47:F50,$N47:$N50,P47:P50)</f>
        <v>#VALUE!</v>
      </c>
      <c r="AD47" s="41" t="e">
        <f>bdrate($D47:$D50,G47:G50,$N47:$N50,Q47:Q50)</f>
        <v>#VALUE!</v>
      </c>
      <c r="AE47" s="39" t="e">
        <f>bdrateOld($D47:$D50,E47:E50,$N47:$N50,O47:O50)</f>
        <v>#VALUE!</v>
      </c>
      <c r="AF47" s="40" t="e">
        <f>bdrateOld($D47:$D50,F47:F50,$N47:$N50,P47:P50)</f>
        <v>#VALUE!</v>
      </c>
      <c r="AG47" s="41" t="e">
        <f>bdrateOld($D47:$D50,G47:G50,$N47:$N50,Q47:Q50)</f>
        <v>#VALUE!</v>
      </c>
    </row>
    <row r="48" spans="1:33">
      <c r="A48" s="14" t="s">
        <v>112</v>
      </c>
      <c r="B48" s="14"/>
      <c r="C48" s="14">
        <v>27</v>
      </c>
      <c r="D48" s="15">
        <f>Reference!B286</f>
        <v>1008.3056</v>
      </c>
      <c r="E48" s="16">
        <f>Reference!C286</f>
        <v>38.4519</v>
      </c>
      <c r="F48" s="16">
        <f>Reference!D286</f>
        <v>41.3758</v>
      </c>
      <c r="G48" s="16">
        <f>Reference!E286</f>
        <v>41.8327</v>
      </c>
      <c r="H48" s="16">
        <f>Reference!F286</f>
        <v>13254</v>
      </c>
      <c r="I48" s="16">
        <f>Reference!G286</f>
        <v>10.802</v>
      </c>
      <c r="J48" s="16">
        <f t="shared" si="0"/>
        <v>3.68166666666667</v>
      </c>
      <c r="K48" s="29">
        <f>Reference!H286</f>
        <v>1591292</v>
      </c>
      <c r="L48" s="30">
        <f>Reference!I286</f>
        <v>465364</v>
      </c>
      <c r="N48" s="15">
        <f>Test!B286</f>
        <v>0</v>
      </c>
      <c r="O48" s="16">
        <f>Test!C286</f>
        <v>0</v>
      </c>
      <c r="P48" s="16">
        <f>Test!D286</f>
        <v>0</v>
      </c>
      <c r="Q48" s="16">
        <f>Test!E286</f>
        <v>0</v>
      </c>
      <c r="R48" s="16">
        <f>Test!F286</f>
        <v>0</v>
      </c>
      <c r="S48" s="16">
        <f>Test!G286</f>
        <v>0</v>
      </c>
      <c r="T48" s="16">
        <f t="shared" si="1"/>
        <v>0</v>
      </c>
      <c r="U48" s="29">
        <f>Test!H286</f>
        <v>0</v>
      </c>
      <c r="V48" s="30">
        <f>Test!I286</f>
        <v>0</v>
      </c>
      <c r="W48" s="16">
        <f t="shared" si="2"/>
        <v>0</v>
      </c>
      <c r="X48" s="16">
        <f t="shared" si="3"/>
        <v>0</v>
      </c>
      <c r="Y48" s="16">
        <f t="shared" si="4"/>
        <v>0</v>
      </c>
      <c r="Z48" s="25">
        <f t="shared" si="4"/>
        <v>0</v>
      </c>
      <c r="AA48" s="42"/>
      <c r="AB48" s="43"/>
      <c r="AC48" s="44"/>
      <c r="AD48" s="45"/>
      <c r="AE48" s="43"/>
      <c r="AF48" s="44"/>
      <c r="AG48" s="45"/>
    </row>
    <row r="49" spans="1:33">
      <c r="A49" s="14"/>
      <c r="B49" s="14"/>
      <c r="C49" s="14">
        <v>32</v>
      </c>
      <c r="D49" s="15">
        <f>Reference!B287</f>
        <v>497.664</v>
      </c>
      <c r="E49" s="16">
        <f>Reference!C287</f>
        <v>35.4772</v>
      </c>
      <c r="F49" s="16">
        <f>Reference!D287</f>
        <v>39.591</v>
      </c>
      <c r="G49" s="16">
        <f>Reference!E287</f>
        <v>39.7871</v>
      </c>
      <c r="H49" s="16">
        <f>Reference!F287</f>
        <v>10083</v>
      </c>
      <c r="I49" s="16">
        <f>Reference!G287</f>
        <v>8.879</v>
      </c>
      <c r="J49" s="16">
        <f t="shared" si="0"/>
        <v>2.80083333333333</v>
      </c>
      <c r="K49" s="29">
        <f>Reference!H287</f>
        <v>1586820</v>
      </c>
      <c r="L49" s="30">
        <f>Reference!I287</f>
        <v>462380</v>
      </c>
      <c r="N49" s="15">
        <f>Test!B287</f>
        <v>0</v>
      </c>
      <c r="O49" s="16">
        <f>Test!C287</f>
        <v>0</v>
      </c>
      <c r="P49" s="16">
        <f>Test!D287</f>
        <v>0</v>
      </c>
      <c r="Q49" s="16">
        <f>Test!E287</f>
        <v>0</v>
      </c>
      <c r="R49" s="16">
        <f>Test!F287</f>
        <v>0</v>
      </c>
      <c r="S49" s="16">
        <f>Test!G287</f>
        <v>0</v>
      </c>
      <c r="T49" s="16">
        <f t="shared" si="1"/>
        <v>0</v>
      </c>
      <c r="U49" s="29">
        <f>Test!H287</f>
        <v>0</v>
      </c>
      <c r="V49" s="30">
        <f>Test!I287</f>
        <v>0</v>
      </c>
      <c r="W49" s="16">
        <f t="shared" si="2"/>
        <v>0</v>
      </c>
      <c r="X49" s="16">
        <f t="shared" si="3"/>
        <v>0</v>
      </c>
      <c r="Y49" s="16">
        <f t="shared" si="4"/>
        <v>0</v>
      </c>
      <c r="Z49" s="25">
        <f t="shared" si="4"/>
        <v>0</v>
      </c>
      <c r="AA49" s="42"/>
      <c r="AB49" s="43"/>
      <c r="AC49" s="44"/>
      <c r="AD49" s="45"/>
      <c r="AE49" s="43"/>
      <c r="AF49" s="44"/>
      <c r="AG49" s="45"/>
    </row>
    <row r="50" ht="12.75" customHeight="1" spans="1:33">
      <c r="A50" s="14"/>
      <c r="B50" s="17"/>
      <c r="C50" s="17">
        <v>37</v>
      </c>
      <c r="D50" s="18">
        <f>Reference!B288</f>
        <v>258.3632</v>
      </c>
      <c r="E50" s="19">
        <f>Reference!C288</f>
        <v>32.88</v>
      </c>
      <c r="F50" s="19">
        <f>Reference!D288</f>
        <v>37.8066</v>
      </c>
      <c r="G50" s="19">
        <f>Reference!E288</f>
        <v>37.6458</v>
      </c>
      <c r="H50" s="19">
        <f>Reference!F288</f>
        <v>7248</v>
      </c>
      <c r="I50" s="19">
        <f>Reference!G288</f>
        <v>6.805</v>
      </c>
      <c r="J50" s="19">
        <f t="shared" si="0"/>
        <v>2.01333333333333</v>
      </c>
      <c r="K50" s="29">
        <f>Reference!H288</f>
        <v>1583632</v>
      </c>
      <c r="L50" s="30">
        <f>Reference!I288</f>
        <v>458072</v>
      </c>
      <c r="N50" s="18">
        <f>Test!B288</f>
        <v>0</v>
      </c>
      <c r="O50" s="19">
        <f>Test!C288</f>
        <v>0</v>
      </c>
      <c r="P50" s="19">
        <f>Test!D288</f>
        <v>0</v>
      </c>
      <c r="Q50" s="19">
        <f>Test!E288</f>
        <v>0</v>
      </c>
      <c r="R50" s="19">
        <f>Test!F288</f>
        <v>0</v>
      </c>
      <c r="S50" s="19">
        <f>Test!G288</f>
        <v>0</v>
      </c>
      <c r="T50" s="19">
        <f t="shared" si="1"/>
        <v>0</v>
      </c>
      <c r="U50" s="31">
        <f>Test!H288</f>
        <v>0</v>
      </c>
      <c r="V50" s="32">
        <f>Test!I288</f>
        <v>0</v>
      </c>
      <c r="W50" s="16">
        <f t="shared" si="2"/>
        <v>0</v>
      </c>
      <c r="X50" s="16">
        <f t="shared" si="3"/>
        <v>0</v>
      </c>
      <c r="Y50" s="16">
        <f t="shared" si="4"/>
        <v>0</v>
      </c>
      <c r="Z50" s="25">
        <f t="shared" si="4"/>
        <v>0</v>
      </c>
      <c r="AA50" s="42"/>
      <c r="AB50" s="46"/>
      <c r="AC50" s="47"/>
      <c r="AD50" s="48"/>
      <c r="AE50" s="46"/>
      <c r="AF50" s="47"/>
      <c r="AG50" s="48"/>
    </row>
    <row r="51" spans="1:33">
      <c r="A51" s="14"/>
      <c r="B51" s="11" t="s">
        <v>82</v>
      </c>
      <c r="C51" s="11">
        <v>22</v>
      </c>
      <c r="D51" s="12">
        <f>Reference!B289</f>
        <v>2874.8944</v>
      </c>
      <c r="E51" s="13">
        <f>Reference!C289</f>
        <v>40.0864</v>
      </c>
      <c r="F51" s="13">
        <f>Reference!D289</f>
        <v>43.4565</v>
      </c>
      <c r="G51" s="13">
        <f>Reference!E289</f>
        <v>44.5287</v>
      </c>
      <c r="H51" s="13">
        <f>Reference!F289</f>
        <v>21756</v>
      </c>
      <c r="I51" s="13">
        <f>Reference!G289</f>
        <v>16.287</v>
      </c>
      <c r="J51" s="13">
        <f t="shared" si="0"/>
        <v>6.04333333333333</v>
      </c>
      <c r="K51" s="27">
        <f>Reference!H289</f>
        <v>1596700</v>
      </c>
      <c r="L51" s="28">
        <f>Reference!I289</f>
        <v>486328</v>
      </c>
      <c r="N51" s="12">
        <f>Test!B289</f>
        <v>0</v>
      </c>
      <c r="O51" s="13">
        <f>Test!C289</f>
        <v>0</v>
      </c>
      <c r="P51" s="13">
        <f>Test!D289</f>
        <v>0</v>
      </c>
      <c r="Q51" s="13">
        <f>Test!E289</f>
        <v>0</v>
      </c>
      <c r="R51" s="13">
        <f>Test!F289</f>
        <v>0</v>
      </c>
      <c r="S51" s="13">
        <f>Test!G289</f>
        <v>0</v>
      </c>
      <c r="T51" s="13">
        <f t="shared" si="1"/>
        <v>0</v>
      </c>
      <c r="U51" s="27">
        <f>Test!H289</f>
        <v>0</v>
      </c>
      <c r="V51" s="28">
        <f>Test!I289</f>
        <v>0</v>
      </c>
      <c r="W51" s="16">
        <f t="shared" si="2"/>
        <v>0</v>
      </c>
      <c r="X51" s="16">
        <f t="shared" si="3"/>
        <v>0</v>
      </c>
      <c r="Y51" s="16">
        <f t="shared" si="4"/>
        <v>0</v>
      </c>
      <c r="Z51" s="25">
        <f t="shared" si="4"/>
        <v>0</v>
      </c>
      <c r="AA51" s="42"/>
      <c r="AB51" s="39" t="e">
        <f>bdrate($D51:$D54,E51:E54,$N51:$N54,O51:O54)</f>
        <v>#VALUE!</v>
      </c>
      <c r="AC51" s="40" t="e">
        <f>bdrate($D51:$D54,F51:F54,$N51:$N54,P51:P54)</f>
        <v>#VALUE!</v>
      </c>
      <c r="AD51" s="40" t="e">
        <f>bdrate($D51:$D54,G51:G54,$N51:$N54,Q51:Q54)</f>
        <v>#VALUE!</v>
      </c>
      <c r="AE51" s="49" t="e">
        <f>bdrateOld($D51:$D54,E51:E54,$N51:$N54,O51:O54)</f>
        <v>#VALUE!</v>
      </c>
      <c r="AF51" s="50" t="e">
        <f>bdrateOld($D51:$D54,F51:F54,$N51:$N54,P51:P54)</f>
        <v>#VALUE!</v>
      </c>
      <c r="AG51" s="52" t="e">
        <f>bdrateOld($D51:$D54,G51:G54,$N51:$N54,Q51:Q54)</f>
        <v>#VALUE!</v>
      </c>
    </row>
    <row r="52" spans="1:33">
      <c r="A52" s="14"/>
      <c r="B52" s="14"/>
      <c r="C52" s="14">
        <v>27</v>
      </c>
      <c r="D52" s="15">
        <f>Reference!B290</f>
        <v>1168.2416</v>
      </c>
      <c r="E52" s="16">
        <f>Reference!C290</f>
        <v>37.1909</v>
      </c>
      <c r="F52" s="16">
        <f>Reference!D290</f>
        <v>41.3893</v>
      </c>
      <c r="G52" s="16">
        <f>Reference!E290</f>
        <v>41.8146</v>
      </c>
      <c r="H52" s="16">
        <f>Reference!F290</f>
        <v>14676</v>
      </c>
      <c r="I52" s="16">
        <f>Reference!G290</f>
        <v>11.985</v>
      </c>
      <c r="J52" s="16">
        <f t="shared" si="0"/>
        <v>4.07666666666667</v>
      </c>
      <c r="K52" s="29">
        <f>Reference!H290</f>
        <v>1592992</v>
      </c>
      <c r="L52" s="30">
        <f>Reference!I290</f>
        <v>476772</v>
      </c>
      <c r="N52" s="15">
        <f>Test!B290</f>
        <v>0</v>
      </c>
      <c r="O52" s="16">
        <f>Test!C290</f>
        <v>0</v>
      </c>
      <c r="P52" s="16">
        <f>Test!D290</f>
        <v>0</v>
      </c>
      <c r="Q52" s="16">
        <f>Test!E290</f>
        <v>0</v>
      </c>
      <c r="R52" s="16">
        <f>Test!F290</f>
        <v>0</v>
      </c>
      <c r="S52" s="16">
        <f>Test!G290</f>
        <v>0</v>
      </c>
      <c r="T52" s="16">
        <f t="shared" si="1"/>
        <v>0</v>
      </c>
      <c r="U52" s="29">
        <f>Test!H290</f>
        <v>0</v>
      </c>
      <c r="V52" s="30">
        <f>Test!I290</f>
        <v>0</v>
      </c>
      <c r="W52" s="16">
        <f t="shared" si="2"/>
        <v>0</v>
      </c>
      <c r="X52" s="16">
        <f t="shared" si="3"/>
        <v>0</v>
      </c>
      <c r="Y52" s="16">
        <f t="shared" si="4"/>
        <v>0</v>
      </c>
      <c r="Z52" s="25">
        <f t="shared" si="4"/>
        <v>0</v>
      </c>
      <c r="AA52" s="42"/>
      <c r="AB52" s="43"/>
      <c r="AC52" s="44"/>
      <c r="AD52" s="44"/>
      <c r="AE52" s="43"/>
      <c r="AF52" s="44"/>
      <c r="AG52" s="45"/>
    </row>
    <row r="53" spans="1:33">
      <c r="A53" s="14"/>
      <c r="B53" s="14"/>
      <c r="C53" s="14">
        <v>32</v>
      </c>
      <c r="D53" s="15">
        <f>Reference!B291</f>
        <v>557.1488</v>
      </c>
      <c r="E53" s="16">
        <f>Reference!C291</f>
        <v>34.3853</v>
      </c>
      <c r="F53" s="16">
        <f>Reference!D291</f>
        <v>39.6312</v>
      </c>
      <c r="G53" s="16">
        <f>Reference!E291</f>
        <v>39.877</v>
      </c>
      <c r="H53" s="16">
        <f>Reference!F291</f>
        <v>14570</v>
      </c>
      <c r="I53" s="16">
        <f>Reference!G291</f>
        <v>12.179</v>
      </c>
      <c r="J53" s="16">
        <f t="shared" si="0"/>
        <v>4.04722222222222</v>
      </c>
      <c r="K53" s="29">
        <f>Reference!H291</f>
        <v>1589804</v>
      </c>
      <c r="L53" s="30">
        <f>Reference!I291</f>
        <v>474188</v>
      </c>
      <c r="N53" s="15">
        <f>Test!B291</f>
        <v>0</v>
      </c>
      <c r="O53" s="16">
        <f>Test!C291</f>
        <v>0</v>
      </c>
      <c r="P53" s="16">
        <f>Test!D291</f>
        <v>0</v>
      </c>
      <c r="Q53" s="16">
        <f>Test!E291</f>
        <v>0</v>
      </c>
      <c r="R53" s="16">
        <f>Test!F291</f>
        <v>0</v>
      </c>
      <c r="S53" s="16">
        <f>Test!G291</f>
        <v>0</v>
      </c>
      <c r="T53" s="16">
        <f t="shared" si="1"/>
        <v>0</v>
      </c>
      <c r="U53" s="29">
        <f>Test!H291</f>
        <v>0</v>
      </c>
      <c r="V53" s="30">
        <f>Test!I291</f>
        <v>0</v>
      </c>
      <c r="W53" s="16">
        <f t="shared" si="2"/>
        <v>0</v>
      </c>
      <c r="X53" s="16">
        <f t="shared" si="3"/>
        <v>0</v>
      </c>
      <c r="Y53" s="16">
        <f t="shared" si="4"/>
        <v>0</v>
      </c>
      <c r="Z53" s="25">
        <f t="shared" si="4"/>
        <v>0</v>
      </c>
      <c r="AA53" s="42"/>
      <c r="AB53" s="43"/>
      <c r="AC53" s="44"/>
      <c r="AD53" s="44"/>
      <c r="AE53" s="43"/>
      <c r="AF53" s="44"/>
      <c r="AG53" s="45"/>
    </row>
    <row r="54" ht="12.75" customHeight="1" spans="1:33">
      <c r="A54" s="14"/>
      <c r="B54" s="17"/>
      <c r="C54" s="17">
        <v>37</v>
      </c>
      <c r="D54" s="18">
        <f>Reference!B292</f>
        <v>285.6448</v>
      </c>
      <c r="E54" s="19">
        <f>Reference!C292</f>
        <v>31.7048</v>
      </c>
      <c r="F54" s="19">
        <f>Reference!D292</f>
        <v>38.2039</v>
      </c>
      <c r="G54" s="19">
        <f>Reference!E292</f>
        <v>38.149</v>
      </c>
      <c r="H54" s="19">
        <f>Reference!F292</f>
        <v>7850</v>
      </c>
      <c r="I54" s="19">
        <f>Reference!G292</f>
        <v>6.579</v>
      </c>
      <c r="J54" s="19">
        <f t="shared" si="0"/>
        <v>2.18055555555556</v>
      </c>
      <c r="K54" s="29">
        <f>Reference!H292</f>
        <v>1588120</v>
      </c>
      <c r="L54" s="30">
        <f>Reference!I292</f>
        <v>470260</v>
      </c>
      <c r="N54" s="18">
        <f>Test!B292</f>
        <v>0</v>
      </c>
      <c r="O54" s="19">
        <f>Test!C292</f>
        <v>0</v>
      </c>
      <c r="P54" s="19">
        <f>Test!D292</f>
        <v>0</v>
      </c>
      <c r="Q54" s="19">
        <f>Test!E292</f>
        <v>0</v>
      </c>
      <c r="R54" s="19">
        <f>Test!F292</f>
        <v>0</v>
      </c>
      <c r="S54" s="19">
        <f>Test!G292</f>
        <v>0</v>
      </c>
      <c r="T54" s="19">
        <f t="shared" si="1"/>
        <v>0</v>
      </c>
      <c r="U54" s="31">
        <f>Test!H292</f>
        <v>0</v>
      </c>
      <c r="V54" s="32">
        <f>Test!I292</f>
        <v>0</v>
      </c>
      <c r="W54" s="16">
        <f t="shared" si="2"/>
        <v>0</v>
      </c>
      <c r="X54" s="16">
        <f t="shared" si="3"/>
        <v>0</v>
      </c>
      <c r="Y54" s="16">
        <f t="shared" si="4"/>
        <v>0</v>
      </c>
      <c r="Z54" s="25">
        <f t="shared" si="4"/>
        <v>0</v>
      </c>
      <c r="AA54" s="42"/>
      <c r="AB54" s="46"/>
      <c r="AC54" s="47"/>
      <c r="AD54" s="47"/>
      <c r="AE54" s="46"/>
      <c r="AF54" s="47"/>
      <c r="AG54" s="48"/>
    </row>
    <row r="55" spans="1:33">
      <c r="A55" s="14"/>
      <c r="B55" s="11" t="s">
        <v>113</v>
      </c>
      <c r="C55" s="11">
        <v>22</v>
      </c>
      <c r="D55" s="12">
        <f>Reference!B293</f>
        <v>6341.8096</v>
      </c>
      <c r="E55" s="13">
        <f>Reference!C293</f>
        <v>38.4838</v>
      </c>
      <c r="F55" s="13">
        <f>Reference!D293</f>
        <v>41.0541</v>
      </c>
      <c r="G55" s="13">
        <f>Reference!E293</f>
        <v>41.7555</v>
      </c>
      <c r="H55" s="13">
        <f>Reference!F293</f>
        <v>35855</v>
      </c>
      <c r="I55" s="13">
        <f>Reference!G293</f>
        <v>28.125</v>
      </c>
      <c r="J55" s="13">
        <f t="shared" si="0"/>
        <v>9.95972222222222</v>
      </c>
      <c r="K55" s="27">
        <f>Reference!H293</f>
        <v>1605020</v>
      </c>
      <c r="L55" s="28">
        <f>Reference!I293</f>
        <v>481748</v>
      </c>
      <c r="N55" s="12">
        <f>Test!B293</f>
        <v>0</v>
      </c>
      <c r="O55" s="13">
        <f>Test!C293</f>
        <v>0</v>
      </c>
      <c r="P55" s="13">
        <f>Test!D293</f>
        <v>0</v>
      </c>
      <c r="Q55" s="13">
        <f>Test!E293</f>
        <v>0</v>
      </c>
      <c r="R55" s="13">
        <f>Test!F293</f>
        <v>0</v>
      </c>
      <c r="S55" s="13">
        <f>Test!G293</f>
        <v>0</v>
      </c>
      <c r="T55" s="13">
        <f t="shared" si="1"/>
        <v>0</v>
      </c>
      <c r="U55" s="27">
        <f>Test!H293</f>
        <v>0</v>
      </c>
      <c r="V55" s="28">
        <f>Test!I293</f>
        <v>0</v>
      </c>
      <c r="W55" s="16">
        <f t="shared" si="2"/>
        <v>0</v>
      </c>
      <c r="X55" s="16">
        <f t="shared" si="3"/>
        <v>0</v>
      </c>
      <c r="Y55" s="16">
        <f t="shared" si="4"/>
        <v>0</v>
      </c>
      <c r="Z55" s="25">
        <f t="shared" si="4"/>
        <v>0</v>
      </c>
      <c r="AA55" s="42"/>
      <c r="AB55" s="39" t="e">
        <f>bdrate($D55:$D58,E55:E58,$N55:$N58,O55:O58)</f>
        <v>#VALUE!</v>
      </c>
      <c r="AC55" s="40" t="e">
        <f>bdrate($D55:$D58,F55:F58,$N55:$N58,P55:P58)</f>
        <v>#VALUE!</v>
      </c>
      <c r="AD55" s="40" t="e">
        <f>bdrate($D55:$D58,G55:G58,$N55:$N58,Q55:Q58)</f>
        <v>#VALUE!</v>
      </c>
      <c r="AE55" s="49" t="e">
        <f>bdrateOld($D55:$D58,E55:E58,$N55:$N58,O55:O58)</f>
        <v>#VALUE!</v>
      </c>
      <c r="AF55" s="50" t="e">
        <f>bdrateOld($D55:$D58,F55:F58,$N55:$N58,P55:P58)</f>
        <v>#VALUE!</v>
      </c>
      <c r="AG55" s="52" t="e">
        <f>bdrateOld($D55:$D58,G55:G58,$N55:$N58,Q55:Q58)</f>
        <v>#VALUE!</v>
      </c>
    </row>
    <row r="56" spans="1:33">
      <c r="A56" s="14"/>
      <c r="B56" s="14"/>
      <c r="C56" s="14">
        <v>27</v>
      </c>
      <c r="D56" s="15">
        <f>Reference!B294</f>
        <v>2575.0336</v>
      </c>
      <c r="E56" s="16">
        <f>Reference!C294</f>
        <v>34.5251</v>
      </c>
      <c r="F56" s="16">
        <f>Reference!D294</f>
        <v>38.2017</v>
      </c>
      <c r="G56" s="16">
        <f>Reference!E294</f>
        <v>38.6948</v>
      </c>
      <c r="H56" s="16">
        <f>Reference!F294</f>
        <v>19429</v>
      </c>
      <c r="I56" s="16">
        <f>Reference!G294</f>
        <v>18.608</v>
      </c>
      <c r="J56" s="16">
        <f t="shared" si="0"/>
        <v>5.39694444444444</v>
      </c>
      <c r="K56" s="29">
        <f>Reference!H294</f>
        <v>1601704</v>
      </c>
      <c r="L56" s="30">
        <f>Reference!I294</f>
        <v>473796</v>
      </c>
      <c r="N56" s="15">
        <f>Test!B294</f>
        <v>0</v>
      </c>
      <c r="O56" s="16">
        <f>Test!C294</f>
        <v>0</v>
      </c>
      <c r="P56" s="16">
        <f>Test!D294</f>
        <v>0</v>
      </c>
      <c r="Q56" s="16">
        <f>Test!E294</f>
        <v>0</v>
      </c>
      <c r="R56" s="16">
        <f>Test!F294</f>
        <v>0</v>
      </c>
      <c r="S56" s="16">
        <f>Test!G294</f>
        <v>0</v>
      </c>
      <c r="T56" s="16">
        <f t="shared" si="1"/>
        <v>0</v>
      </c>
      <c r="U56" s="29">
        <f>Test!H294</f>
        <v>0</v>
      </c>
      <c r="V56" s="30">
        <f>Test!I294</f>
        <v>0</v>
      </c>
      <c r="W56" s="16">
        <f t="shared" si="2"/>
        <v>0</v>
      </c>
      <c r="X56" s="16">
        <f t="shared" si="3"/>
        <v>0</v>
      </c>
      <c r="Y56" s="16">
        <f t="shared" si="4"/>
        <v>0</v>
      </c>
      <c r="Z56" s="25">
        <f t="shared" si="4"/>
        <v>0</v>
      </c>
      <c r="AA56" s="42"/>
      <c r="AB56" s="43"/>
      <c r="AC56" s="44"/>
      <c r="AD56" s="44"/>
      <c r="AE56" s="43"/>
      <c r="AF56" s="44"/>
      <c r="AG56" s="45"/>
    </row>
    <row r="57" spans="1:33">
      <c r="A57" s="14"/>
      <c r="B57" s="14"/>
      <c r="C57" s="14">
        <v>32</v>
      </c>
      <c r="D57" s="15">
        <f>Reference!B295</f>
        <v>1156.0592</v>
      </c>
      <c r="E57" s="16">
        <f>Reference!C295</f>
        <v>31.13</v>
      </c>
      <c r="F57" s="16">
        <f>Reference!D295</f>
        <v>36.29</v>
      </c>
      <c r="G57" s="16">
        <f>Reference!E295</f>
        <v>36.6843</v>
      </c>
      <c r="H57" s="16">
        <f>Reference!F295</f>
        <v>19510</v>
      </c>
      <c r="I57" s="16">
        <f>Reference!G295</f>
        <v>18.645</v>
      </c>
      <c r="J57" s="16">
        <f t="shared" si="0"/>
        <v>5.41944444444444</v>
      </c>
      <c r="K57" s="29">
        <f>Reference!H295</f>
        <v>1597360</v>
      </c>
      <c r="L57" s="30">
        <f>Reference!I295</f>
        <v>467596</v>
      </c>
      <c r="N57" s="15">
        <f>Test!B295</f>
        <v>0</v>
      </c>
      <c r="O57" s="16">
        <f>Test!C295</f>
        <v>0</v>
      </c>
      <c r="P57" s="16">
        <f>Test!D295</f>
        <v>0</v>
      </c>
      <c r="Q57" s="16">
        <f>Test!E295</f>
        <v>0</v>
      </c>
      <c r="R57" s="16">
        <f>Test!F295</f>
        <v>0</v>
      </c>
      <c r="S57" s="16">
        <f>Test!G295</f>
        <v>0</v>
      </c>
      <c r="T57" s="16">
        <f t="shared" si="1"/>
        <v>0</v>
      </c>
      <c r="U57" s="29">
        <f>Test!H295</f>
        <v>0</v>
      </c>
      <c r="V57" s="30">
        <f>Test!I295</f>
        <v>0</v>
      </c>
      <c r="W57" s="16">
        <f t="shared" si="2"/>
        <v>0</v>
      </c>
      <c r="X57" s="16">
        <f t="shared" si="3"/>
        <v>0</v>
      </c>
      <c r="Y57" s="16">
        <f t="shared" si="4"/>
        <v>0</v>
      </c>
      <c r="Z57" s="25">
        <f t="shared" si="4"/>
        <v>0</v>
      </c>
      <c r="AA57" s="42"/>
      <c r="AB57" s="43"/>
      <c r="AC57" s="44"/>
      <c r="AD57" s="44"/>
      <c r="AE57" s="43"/>
      <c r="AF57" s="44"/>
      <c r="AG57" s="45"/>
    </row>
    <row r="58" ht="12.75" customHeight="1" spans="1:33">
      <c r="A58" s="14"/>
      <c r="B58" s="17"/>
      <c r="C58" s="17">
        <v>37</v>
      </c>
      <c r="D58" s="18">
        <f>Reference!B296</f>
        <v>527.608</v>
      </c>
      <c r="E58" s="19">
        <f>Reference!C296</f>
        <v>28.1683</v>
      </c>
      <c r="F58" s="19">
        <f>Reference!D296</f>
        <v>34.8517</v>
      </c>
      <c r="G58" s="19">
        <f>Reference!E296</f>
        <v>35.0471</v>
      </c>
      <c r="H58" s="19">
        <f>Reference!F296</f>
        <v>10184</v>
      </c>
      <c r="I58" s="19">
        <f>Reference!G296</f>
        <v>10.569</v>
      </c>
      <c r="J58" s="19">
        <f t="shared" si="0"/>
        <v>2.82888888888889</v>
      </c>
      <c r="K58" s="29">
        <f>Reference!H296</f>
        <v>1592820</v>
      </c>
      <c r="L58" s="30">
        <f>Reference!I296</f>
        <v>460548</v>
      </c>
      <c r="N58" s="18">
        <f>Test!B296</f>
        <v>0</v>
      </c>
      <c r="O58" s="19">
        <f>Test!C296</f>
        <v>0</v>
      </c>
      <c r="P58" s="19">
        <f>Test!D296</f>
        <v>0</v>
      </c>
      <c r="Q58" s="19">
        <f>Test!E296</f>
        <v>0</v>
      </c>
      <c r="R58" s="19">
        <f>Test!F296</f>
        <v>0</v>
      </c>
      <c r="S58" s="19">
        <f>Test!G296</f>
        <v>0</v>
      </c>
      <c r="T58" s="19">
        <f t="shared" si="1"/>
        <v>0</v>
      </c>
      <c r="U58" s="31">
        <f>Test!H296</f>
        <v>0</v>
      </c>
      <c r="V58" s="32">
        <f>Test!I296</f>
        <v>0</v>
      </c>
      <c r="W58" s="16">
        <f t="shared" si="2"/>
        <v>0</v>
      </c>
      <c r="X58" s="16">
        <f t="shared" si="3"/>
        <v>0</v>
      </c>
      <c r="Y58" s="16">
        <f t="shared" si="4"/>
        <v>0</v>
      </c>
      <c r="Z58" s="25">
        <f t="shared" si="4"/>
        <v>0</v>
      </c>
      <c r="AA58" s="42"/>
      <c r="AB58" s="46"/>
      <c r="AC58" s="47"/>
      <c r="AD58" s="47"/>
      <c r="AE58" s="46"/>
      <c r="AF58" s="47"/>
      <c r="AG58" s="48"/>
    </row>
    <row r="59" spans="1:33">
      <c r="A59" s="14"/>
      <c r="B59" s="11" t="s">
        <v>87</v>
      </c>
      <c r="C59" s="11">
        <v>22</v>
      </c>
      <c r="D59" s="12">
        <f>Reference!B297</f>
        <v>5398.0304</v>
      </c>
      <c r="E59" s="13">
        <f>Reference!C297</f>
        <v>39.3018</v>
      </c>
      <c r="F59" s="13">
        <f>Reference!D297</f>
        <v>40.3587</v>
      </c>
      <c r="G59" s="13">
        <f>Reference!E297</f>
        <v>42.0068</v>
      </c>
      <c r="H59" s="13">
        <f>Reference!F297</f>
        <v>27467</v>
      </c>
      <c r="I59" s="13">
        <f>Reference!G297</f>
        <v>16.413</v>
      </c>
      <c r="J59" s="13">
        <f t="shared" ref="J59:J90" si="5">H59/3600</f>
        <v>7.62972222222222</v>
      </c>
      <c r="K59" s="27">
        <f>Reference!H297</f>
        <v>1598532</v>
      </c>
      <c r="L59" s="28">
        <f>Reference!I297</f>
        <v>437244</v>
      </c>
      <c r="N59" s="12">
        <f>Test!B297</f>
        <v>0</v>
      </c>
      <c r="O59" s="13">
        <f>Test!C297</f>
        <v>0</v>
      </c>
      <c r="P59" s="13">
        <f>Test!D297</f>
        <v>0</v>
      </c>
      <c r="Q59" s="13">
        <f>Test!E297</f>
        <v>0</v>
      </c>
      <c r="R59" s="13">
        <f>Test!F297</f>
        <v>0</v>
      </c>
      <c r="S59" s="13">
        <f>Test!G297</f>
        <v>0</v>
      </c>
      <c r="T59" s="13">
        <f t="shared" ref="T59:T90" si="6">R59/3600</f>
        <v>0</v>
      </c>
      <c r="U59" s="27">
        <f>Test!H297</f>
        <v>0</v>
      </c>
      <c r="V59" s="28">
        <f>Test!I297</f>
        <v>0</v>
      </c>
      <c r="W59" s="16">
        <f t="shared" ref="W59:W90" si="7">R59/H59</f>
        <v>0</v>
      </c>
      <c r="X59" s="16">
        <f t="shared" ref="X59:X90" si="8">S59/I59</f>
        <v>0</v>
      </c>
      <c r="Y59" s="16">
        <f t="shared" si="4"/>
        <v>0</v>
      </c>
      <c r="Z59" s="25">
        <f t="shared" si="4"/>
        <v>0</v>
      </c>
      <c r="AA59" s="42"/>
      <c r="AB59" s="39" t="e">
        <f>bdrate($D59:$D62,E59:E62,$N59:$N62,O59:O62)</f>
        <v>#VALUE!</v>
      </c>
      <c r="AC59" s="40" t="e">
        <f>bdrate($D59:$D62,F59:F62,$N59:$N62,P59:P62)</f>
        <v>#VALUE!</v>
      </c>
      <c r="AD59" s="40" t="e">
        <f>bdrate($D59:$D62,G59:G62,$N59:$N62,Q59:Q62)</f>
        <v>#VALUE!</v>
      </c>
      <c r="AE59" s="49" t="e">
        <f>bdrateOld($D59:$D62,E59:E62,$N59:$N62,O59:O62)</f>
        <v>#VALUE!</v>
      </c>
      <c r="AF59" s="50" t="e">
        <f>bdrateOld($D59:$D62,F59:F62,$N59:$N62,P59:P62)</f>
        <v>#VALUE!</v>
      </c>
      <c r="AG59" s="52" t="e">
        <f>bdrateOld($D59:$D62,G59:G62,$N59:$N62,Q59:Q62)</f>
        <v>#VALUE!</v>
      </c>
    </row>
    <row r="60" spans="1:33">
      <c r="A60" s="14"/>
      <c r="B60" s="14"/>
      <c r="C60" s="14">
        <v>27</v>
      </c>
      <c r="D60" s="15">
        <f>Reference!B298</f>
        <v>1706.0992</v>
      </c>
      <c r="E60" s="16">
        <f>Reference!C298</f>
        <v>34.8097</v>
      </c>
      <c r="F60" s="16">
        <f>Reference!D298</f>
        <v>37.4534</v>
      </c>
      <c r="G60" s="16">
        <f>Reference!E298</f>
        <v>39.5148</v>
      </c>
      <c r="H60" s="16">
        <f>Reference!F298</f>
        <v>17873</v>
      </c>
      <c r="I60" s="16">
        <f>Reference!G298</f>
        <v>13.095</v>
      </c>
      <c r="J60" s="16">
        <f t="shared" si="5"/>
        <v>4.96472222222222</v>
      </c>
      <c r="K60" s="29">
        <f>Reference!H298</f>
        <v>1593884</v>
      </c>
      <c r="L60" s="30">
        <f>Reference!I298</f>
        <v>436468</v>
      </c>
      <c r="N60" s="15">
        <f>Test!B298</f>
        <v>0</v>
      </c>
      <c r="O60" s="16">
        <f>Test!C298</f>
        <v>0</v>
      </c>
      <c r="P60" s="16">
        <f>Test!D298</f>
        <v>0</v>
      </c>
      <c r="Q60" s="16">
        <f>Test!E298</f>
        <v>0</v>
      </c>
      <c r="R60" s="16">
        <f>Test!F298</f>
        <v>0</v>
      </c>
      <c r="S60" s="16">
        <f>Test!G298</f>
        <v>0</v>
      </c>
      <c r="T60" s="16">
        <f t="shared" si="6"/>
        <v>0</v>
      </c>
      <c r="U60" s="29">
        <f>Test!H298</f>
        <v>0</v>
      </c>
      <c r="V60" s="30">
        <f>Test!I298</f>
        <v>0</v>
      </c>
      <c r="W60" s="16">
        <f t="shared" si="7"/>
        <v>0</v>
      </c>
      <c r="X60" s="16">
        <f t="shared" si="8"/>
        <v>0</v>
      </c>
      <c r="Y60" s="16">
        <f t="shared" si="4"/>
        <v>0</v>
      </c>
      <c r="Z60" s="25">
        <f t="shared" si="4"/>
        <v>0</v>
      </c>
      <c r="AA60" s="42"/>
      <c r="AB60" s="43"/>
      <c r="AC60" s="44"/>
      <c r="AD60" s="44"/>
      <c r="AE60" s="43"/>
      <c r="AF60" s="44"/>
      <c r="AG60" s="45"/>
    </row>
    <row r="61" spans="1:33">
      <c r="A61" s="14"/>
      <c r="B61" s="14"/>
      <c r="C61" s="14">
        <v>32</v>
      </c>
      <c r="D61" s="15">
        <f>Reference!B299</f>
        <v>714.984</v>
      </c>
      <c r="E61" s="16">
        <f>Reference!C299</f>
        <v>31.5148</v>
      </c>
      <c r="F61" s="16">
        <f>Reference!D299</f>
        <v>36.0945</v>
      </c>
      <c r="G61" s="16">
        <f>Reference!E299</f>
        <v>38.1384</v>
      </c>
      <c r="H61" s="16">
        <f>Reference!F299</f>
        <v>12992</v>
      </c>
      <c r="I61" s="16">
        <f>Reference!G299</f>
        <v>10.428</v>
      </c>
      <c r="J61" s="16">
        <f t="shared" si="5"/>
        <v>3.60888888888889</v>
      </c>
      <c r="K61" s="29">
        <f>Reference!H299</f>
        <v>1589848</v>
      </c>
      <c r="L61" s="30">
        <f>Reference!I299</f>
        <v>429388</v>
      </c>
      <c r="N61" s="15">
        <f>Test!B299</f>
        <v>0</v>
      </c>
      <c r="O61" s="16">
        <f>Test!C299</f>
        <v>0</v>
      </c>
      <c r="P61" s="16">
        <f>Test!D299</f>
        <v>0</v>
      </c>
      <c r="Q61" s="16">
        <f>Test!E299</f>
        <v>0</v>
      </c>
      <c r="R61" s="16">
        <f>Test!F299</f>
        <v>0</v>
      </c>
      <c r="S61" s="16">
        <f>Test!G299</f>
        <v>0</v>
      </c>
      <c r="T61" s="16">
        <f t="shared" si="6"/>
        <v>0</v>
      </c>
      <c r="U61" s="29">
        <f>Test!H299</f>
        <v>0</v>
      </c>
      <c r="V61" s="30">
        <f>Test!I299</f>
        <v>0</v>
      </c>
      <c r="W61" s="16">
        <f t="shared" si="7"/>
        <v>0</v>
      </c>
      <c r="X61" s="16">
        <f t="shared" si="8"/>
        <v>0</v>
      </c>
      <c r="Y61" s="16">
        <f t="shared" si="4"/>
        <v>0</v>
      </c>
      <c r="Z61" s="25">
        <f t="shared" si="4"/>
        <v>0</v>
      </c>
      <c r="AA61" s="42"/>
      <c r="AB61" s="43"/>
      <c r="AC61" s="44"/>
      <c r="AD61" s="44"/>
      <c r="AE61" s="43"/>
      <c r="AF61" s="44"/>
      <c r="AG61" s="45"/>
    </row>
    <row r="62" ht="12.75" customHeight="1" spans="1:33">
      <c r="A62" s="17"/>
      <c r="B62" s="17"/>
      <c r="C62" s="17">
        <v>37</v>
      </c>
      <c r="D62" s="18">
        <f>Reference!B300</f>
        <v>312.168</v>
      </c>
      <c r="E62" s="19">
        <f>Reference!C300</f>
        <v>28.7028</v>
      </c>
      <c r="F62" s="19">
        <f>Reference!D300</f>
        <v>35.0027</v>
      </c>
      <c r="G62" s="19">
        <f>Reference!E300</f>
        <v>36.6115</v>
      </c>
      <c r="H62" s="19">
        <f>Reference!F300</f>
        <v>6728</v>
      </c>
      <c r="I62" s="19">
        <f>Reference!G300</f>
        <v>5.82</v>
      </c>
      <c r="J62" s="19">
        <f t="shared" si="5"/>
        <v>1.86888888888889</v>
      </c>
      <c r="K62" s="29">
        <f>Reference!H300</f>
        <v>1587376</v>
      </c>
      <c r="L62" s="30">
        <f>Reference!I300</f>
        <v>426800</v>
      </c>
      <c r="N62" s="18">
        <f>Test!B300</f>
        <v>0</v>
      </c>
      <c r="O62" s="19">
        <f>Test!C300</f>
        <v>0</v>
      </c>
      <c r="P62" s="19">
        <f>Test!D300</f>
        <v>0</v>
      </c>
      <c r="Q62" s="19">
        <f>Test!E300</f>
        <v>0</v>
      </c>
      <c r="R62" s="19">
        <f>Test!F300</f>
        <v>0</v>
      </c>
      <c r="S62" s="19">
        <f>Test!G300</f>
        <v>0</v>
      </c>
      <c r="T62" s="19">
        <f t="shared" si="6"/>
        <v>0</v>
      </c>
      <c r="U62" s="31">
        <f>Test!H300</f>
        <v>0</v>
      </c>
      <c r="V62" s="32">
        <f>Test!I300</f>
        <v>0</v>
      </c>
      <c r="W62" s="19">
        <f t="shared" si="7"/>
        <v>0</v>
      </c>
      <c r="X62" s="19">
        <f t="shared" si="8"/>
        <v>0</v>
      </c>
      <c r="Y62" s="19">
        <f t="shared" si="4"/>
        <v>0</v>
      </c>
      <c r="Z62" s="26">
        <f t="shared" si="4"/>
        <v>0</v>
      </c>
      <c r="AA62" s="51"/>
      <c r="AB62" s="46"/>
      <c r="AC62" s="47"/>
      <c r="AD62" s="47"/>
      <c r="AE62" s="46"/>
      <c r="AF62" s="47"/>
      <c r="AG62" s="48"/>
    </row>
    <row r="63" spans="1:33">
      <c r="A63" s="11" t="s">
        <v>27</v>
      </c>
      <c r="B63" s="11" t="s">
        <v>85</v>
      </c>
      <c r="C63" s="11">
        <f>C59</f>
        <v>22</v>
      </c>
      <c r="D63" s="12">
        <f>Reference!B301</f>
        <v>1060.0224</v>
      </c>
      <c r="E63" s="13">
        <f>Reference!C301</f>
        <v>41.2138</v>
      </c>
      <c r="F63" s="13">
        <f>Reference!D301</f>
        <v>43.8608</v>
      </c>
      <c r="G63" s="13">
        <f>Reference!E301</f>
        <v>43.2976</v>
      </c>
      <c r="H63" s="13">
        <f>Reference!F301</f>
        <v>6090</v>
      </c>
      <c r="I63" s="13">
        <f>Reference!G301</f>
        <v>5.014</v>
      </c>
      <c r="J63" s="13">
        <f t="shared" si="5"/>
        <v>1.69166666666667</v>
      </c>
      <c r="K63" s="27">
        <f>Reference!H301</f>
        <v>1130372</v>
      </c>
      <c r="L63" s="28">
        <f>Reference!I301</f>
        <v>380436</v>
      </c>
      <c r="N63" s="12">
        <f>Test!B301</f>
        <v>0</v>
      </c>
      <c r="O63" s="13">
        <f>Test!C301</f>
        <v>0</v>
      </c>
      <c r="P63" s="13">
        <f>Test!D301</f>
        <v>0</v>
      </c>
      <c r="Q63" s="13">
        <f>Test!E301</f>
        <v>0</v>
      </c>
      <c r="R63" s="13">
        <f>Test!F301</f>
        <v>0</v>
      </c>
      <c r="S63" s="13">
        <f>Test!G301</f>
        <v>0</v>
      </c>
      <c r="T63" s="13">
        <f t="shared" si="6"/>
        <v>0</v>
      </c>
      <c r="U63" s="27">
        <f>Test!H301</f>
        <v>0</v>
      </c>
      <c r="V63" s="28">
        <f>Test!I301</f>
        <v>0</v>
      </c>
      <c r="W63" s="13">
        <f t="shared" si="7"/>
        <v>0</v>
      </c>
      <c r="X63" s="13">
        <f t="shared" si="8"/>
        <v>0</v>
      </c>
      <c r="Y63" s="13">
        <f t="shared" si="4"/>
        <v>0</v>
      </c>
      <c r="Z63" s="24">
        <f t="shared" si="4"/>
        <v>0</v>
      </c>
      <c r="AA63" s="38"/>
      <c r="AB63" s="39" t="e">
        <f>bdrate($D63:$D66,E63:E66,$N63:$N66,O63:O66)</f>
        <v>#VALUE!</v>
      </c>
      <c r="AC63" s="40" t="e">
        <f>bdrate($D63:$D66,F63:F66,$N63:$N66,P63:P66)</f>
        <v>#VALUE!</v>
      </c>
      <c r="AD63" s="41" t="e">
        <f>bdrate($D63:$D66,G63:G66,$N63:$N66,Q63:Q66)</f>
        <v>#VALUE!</v>
      </c>
      <c r="AE63" s="39" t="e">
        <f>bdrateOld($D63:$D66,E63:E66,$N63:$N66,O63:O66)</f>
        <v>#VALUE!</v>
      </c>
      <c r="AF63" s="40" t="e">
        <f>bdrateOld($D63:$D66,F63:F66,$N63:$N66,P63:P66)</f>
        <v>#VALUE!</v>
      </c>
      <c r="AG63" s="41" t="e">
        <f>bdrateOld($D63:$D66,G63:G66,$N63:$N66,Q63:Q66)</f>
        <v>#VALUE!</v>
      </c>
    </row>
    <row r="64" spans="1:33">
      <c r="A64" s="14" t="s">
        <v>114</v>
      </c>
      <c r="B64" s="14"/>
      <c r="C64" s="14">
        <f>C60</f>
        <v>27</v>
      </c>
      <c r="D64" s="15">
        <f>Reference!B302</f>
        <v>473.6192</v>
      </c>
      <c r="E64" s="16">
        <f>Reference!C302</f>
        <v>37.0836</v>
      </c>
      <c r="F64" s="16">
        <f>Reference!D302</f>
        <v>40.7758</v>
      </c>
      <c r="G64" s="16">
        <f>Reference!E302</f>
        <v>39.6947</v>
      </c>
      <c r="H64" s="16">
        <f>Reference!F302</f>
        <v>3786</v>
      </c>
      <c r="I64" s="16">
        <f>Reference!G302</f>
        <v>3.099</v>
      </c>
      <c r="J64" s="16">
        <f t="shared" si="5"/>
        <v>1.05166666666667</v>
      </c>
      <c r="K64" s="29">
        <f>Reference!H302</f>
        <v>1129288</v>
      </c>
      <c r="L64" s="30">
        <f>Reference!I302</f>
        <v>379052</v>
      </c>
      <c r="N64" s="15">
        <f>Test!B302</f>
        <v>0</v>
      </c>
      <c r="O64" s="16">
        <f>Test!C302</f>
        <v>0</v>
      </c>
      <c r="P64" s="16">
        <f>Test!D302</f>
        <v>0</v>
      </c>
      <c r="Q64" s="16">
        <f>Test!E302</f>
        <v>0</v>
      </c>
      <c r="R64" s="16">
        <f>Test!F302</f>
        <v>0</v>
      </c>
      <c r="S64" s="16">
        <f>Test!G302</f>
        <v>0</v>
      </c>
      <c r="T64" s="16">
        <f t="shared" si="6"/>
        <v>0</v>
      </c>
      <c r="U64" s="29">
        <f>Test!H302</f>
        <v>0</v>
      </c>
      <c r="V64" s="30">
        <f>Test!I302</f>
        <v>0</v>
      </c>
      <c r="W64" s="16">
        <f t="shared" si="7"/>
        <v>0</v>
      </c>
      <c r="X64" s="16">
        <f t="shared" si="8"/>
        <v>0</v>
      </c>
      <c r="Y64" s="16">
        <f t="shared" si="4"/>
        <v>0</v>
      </c>
      <c r="Z64" s="25">
        <f t="shared" si="4"/>
        <v>0</v>
      </c>
      <c r="AA64" s="42"/>
      <c r="AB64" s="43"/>
      <c r="AC64" s="44"/>
      <c r="AD64" s="45"/>
      <c r="AE64" s="43"/>
      <c r="AF64" s="44"/>
      <c r="AG64" s="45"/>
    </row>
    <row r="65" spans="1:33">
      <c r="A65" s="14"/>
      <c r="B65" s="14"/>
      <c r="C65" s="14">
        <f>C61</f>
        <v>32</v>
      </c>
      <c r="D65" s="15">
        <f>Reference!B303</f>
        <v>226.6272</v>
      </c>
      <c r="E65" s="16">
        <f>Reference!C303</f>
        <v>33.6594</v>
      </c>
      <c r="F65" s="16">
        <f>Reference!D303</f>
        <v>38.6905</v>
      </c>
      <c r="G65" s="16">
        <f>Reference!E303</f>
        <v>37.482</v>
      </c>
      <c r="H65" s="16">
        <f>Reference!F303</f>
        <v>3785</v>
      </c>
      <c r="I65" s="16">
        <f>Reference!G303</f>
        <v>3.248</v>
      </c>
      <c r="J65" s="16">
        <f t="shared" si="5"/>
        <v>1.05138888888889</v>
      </c>
      <c r="K65" s="29">
        <f>Reference!H303</f>
        <v>1128508</v>
      </c>
      <c r="L65" s="30">
        <f>Reference!I303</f>
        <v>378024</v>
      </c>
      <c r="N65" s="15">
        <f>Test!B303</f>
        <v>0</v>
      </c>
      <c r="O65" s="16">
        <f>Test!C303</f>
        <v>0</v>
      </c>
      <c r="P65" s="16">
        <f>Test!D303</f>
        <v>0</v>
      </c>
      <c r="Q65" s="16">
        <f>Test!E303</f>
        <v>0</v>
      </c>
      <c r="R65" s="16">
        <f>Test!F303</f>
        <v>0</v>
      </c>
      <c r="S65" s="16">
        <f>Test!G303</f>
        <v>0</v>
      </c>
      <c r="T65" s="16">
        <f t="shared" si="6"/>
        <v>0</v>
      </c>
      <c r="U65" s="29">
        <f>Test!H303</f>
        <v>0</v>
      </c>
      <c r="V65" s="30">
        <f>Test!I303</f>
        <v>0</v>
      </c>
      <c r="W65" s="16">
        <f t="shared" si="7"/>
        <v>0</v>
      </c>
      <c r="X65" s="16">
        <f t="shared" si="8"/>
        <v>0</v>
      </c>
      <c r="Y65" s="16">
        <f t="shared" si="4"/>
        <v>0</v>
      </c>
      <c r="Z65" s="25">
        <f t="shared" si="4"/>
        <v>0</v>
      </c>
      <c r="AA65" s="42"/>
      <c r="AB65" s="43"/>
      <c r="AC65" s="44"/>
      <c r="AD65" s="45"/>
      <c r="AE65" s="43"/>
      <c r="AF65" s="44"/>
      <c r="AG65" s="45"/>
    </row>
    <row r="66" ht="12.75" customHeight="1" spans="1:33">
      <c r="A66" s="14"/>
      <c r="B66" s="17"/>
      <c r="C66" s="17">
        <f>C62</f>
        <v>37</v>
      </c>
      <c r="D66" s="18">
        <f>Reference!B304</f>
        <v>115.0016</v>
      </c>
      <c r="E66" s="19">
        <f>Reference!C304</f>
        <v>30.8015</v>
      </c>
      <c r="F66" s="19">
        <f>Reference!D304</f>
        <v>37.2482</v>
      </c>
      <c r="G66" s="19">
        <f>Reference!E304</f>
        <v>35.6544</v>
      </c>
      <c r="H66" s="19">
        <f>Reference!F304</f>
        <v>2151</v>
      </c>
      <c r="I66" s="19">
        <f>Reference!G304</f>
        <v>1.786</v>
      </c>
      <c r="J66" s="19">
        <f t="shared" si="5"/>
        <v>0.5975</v>
      </c>
      <c r="K66" s="29">
        <f>Reference!H304</f>
        <v>1127580</v>
      </c>
      <c r="L66" s="30">
        <f>Reference!I304</f>
        <v>377188</v>
      </c>
      <c r="N66" s="18">
        <f>Test!B304</f>
        <v>0</v>
      </c>
      <c r="O66" s="19">
        <f>Test!C304</f>
        <v>0</v>
      </c>
      <c r="P66" s="19">
        <f>Test!D304</f>
        <v>0</v>
      </c>
      <c r="Q66" s="19">
        <f>Test!E304</f>
        <v>0</v>
      </c>
      <c r="R66" s="19">
        <f>Test!F304</f>
        <v>0</v>
      </c>
      <c r="S66" s="19">
        <f>Test!G304</f>
        <v>0</v>
      </c>
      <c r="T66" s="19">
        <f t="shared" si="6"/>
        <v>0</v>
      </c>
      <c r="U66" s="31">
        <f>Test!H304</f>
        <v>0</v>
      </c>
      <c r="V66" s="32">
        <f>Test!I304</f>
        <v>0</v>
      </c>
      <c r="W66" s="16">
        <f t="shared" si="7"/>
        <v>0</v>
      </c>
      <c r="X66" s="16">
        <f t="shared" si="8"/>
        <v>0</v>
      </c>
      <c r="Y66" s="16">
        <f t="shared" si="4"/>
        <v>0</v>
      </c>
      <c r="Z66" s="25">
        <f t="shared" si="4"/>
        <v>0</v>
      </c>
      <c r="AA66" s="42"/>
      <c r="AB66" s="46"/>
      <c r="AC66" s="47"/>
      <c r="AD66" s="48"/>
      <c r="AE66" s="46"/>
      <c r="AF66" s="47"/>
      <c r="AG66" s="48"/>
    </row>
    <row r="67" spans="1:33">
      <c r="A67" s="14"/>
      <c r="B67" s="11" t="s">
        <v>86</v>
      </c>
      <c r="C67" s="11">
        <v>22</v>
      </c>
      <c r="D67" s="12">
        <f>Reference!B305</f>
        <v>1313.7392</v>
      </c>
      <c r="E67" s="13">
        <f>Reference!C305</f>
        <v>39.0416</v>
      </c>
      <c r="F67" s="13">
        <f>Reference!D305</f>
        <v>43.577</v>
      </c>
      <c r="G67" s="13">
        <f>Reference!E305</f>
        <v>44.5946</v>
      </c>
      <c r="H67" s="13">
        <f>Reference!F305</f>
        <v>8598</v>
      </c>
      <c r="I67" s="13">
        <f>Reference!G305</f>
        <v>9.321</v>
      </c>
      <c r="J67" s="13">
        <f t="shared" si="5"/>
        <v>2.38833333333333</v>
      </c>
      <c r="K67" s="27">
        <f>Reference!H305</f>
        <v>1138100</v>
      </c>
      <c r="L67" s="28">
        <f>Reference!I305</f>
        <v>393800</v>
      </c>
      <c r="N67" s="12">
        <f>Test!B305</f>
        <v>0</v>
      </c>
      <c r="O67" s="13">
        <f>Test!C305</f>
        <v>0</v>
      </c>
      <c r="P67" s="13">
        <f>Test!D305</f>
        <v>0</v>
      </c>
      <c r="Q67" s="13">
        <f>Test!E305</f>
        <v>0</v>
      </c>
      <c r="R67" s="13">
        <f>Test!F305</f>
        <v>0</v>
      </c>
      <c r="S67" s="13">
        <f>Test!G305</f>
        <v>0</v>
      </c>
      <c r="T67" s="13">
        <f t="shared" si="6"/>
        <v>0</v>
      </c>
      <c r="U67" s="27">
        <f>Test!H305</f>
        <v>0</v>
      </c>
      <c r="V67" s="28">
        <f>Test!I305</f>
        <v>0</v>
      </c>
      <c r="W67" s="16">
        <f t="shared" si="7"/>
        <v>0</v>
      </c>
      <c r="X67" s="16">
        <f t="shared" si="8"/>
        <v>0</v>
      </c>
      <c r="Y67" s="16">
        <f t="shared" si="4"/>
        <v>0</v>
      </c>
      <c r="Z67" s="25">
        <f t="shared" si="4"/>
        <v>0</v>
      </c>
      <c r="AA67" s="42"/>
      <c r="AB67" s="39" t="e">
        <f>bdrate($D67:$D70,E67:E70,$N67:$N70,O67:O70)</f>
        <v>#VALUE!</v>
      </c>
      <c r="AC67" s="40" t="e">
        <f>bdrate($D67:$D70,F67:F70,$N67:$N70,P67:P70)</f>
        <v>#VALUE!</v>
      </c>
      <c r="AD67" s="40" t="e">
        <f>bdrate($D67:$D70,G67:G70,$N67:$N70,Q67:Q70)</f>
        <v>#VALUE!</v>
      </c>
      <c r="AE67" s="49" t="e">
        <f>bdrateOld($D67:$D70,E67:E70,$N67:$N70,O67:O70)</f>
        <v>#VALUE!</v>
      </c>
      <c r="AF67" s="50" t="e">
        <f>bdrateOld($D67:$D70,F67:F70,$N67:$N70,P67:P70)</f>
        <v>#VALUE!</v>
      </c>
      <c r="AG67" s="52" t="e">
        <f>bdrateOld($D67:$D70,G67:G70,$N67:$N70,Q67:Q70)</f>
        <v>#VALUE!</v>
      </c>
    </row>
    <row r="68" spans="1:33">
      <c r="A68" s="14"/>
      <c r="B68" s="14"/>
      <c r="C68" s="14">
        <v>27</v>
      </c>
      <c r="D68" s="15">
        <f>Reference!B306</f>
        <v>447.9136</v>
      </c>
      <c r="E68" s="16">
        <f>Reference!C306</f>
        <v>35.2609</v>
      </c>
      <c r="F68" s="16">
        <f>Reference!D306</f>
        <v>41.5385</v>
      </c>
      <c r="G68" s="16">
        <f>Reference!E306</f>
        <v>42.3634</v>
      </c>
      <c r="H68" s="16">
        <f>Reference!F306</f>
        <v>4328</v>
      </c>
      <c r="I68" s="16">
        <f>Reference!G306</f>
        <v>5.757</v>
      </c>
      <c r="J68" s="16">
        <f t="shared" si="5"/>
        <v>1.20222222222222</v>
      </c>
      <c r="K68" s="29">
        <f>Reference!H306</f>
        <v>1137284</v>
      </c>
      <c r="L68" s="30">
        <f>Reference!I306</f>
        <v>392492</v>
      </c>
      <c r="N68" s="15">
        <f>Test!B306</f>
        <v>0</v>
      </c>
      <c r="O68" s="16">
        <f>Test!C306</f>
        <v>0</v>
      </c>
      <c r="P68" s="16">
        <f>Test!D306</f>
        <v>0</v>
      </c>
      <c r="Q68" s="16">
        <f>Test!E306</f>
        <v>0</v>
      </c>
      <c r="R68" s="16">
        <f>Test!F306</f>
        <v>0</v>
      </c>
      <c r="S68" s="16">
        <f>Test!G306</f>
        <v>0</v>
      </c>
      <c r="T68" s="16">
        <f t="shared" si="6"/>
        <v>0</v>
      </c>
      <c r="U68" s="29">
        <f>Test!H306</f>
        <v>0</v>
      </c>
      <c r="V68" s="30">
        <f>Test!I306</f>
        <v>0</v>
      </c>
      <c r="W68" s="16">
        <f t="shared" si="7"/>
        <v>0</v>
      </c>
      <c r="X68" s="16">
        <f t="shared" si="8"/>
        <v>0</v>
      </c>
      <c r="Y68" s="16">
        <f t="shared" si="4"/>
        <v>0</v>
      </c>
      <c r="Z68" s="25">
        <f t="shared" si="4"/>
        <v>0</v>
      </c>
      <c r="AA68" s="42"/>
      <c r="AB68" s="43"/>
      <c r="AC68" s="44"/>
      <c r="AD68" s="44"/>
      <c r="AE68" s="43"/>
      <c r="AF68" s="44"/>
      <c r="AG68" s="45"/>
    </row>
    <row r="69" spans="1:33">
      <c r="A69" s="14"/>
      <c r="B69" s="14"/>
      <c r="C69" s="14">
        <v>32</v>
      </c>
      <c r="D69" s="15">
        <f>Reference!B307</f>
        <v>191.8544</v>
      </c>
      <c r="E69" s="16">
        <f>Reference!C307</f>
        <v>31.9903</v>
      </c>
      <c r="F69" s="16">
        <f>Reference!D307</f>
        <v>39.4388</v>
      </c>
      <c r="G69" s="16">
        <f>Reference!E307</f>
        <v>40.158</v>
      </c>
      <c r="H69" s="16">
        <f>Reference!F307</f>
        <v>3787</v>
      </c>
      <c r="I69" s="16">
        <f>Reference!G307</f>
        <v>5.819</v>
      </c>
      <c r="J69" s="16">
        <f t="shared" si="5"/>
        <v>1.05194444444444</v>
      </c>
      <c r="K69" s="29">
        <f>Reference!H307</f>
        <v>1132832</v>
      </c>
      <c r="L69" s="30">
        <f>Reference!I307</f>
        <v>391872</v>
      </c>
      <c r="N69" s="15">
        <f>Test!B307</f>
        <v>0</v>
      </c>
      <c r="O69" s="16">
        <f>Test!C307</f>
        <v>0</v>
      </c>
      <c r="P69" s="16">
        <f>Test!D307</f>
        <v>0</v>
      </c>
      <c r="Q69" s="16">
        <f>Test!E307</f>
        <v>0</v>
      </c>
      <c r="R69" s="16">
        <f>Test!F307</f>
        <v>0</v>
      </c>
      <c r="S69" s="16">
        <f>Test!G307</f>
        <v>0</v>
      </c>
      <c r="T69" s="16">
        <f t="shared" si="6"/>
        <v>0</v>
      </c>
      <c r="U69" s="29">
        <f>Test!H307</f>
        <v>0</v>
      </c>
      <c r="V69" s="30">
        <f>Test!I307</f>
        <v>0</v>
      </c>
      <c r="W69" s="16">
        <f t="shared" si="7"/>
        <v>0</v>
      </c>
      <c r="X69" s="16">
        <f t="shared" si="8"/>
        <v>0</v>
      </c>
      <c r="Y69" s="16">
        <f t="shared" si="4"/>
        <v>0</v>
      </c>
      <c r="Z69" s="25">
        <f t="shared" si="4"/>
        <v>0</v>
      </c>
      <c r="AA69" s="42"/>
      <c r="AB69" s="43"/>
      <c r="AC69" s="44"/>
      <c r="AD69" s="44"/>
      <c r="AE69" s="43"/>
      <c r="AF69" s="44"/>
      <c r="AG69" s="45"/>
    </row>
    <row r="70" ht="12.75" customHeight="1" spans="1:33">
      <c r="A70" s="14"/>
      <c r="B70" s="17"/>
      <c r="C70" s="17">
        <v>37</v>
      </c>
      <c r="D70" s="18">
        <f>Reference!B308</f>
        <v>93.9808</v>
      </c>
      <c r="E70" s="19">
        <f>Reference!C308</f>
        <v>29.0895</v>
      </c>
      <c r="F70" s="19">
        <f>Reference!D308</f>
        <v>38.0701</v>
      </c>
      <c r="G70" s="19">
        <f>Reference!E308</f>
        <v>38.4216</v>
      </c>
      <c r="H70" s="19">
        <f>Reference!F308</f>
        <v>1842</v>
      </c>
      <c r="I70" s="19">
        <f>Reference!G308</f>
        <v>3.412</v>
      </c>
      <c r="J70" s="19">
        <f t="shared" si="5"/>
        <v>0.511666666666667</v>
      </c>
      <c r="K70" s="29">
        <f>Reference!H308</f>
        <v>1135360</v>
      </c>
      <c r="L70" s="30">
        <f>Reference!I308</f>
        <v>391048</v>
      </c>
      <c r="N70" s="18">
        <f>Test!B308</f>
        <v>0</v>
      </c>
      <c r="O70" s="19">
        <f>Test!C308</f>
        <v>0</v>
      </c>
      <c r="P70" s="19">
        <f>Test!D308</f>
        <v>0</v>
      </c>
      <c r="Q70" s="19">
        <f>Test!E308</f>
        <v>0</v>
      </c>
      <c r="R70" s="19">
        <f>Test!F308</f>
        <v>0</v>
      </c>
      <c r="S70" s="19">
        <f>Test!G308</f>
        <v>0</v>
      </c>
      <c r="T70" s="19">
        <f t="shared" si="6"/>
        <v>0</v>
      </c>
      <c r="U70" s="31">
        <f>Test!H308</f>
        <v>0</v>
      </c>
      <c r="V70" s="32">
        <f>Test!I308</f>
        <v>0</v>
      </c>
      <c r="W70" s="16">
        <f t="shared" si="7"/>
        <v>0</v>
      </c>
      <c r="X70" s="16">
        <f t="shared" si="8"/>
        <v>0</v>
      </c>
      <c r="Y70" s="16">
        <f t="shared" si="4"/>
        <v>0</v>
      </c>
      <c r="Z70" s="25">
        <f t="shared" si="4"/>
        <v>0</v>
      </c>
      <c r="AA70" s="42"/>
      <c r="AB70" s="46"/>
      <c r="AC70" s="47"/>
      <c r="AD70" s="47"/>
      <c r="AE70" s="46"/>
      <c r="AF70" s="47"/>
      <c r="AG70" s="48"/>
    </row>
    <row r="71" spans="1:33">
      <c r="A71" s="14"/>
      <c r="B71" s="11" t="s">
        <v>58</v>
      </c>
      <c r="C71" s="11">
        <v>22</v>
      </c>
      <c r="D71" s="12">
        <f>Reference!B309</f>
        <v>1265.1568</v>
      </c>
      <c r="E71" s="13">
        <f>Reference!C309</f>
        <v>38.4137</v>
      </c>
      <c r="F71" s="13">
        <f>Reference!D309</f>
        <v>40.9759</v>
      </c>
      <c r="G71" s="13">
        <f>Reference!E309</f>
        <v>41.9438</v>
      </c>
      <c r="H71" s="13">
        <f>Reference!F309</f>
        <v>5689</v>
      </c>
      <c r="I71" s="13">
        <f>Reference!G309</f>
        <v>4.499</v>
      </c>
      <c r="J71" s="13">
        <f t="shared" si="5"/>
        <v>1.58027777777778</v>
      </c>
      <c r="K71" s="27">
        <f>Reference!H309</f>
        <v>1131752</v>
      </c>
      <c r="L71" s="28">
        <f>Reference!I309</f>
        <v>380576</v>
      </c>
      <c r="N71" s="12">
        <f>Test!B309</f>
        <v>0</v>
      </c>
      <c r="O71" s="13">
        <f>Test!C309</f>
        <v>0</v>
      </c>
      <c r="P71" s="13">
        <f>Test!D309</f>
        <v>0</v>
      </c>
      <c r="Q71" s="13">
        <f>Test!E309</f>
        <v>0</v>
      </c>
      <c r="R71" s="13">
        <f>Test!F309</f>
        <v>0</v>
      </c>
      <c r="S71" s="13">
        <f>Test!G309</f>
        <v>0</v>
      </c>
      <c r="T71" s="13">
        <f t="shared" si="6"/>
        <v>0</v>
      </c>
      <c r="U71" s="27">
        <f>Test!H309</f>
        <v>0</v>
      </c>
      <c r="V71" s="28">
        <f>Test!I309</f>
        <v>0</v>
      </c>
      <c r="W71" s="16">
        <f t="shared" si="7"/>
        <v>0</v>
      </c>
      <c r="X71" s="16">
        <f t="shared" si="8"/>
        <v>0</v>
      </c>
      <c r="Y71" s="16">
        <f t="shared" si="4"/>
        <v>0</v>
      </c>
      <c r="Z71" s="25">
        <f t="shared" si="4"/>
        <v>0</v>
      </c>
      <c r="AA71" s="42"/>
      <c r="AB71" s="39" t="e">
        <f>bdrate($D71:$D74,E71:E74,$N71:$N74,O71:O74)</f>
        <v>#VALUE!</v>
      </c>
      <c r="AC71" s="40" t="e">
        <f>bdrate($D71:$D74,F71:F74,$N71:$N74,P71:P74)</f>
        <v>#VALUE!</v>
      </c>
      <c r="AD71" s="40" t="e">
        <f>bdrate($D71:$D74,G71:G74,$N71:$N74,Q71:Q74)</f>
        <v>#VALUE!</v>
      </c>
      <c r="AE71" s="49" t="e">
        <f>bdrateOld($D71:$D74,E71:E74,$N71:$N74,O71:O74)</f>
        <v>#VALUE!</v>
      </c>
      <c r="AF71" s="50" t="e">
        <f>bdrateOld($D71:$D74,F71:F74,$N71:$N74,P71:P74)</f>
        <v>#VALUE!</v>
      </c>
      <c r="AG71" s="52" t="e">
        <f>bdrateOld($D71:$D74,G71:G74,$N71:$N74,Q71:Q74)</f>
        <v>#VALUE!</v>
      </c>
    </row>
    <row r="72" spans="1:33">
      <c r="A72" s="14"/>
      <c r="B72" s="14"/>
      <c r="C72" s="14">
        <v>27</v>
      </c>
      <c r="D72" s="15">
        <f>Reference!B310</f>
        <v>499.8032</v>
      </c>
      <c r="E72" s="16">
        <f>Reference!C310</f>
        <v>34.7205</v>
      </c>
      <c r="F72" s="16">
        <f>Reference!D310</f>
        <v>38.086</v>
      </c>
      <c r="G72" s="16">
        <f>Reference!E310</f>
        <v>38.8611</v>
      </c>
      <c r="H72" s="16">
        <f>Reference!F310</f>
        <v>5715</v>
      </c>
      <c r="I72" s="16">
        <f>Reference!G310</f>
        <v>4.549</v>
      </c>
      <c r="J72" s="16">
        <f t="shared" si="5"/>
        <v>1.5875</v>
      </c>
      <c r="K72" s="29">
        <f>Reference!H310</f>
        <v>1131516</v>
      </c>
      <c r="L72" s="30">
        <f>Reference!I310</f>
        <v>379712</v>
      </c>
      <c r="N72" s="15">
        <f>Test!B310</f>
        <v>0</v>
      </c>
      <c r="O72" s="16">
        <f>Test!C310</f>
        <v>0</v>
      </c>
      <c r="P72" s="16">
        <f>Test!D310</f>
        <v>0</v>
      </c>
      <c r="Q72" s="16">
        <f>Test!E310</f>
        <v>0</v>
      </c>
      <c r="R72" s="16">
        <f>Test!F310</f>
        <v>0</v>
      </c>
      <c r="S72" s="16">
        <f>Test!G310</f>
        <v>0</v>
      </c>
      <c r="T72" s="16">
        <f t="shared" si="6"/>
        <v>0</v>
      </c>
      <c r="U72" s="29">
        <f>Test!H310</f>
        <v>0</v>
      </c>
      <c r="V72" s="30">
        <f>Test!I310</f>
        <v>0</v>
      </c>
      <c r="W72" s="16">
        <f t="shared" si="7"/>
        <v>0</v>
      </c>
      <c r="X72" s="16">
        <f t="shared" si="8"/>
        <v>0</v>
      </c>
      <c r="Y72" s="16">
        <f t="shared" si="4"/>
        <v>0</v>
      </c>
      <c r="Z72" s="25">
        <f t="shared" si="4"/>
        <v>0</v>
      </c>
      <c r="AA72" s="42"/>
      <c r="AB72" s="43"/>
      <c r="AC72" s="44"/>
      <c r="AD72" s="44"/>
      <c r="AE72" s="43"/>
      <c r="AF72" s="44"/>
      <c r="AG72" s="45"/>
    </row>
    <row r="73" spans="1:33">
      <c r="A73" s="14"/>
      <c r="B73" s="14"/>
      <c r="C73" s="14">
        <v>32</v>
      </c>
      <c r="D73" s="15">
        <f>Reference!B311</f>
        <v>227.5824</v>
      </c>
      <c r="E73" s="16">
        <f>Reference!C311</f>
        <v>31.5746</v>
      </c>
      <c r="F73" s="16">
        <f>Reference!D311</f>
        <v>35.9995</v>
      </c>
      <c r="G73" s="16">
        <f>Reference!E311</f>
        <v>36.6654</v>
      </c>
      <c r="H73" s="16">
        <f>Reference!F311</f>
        <v>2969</v>
      </c>
      <c r="I73" s="16">
        <f>Reference!G311</f>
        <v>2.283</v>
      </c>
      <c r="J73" s="16">
        <f t="shared" si="5"/>
        <v>0.824722222222222</v>
      </c>
      <c r="K73" s="29">
        <f>Reference!H311</f>
        <v>1130528</v>
      </c>
      <c r="L73" s="30">
        <f>Reference!I311</f>
        <v>379068</v>
      </c>
      <c r="N73" s="15">
        <f>Test!B311</f>
        <v>0</v>
      </c>
      <c r="O73" s="16">
        <f>Test!C311</f>
        <v>0</v>
      </c>
      <c r="P73" s="16">
        <f>Test!D311</f>
        <v>0</v>
      </c>
      <c r="Q73" s="16">
        <f>Test!E311</f>
        <v>0</v>
      </c>
      <c r="R73" s="16">
        <f>Test!F311</f>
        <v>0</v>
      </c>
      <c r="S73" s="16">
        <f>Test!G311</f>
        <v>0</v>
      </c>
      <c r="T73" s="16">
        <f t="shared" si="6"/>
        <v>0</v>
      </c>
      <c r="U73" s="29">
        <f>Test!H311</f>
        <v>0</v>
      </c>
      <c r="V73" s="30">
        <f>Test!I311</f>
        <v>0</v>
      </c>
      <c r="W73" s="16">
        <f t="shared" si="7"/>
        <v>0</v>
      </c>
      <c r="X73" s="16">
        <f t="shared" si="8"/>
        <v>0</v>
      </c>
      <c r="Y73" s="16">
        <f t="shared" si="4"/>
        <v>0</v>
      </c>
      <c r="Z73" s="25">
        <f t="shared" si="4"/>
        <v>0</v>
      </c>
      <c r="AA73" s="42"/>
      <c r="AB73" s="43"/>
      <c r="AC73" s="44"/>
      <c r="AD73" s="44"/>
      <c r="AE73" s="43"/>
      <c r="AF73" s="44"/>
      <c r="AG73" s="45"/>
    </row>
    <row r="74" ht="12.75" customHeight="1" spans="1:33">
      <c r="A74" s="14"/>
      <c r="B74" s="17"/>
      <c r="C74" s="17">
        <v>37</v>
      </c>
      <c r="D74" s="18">
        <f>Reference!B312</f>
        <v>105.4672</v>
      </c>
      <c r="E74" s="19">
        <f>Reference!C312</f>
        <v>28.8163</v>
      </c>
      <c r="F74" s="19">
        <f>Reference!D312</f>
        <v>34.6994</v>
      </c>
      <c r="G74" s="19">
        <f>Reference!E312</f>
        <v>35.2838</v>
      </c>
      <c r="H74" s="19">
        <f>Reference!F312</f>
        <v>2158</v>
      </c>
      <c r="I74" s="19">
        <f>Reference!G312</f>
        <v>1.459</v>
      </c>
      <c r="J74" s="19">
        <f t="shared" si="5"/>
        <v>0.599444444444444</v>
      </c>
      <c r="K74" s="29">
        <f>Reference!H312</f>
        <v>1128892</v>
      </c>
      <c r="L74" s="30">
        <f>Reference!I312</f>
        <v>378484</v>
      </c>
      <c r="N74" s="18">
        <f>Test!B312</f>
        <v>0</v>
      </c>
      <c r="O74" s="19">
        <f>Test!C312</f>
        <v>0</v>
      </c>
      <c r="P74" s="19">
        <f>Test!D312</f>
        <v>0</v>
      </c>
      <c r="Q74" s="19">
        <f>Test!E312</f>
        <v>0</v>
      </c>
      <c r="R74" s="19">
        <f>Test!F312</f>
        <v>0</v>
      </c>
      <c r="S74" s="19">
        <f>Test!G312</f>
        <v>0</v>
      </c>
      <c r="T74" s="19">
        <f t="shared" si="6"/>
        <v>0</v>
      </c>
      <c r="U74" s="31">
        <f>Test!H312</f>
        <v>0</v>
      </c>
      <c r="V74" s="32">
        <f>Test!I312</f>
        <v>0</v>
      </c>
      <c r="W74" s="16">
        <f t="shared" si="7"/>
        <v>0</v>
      </c>
      <c r="X74" s="16">
        <f t="shared" si="8"/>
        <v>0</v>
      </c>
      <c r="Y74" s="16">
        <f t="shared" si="4"/>
        <v>0</v>
      </c>
      <c r="Z74" s="25">
        <f t="shared" si="4"/>
        <v>0</v>
      </c>
      <c r="AA74" s="42"/>
      <c r="AB74" s="46"/>
      <c r="AC74" s="47"/>
      <c r="AD74" s="47"/>
      <c r="AE74" s="46"/>
      <c r="AF74" s="47"/>
      <c r="AG74" s="48"/>
    </row>
    <row r="75" spans="1:33">
      <c r="A75" s="14"/>
      <c r="B75" s="11" t="s">
        <v>87</v>
      </c>
      <c r="C75" s="11">
        <v>22</v>
      </c>
      <c r="D75" s="12">
        <f>Reference!B313</f>
        <v>947.0608</v>
      </c>
      <c r="E75" s="13">
        <f>Reference!C313</f>
        <v>39.1058</v>
      </c>
      <c r="F75" s="13">
        <f>Reference!D313</f>
        <v>40.3902</v>
      </c>
      <c r="G75" s="13">
        <f>Reference!E313</f>
        <v>41.7444</v>
      </c>
      <c r="H75" s="13">
        <f>Reference!F313</f>
        <v>4330</v>
      </c>
      <c r="I75" s="13">
        <f>Reference!G313</f>
        <v>3.099</v>
      </c>
      <c r="J75" s="13">
        <f t="shared" si="5"/>
        <v>1.20277777777778</v>
      </c>
      <c r="K75" s="27">
        <f>Reference!H313</f>
        <v>1130780</v>
      </c>
      <c r="L75" s="28">
        <f>Reference!I313</f>
        <v>353312</v>
      </c>
      <c r="N75" s="12">
        <f>Test!B313</f>
        <v>0</v>
      </c>
      <c r="O75" s="13">
        <f>Test!C313</f>
        <v>0</v>
      </c>
      <c r="P75" s="13">
        <f>Test!D313</f>
        <v>0</v>
      </c>
      <c r="Q75" s="13">
        <f>Test!E313</f>
        <v>0</v>
      </c>
      <c r="R75" s="13">
        <f>Test!F313</f>
        <v>0</v>
      </c>
      <c r="S75" s="13">
        <f>Test!G313</f>
        <v>0</v>
      </c>
      <c r="T75" s="13">
        <f t="shared" si="6"/>
        <v>0</v>
      </c>
      <c r="U75" s="27">
        <f>Test!H313</f>
        <v>0</v>
      </c>
      <c r="V75" s="28">
        <f>Test!I313</f>
        <v>0</v>
      </c>
      <c r="W75" s="16">
        <f t="shared" si="7"/>
        <v>0</v>
      </c>
      <c r="X75" s="16">
        <f t="shared" si="8"/>
        <v>0</v>
      </c>
      <c r="Y75" s="16">
        <f t="shared" si="4"/>
        <v>0</v>
      </c>
      <c r="Z75" s="25">
        <f t="shared" si="4"/>
        <v>0</v>
      </c>
      <c r="AA75" s="42"/>
      <c r="AB75" s="39" t="e">
        <f>bdrate($D75:$D78,E75:E78,$N75:$N78,O75:O78)</f>
        <v>#VALUE!</v>
      </c>
      <c r="AC75" s="40" t="e">
        <f>bdrate($D75:$D78,F75:F78,$N75:$N78,P75:P78)</f>
        <v>#VALUE!</v>
      </c>
      <c r="AD75" s="40" t="e">
        <f>bdrate($D75:$D78,G75:G78,$N75:$N78,Q75:Q78)</f>
        <v>#VALUE!</v>
      </c>
      <c r="AE75" s="49" t="e">
        <f>bdrateOld($D75:$D78,E75:E78,$N75:$N78,O75:O78)</f>
        <v>#VALUE!</v>
      </c>
      <c r="AF75" s="50" t="e">
        <f>bdrateOld($D75:$D78,F75:F78,$N75:$N78,P75:P78)</f>
        <v>#VALUE!</v>
      </c>
      <c r="AG75" s="52" t="e">
        <f>bdrateOld($D75:$D78,G75:G78,$N75:$N78,Q75:Q78)</f>
        <v>#VALUE!</v>
      </c>
    </row>
    <row r="76" spans="1:33">
      <c r="A76" s="14"/>
      <c r="B76" s="14"/>
      <c r="C76" s="14">
        <v>27</v>
      </c>
      <c r="D76" s="15">
        <f>Reference!B314</f>
        <v>407.6848</v>
      </c>
      <c r="E76" s="16">
        <f>Reference!C314</f>
        <v>34.6292</v>
      </c>
      <c r="F76" s="16">
        <f>Reference!D314</f>
        <v>37.6177</v>
      </c>
      <c r="G76" s="16">
        <f>Reference!E314</f>
        <v>38.6977</v>
      </c>
      <c r="H76" s="16">
        <f>Reference!F314</f>
        <v>3202</v>
      </c>
      <c r="I76" s="16">
        <f>Reference!G314</f>
        <v>2.411</v>
      </c>
      <c r="J76" s="16">
        <f t="shared" si="5"/>
        <v>0.889444444444444</v>
      </c>
      <c r="K76" s="29">
        <f>Reference!H314</f>
        <v>1129112</v>
      </c>
      <c r="L76" s="30">
        <f>Reference!I314</f>
        <v>352756</v>
      </c>
      <c r="N76" s="15">
        <f>Test!B314</f>
        <v>0</v>
      </c>
      <c r="O76" s="16">
        <f>Test!C314</f>
        <v>0</v>
      </c>
      <c r="P76" s="16">
        <f>Test!D314</f>
        <v>0</v>
      </c>
      <c r="Q76" s="16">
        <f>Test!E314</f>
        <v>0</v>
      </c>
      <c r="R76" s="16">
        <f>Test!F314</f>
        <v>0</v>
      </c>
      <c r="S76" s="16">
        <f>Test!G314</f>
        <v>0</v>
      </c>
      <c r="T76" s="16">
        <f t="shared" si="6"/>
        <v>0</v>
      </c>
      <c r="U76" s="29">
        <f>Test!H314</f>
        <v>0</v>
      </c>
      <c r="V76" s="30">
        <f>Test!I314</f>
        <v>0</v>
      </c>
      <c r="W76" s="16">
        <f t="shared" si="7"/>
        <v>0</v>
      </c>
      <c r="X76" s="16">
        <f t="shared" si="8"/>
        <v>0</v>
      </c>
      <c r="Y76" s="16">
        <f t="shared" si="4"/>
        <v>0</v>
      </c>
      <c r="Z76" s="25">
        <f t="shared" si="4"/>
        <v>0</v>
      </c>
      <c r="AA76" s="42"/>
      <c r="AB76" s="43"/>
      <c r="AC76" s="44"/>
      <c r="AD76" s="44"/>
      <c r="AE76" s="43"/>
      <c r="AF76" s="44"/>
      <c r="AG76" s="45"/>
    </row>
    <row r="77" spans="1:33">
      <c r="A77" s="14"/>
      <c r="B77" s="14"/>
      <c r="C77" s="14">
        <v>32</v>
      </c>
      <c r="D77" s="15">
        <f>Reference!B315</f>
        <v>184.28</v>
      </c>
      <c r="E77" s="16">
        <f>Reference!C315</f>
        <v>31.0291</v>
      </c>
      <c r="F77" s="16">
        <f>Reference!D315</f>
        <v>36.0018</v>
      </c>
      <c r="G77" s="16">
        <f>Reference!E315</f>
        <v>36.86</v>
      </c>
      <c r="H77" s="16">
        <f>Reference!F315</f>
        <v>3219</v>
      </c>
      <c r="I77" s="16">
        <f>Reference!G315</f>
        <v>2.58</v>
      </c>
      <c r="J77" s="16">
        <f t="shared" si="5"/>
        <v>0.894166666666667</v>
      </c>
      <c r="K77" s="29">
        <f>Reference!H315</f>
        <v>1129280</v>
      </c>
      <c r="L77" s="30">
        <f>Reference!I315</f>
        <v>352632</v>
      </c>
      <c r="N77" s="15">
        <f>Test!B315</f>
        <v>0</v>
      </c>
      <c r="O77" s="16">
        <f>Test!C315</f>
        <v>0</v>
      </c>
      <c r="P77" s="16">
        <f>Test!D315</f>
        <v>0</v>
      </c>
      <c r="Q77" s="16">
        <f>Test!E315</f>
        <v>0</v>
      </c>
      <c r="R77" s="16">
        <f>Test!F315</f>
        <v>0</v>
      </c>
      <c r="S77" s="16">
        <f>Test!G315</f>
        <v>0</v>
      </c>
      <c r="T77" s="16">
        <f t="shared" si="6"/>
        <v>0</v>
      </c>
      <c r="U77" s="29">
        <f>Test!H315</f>
        <v>0</v>
      </c>
      <c r="V77" s="30">
        <f>Test!I315</f>
        <v>0</v>
      </c>
      <c r="W77" s="16">
        <f t="shared" si="7"/>
        <v>0</v>
      </c>
      <c r="X77" s="16">
        <f t="shared" si="8"/>
        <v>0</v>
      </c>
      <c r="Y77" s="16">
        <f t="shared" si="4"/>
        <v>0</v>
      </c>
      <c r="Z77" s="25">
        <f t="shared" si="4"/>
        <v>0</v>
      </c>
      <c r="AA77" s="42"/>
      <c r="AB77" s="43"/>
      <c r="AC77" s="44"/>
      <c r="AD77" s="44"/>
      <c r="AE77" s="43"/>
      <c r="AF77" s="44"/>
      <c r="AG77" s="45"/>
    </row>
    <row r="78" ht="12.75" customHeight="1" spans="1:33">
      <c r="A78" s="17"/>
      <c r="B78" s="17"/>
      <c r="C78" s="17">
        <v>37</v>
      </c>
      <c r="D78" s="18">
        <f>Reference!B316</f>
        <v>87.9152</v>
      </c>
      <c r="E78" s="19">
        <f>Reference!C316</f>
        <v>28.4905</v>
      </c>
      <c r="F78" s="19">
        <f>Reference!D316</f>
        <v>34.5361</v>
      </c>
      <c r="G78" s="19">
        <f>Reference!E316</f>
        <v>35.0063</v>
      </c>
      <c r="H78" s="19">
        <f>Reference!F316</f>
        <v>1670</v>
      </c>
      <c r="I78" s="19">
        <f>Reference!G316</f>
        <v>1.498</v>
      </c>
      <c r="J78" s="19">
        <f t="shared" si="5"/>
        <v>0.463888888888889</v>
      </c>
      <c r="K78" s="29">
        <f>Reference!H316</f>
        <v>1128440</v>
      </c>
      <c r="L78" s="30">
        <f>Reference!I316</f>
        <v>350320</v>
      </c>
      <c r="N78" s="18">
        <f>Test!B316</f>
        <v>0</v>
      </c>
      <c r="O78" s="19">
        <f>Test!C316</f>
        <v>0</v>
      </c>
      <c r="P78" s="19">
        <f>Test!D316</f>
        <v>0</v>
      </c>
      <c r="Q78" s="19">
        <f>Test!E316</f>
        <v>0</v>
      </c>
      <c r="R78" s="19">
        <f>Test!F316</f>
        <v>0</v>
      </c>
      <c r="S78" s="19">
        <f>Test!G316</f>
        <v>0</v>
      </c>
      <c r="T78" s="19">
        <f t="shared" si="6"/>
        <v>0</v>
      </c>
      <c r="U78" s="31">
        <f>Test!H316</f>
        <v>0</v>
      </c>
      <c r="V78" s="32">
        <f>Test!I316</f>
        <v>0</v>
      </c>
      <c r="W78" s="19">
        <f t="shared" si="7"/>
        <v>0</v>
      </c>
      <c r="X78" s="19">
        <f t="shared" si="8"/>
        <v>0</v>
      </c>
      <c r="Y78" s="19">
        <f t="shared" si="4"/>
        <v>0</v>
      </c>
      <c r="Z78" s="26">
        <f t="shared" si="4"/>
        <v>0</v>
      </c>
      <c r="AA78" s="51"/>
      <c r="AB78" s="46"/>
      <c r="AC78" s="47"/>
      <c r="AD78" s="47"/>
      <c r="AE78" s="46"/>
      <c r="AF78" s="47"/>
      <c r="AG78" s="48"/>
    </row>
    <row r="79" spans="1:33">
      <c r="A79" s="11" t="s">
        <v>24</v>
      </c>
      <c r="B79" s="11" t="s">
        <v>88</v>
      </c>
      <c r="C79" s="11">
        <v>22</v>
      </c>
      <c r="D79" s="12">
        <f>Reference!B317</f>
        <v>1685.5504</v>
      </c>
      <c r="E79" s="13">
        <f>Reference!C317</f>
        <v>42.9908</v>
      </c>
      <c r="F79" s="13">
        <f>Reference!D317</f>
        <v>47.2235</v>
      </c>
      <c r="G79" s="13">
        <f>Reference!E317</f>
        <v>48.461</v>
      </c>
      <c r="H79" s="13">
        <f>Reference!F317</f>
        <v>21713</v>
      </c>
      <c r="I79" s="13">
        <f>Reference!G317</f>
        <v>20.452</v>
      </c>
      <c r="J79" s="13">
        <f t="shared" si="5"/>
        <v>6.03138888888889</v>
      </c>
      <c r="K79" s="27">
        <f>Reference!H317</f>
        <v>2321980</v>
      </c>
      <c r="L79" s="28">
        <f>Reference!I317</f>
        <v>567748</v>
      </c>
      <c r="N79" s="12">
        <f>Test!B317</f>
        <v>0</v>
      </c>
      <c r="O79" s="13">
        <f>Test!C317</f>
        <v>0</v>
      </c>
      <c r="P79" s="13">
        <f>Test!D317</f>
        <v>0</v>
      </c>
      <c r="Q79" s="13">
        <f>Test!E317</f>
        <v>0</v>
      </c>
      <c r="R79" s="13">
        <f>Test!F317</f>
        <v>0</v>
      </c>
      <c r="S79" s="13">
        <f>Test!G317</f>
        <v>0</v>
      </c>
      <c r="T79" s="13">
        <f t="shared" si="6"/>
        <v>0</v>
      </c>
      <c r="U79" s="27">
        <f>Test!H317</f>
        <v>0</v>
      </c>
      <c r="V79" s="28">
        <f>Test!I317</f>
        <v>0</v>
      </c>
      <c r="W79" s="13">
        <f t="shared" si="7"/>
        <v>0</v>
      </c>
      <c r="X79" s="13">
        <f t="shared" si="8"/>
        <v>0</v>
      </c>
      <c r="Y79" s="13">
        <f t="shared" si="4"/>
        <v>0</v>
      </c>
      <c r="Z79" s="24">
        <f t="shared" si="4"/>
        <v>0</v>
      </c>
      <c r="AA79" s="38"/>
      <c r="AB79" s="39" t="e">
        <f>bdrate($D79:$D82,E79:E82,$N79:$N82,O79:O82)</f>
        <v>#VALUE!</v>
      </c>
      <c r="AC79" s="40" t="e">
        <f>bdrate($D79:$D82,F79:F82,$N79:$N82,P79:P82)</f>
        <v>#VALUE!</v>
      </c>
      <c r="AD79" s="41" t="e">
        <f>bdrate($D79:$D82,G79:G82,$N79:$N82,Q79:Q82)</f>
        <v>#VALUE!</v>
      </c>
      <c r="AE79" s="39" t="e">
        <f>bdrateOld($D79:$D82,E79:E82,$N79:$N82,O79:O82)</f>
        <v>#VALUE!</v>
      </c>
      <c r="AF79" s="40" t="e">
        <f>bdrateOld($D79:$D82,F79:F82,$N79:$N82,P79:P82)</f>
        <v>#VALUE!</v>
      </c>
      <c r="AG79" s="41" t="e">
        <f>bdrateOld($D79:$D82,G79:G82,$N79:$N82,Q79:Q82)</f>
        <v>#VALUE!</v>
      </c>
    </row>
    <row r="80" spans="1:33">
      <c r="A80" s="14" t="s">
        <v>115</v>
      </c>
      <c r="B80" s="14"/>
      <c r="C80" s="14">
        <v>27</v>
      </c>
      <c r="D80" s="15">
        <f>Reference!B318</f>
        <v>664.9296</v>
      </c>
      <c r="E80" s="16">
        <f>Reference!C318</f>
        <v>40.8802</v>
      </c>
      <c r="F80" s="16">
        <f>Reference!D318</f>
        <v>45.518</v>
      </c>
      <c r="G80" s="16">
        <f>Reference!E318</f>
        <v>46.54</v>
      </c>
      <c r="H80" s="16">
        <f>Reference!F318</f>
        <v>14283</v>
      </c>
      <c r="I80" s="16">
        <f>Reference!G318</f>
        <v>13.569</v>
      </c>
      <c r="J80" s="16">
        <f t="shared" si="5"/>
        <v>3.9675</v>
      </c>
      <c r="K80" s="29">
        <f>Reference!H318</f>
        <v>2310592</v>
      </c>
      <c r="L80" s="30">
        <f>Reference!I318</f>
        <v>562016</v>
      </c>
      <c r="N80" s="15">
        <f>Test!B318</f>
        <v>0</v>
      </c>
      <c r="O80" s="16">
        <f>Test!C318</f>
        <v>0</v>
      </c>
      <c r="P80" s="16">
        <f>Test!D318</f>
        <v>0</v>
      </c>
      <c r="Q80" s="16">
        <f>Test!E318</f>
        <v>0</v>
      </c>
      <c r="R80" s="16">
        <f>Test!F318</f>
        <v>0</v>
      </c>
      <c r="S80" s="16">
        <f>Test!G318</f>
        <v>0</v>
      </c>
      <c r="T80" s="16">
        <f t="shared" si="6"/>
        <v>0</v>
      </c>
      <c r="U80" s="29">
        <f>Test!H318</f>
        <v>0</v>
      </c>
      <c r="V80" s="30">
        <f>Test!I318</f>
        <v>0</v>
      </c>
      <c r="W80" s="16">
        <f t="shared" si="7"/>
        <v>0</v>
      </c>
      <c r="X80" s="16">
        <f t="shared" si="8"/>
        <v>0</v>
      </c>
      <c r="Y80" s="16">
        <f t="shared" si="4"/>
        <v>0</v>
      </c>
      <c r="Z80" s="25">
        <f t="shared" si="4"/>
        <v>0</v>
      </c>
      <c r="AA80" s="42"/>
      <c r="AB80" s="43"/>
      <c r="AC80" s="44"/>
      <c r="AD80" s="45"/>
      <c r="AE80" s="43"/>
      <c r="AF80" s="44"/>
      <c r="AG80" s="45"/>
    </row>
    <row r="81" spans="1:33">
      <c r="A81" s="14"/>
      <c r="B81" s="14"/>
      <c r="C81" s="14">
        <v>32</v>
      </c>
      <c r="D81" s="15">
        <f>Reference!B319</f>
        <v>337.3088</v>
      </c>
      <c r="E81" s="16">
        <f>Reference!C319</f>
        <v>38.4731</v>
      </c>
      <c r="F81" s="16">
        <f>Reference!D319</f>
        <v>43.6085</v>
      </c>
      <c r="G81" s="16">
        <f>Reference!E319</f>
        <v>44.428</v>
      </c>
      <c r="H81" s="16">
        <f>Reference!F319</f>
        <v>11424</v>
      </c>
      <c r="I81" s="16">
        <f>Reference!G319</f>
        <v>9.347</v>
      </c>
      <c r="J81" s="16">
        <f t="shared" si="5"/>
        <v>3.17333333333333</v>
      </c>
      <c r="K81" s="29">
        <f>Reference!H319</f>
        <v>2307092</v>
      </c>
      <c r="L81" s="30">
        <f>Reference!I319</f>
        <v>561672</v>
      </c>
      <c r="N81" s="15">
        <f>Test!B319</f>
        <v>0</v>
      </c>
      <c r="O81" s="16">
        <f>Test!C319</f>
        <v>0</v>
      </c>
      <c r="P81" s="16">
        <f>Test!D319</f>
        <v>0</v>
      </c>
      <c r="Q81" s="16">
        <f>Test!E319</f>
        <v>0</v>
      </c>
      <c r="R81" s="16">
        <f>Test!F319</f>
        <v>0</v>
      </c>
      <c r="S81" s="16">
        <f>Test!G319</f>
        <v>0</v>
      </c>
      <c r="T81" s="16">
        <f t="shared" si="6"/>
        <v>0</v>
      </c>
      <c r="U81" s="29">
        <f>Test!H319</f>
        <v>0</v>
      </c>
      <c r="V81" s="30">
        <f>Test!I319</f>
        <v>0</v>
      </c>
      <c r="W81" s="16">
        <f t="shared" si="7"/>
        <v>0</v>
      </c>
      <c r="X81" s="16">
        <f t="shared" si="8"/>
        <v>0</v>
      </c>
      <c r="Y81" s="16">
        <f t="shared" si="4"/>
        <v>0</v>
      </c>
      <c r="Z81" s="25">
        <f t="shared" si="4"/>
        <v>0</v>
      </c>
      <c r="AA81" s="42"/>
      <c r="AB81" s="43"/>
      <c r="AC81" s="44"/>
      <c r="AD81" s="45"/>
      <c r="AE81" s="43"/>
      <c r="AF81" s="44"/>
      <c r="AG81" s="45"/>
    </row>
    <row r="82" ht="12.75" customHeight="1" spans="1:33">
      <c r="A82" s="14"/>
      <c r="B82" s="17"/>
      <c r="C82" s="17">
        <v>37</v>
      </c>
      <c r="D82" s="18">
        <f>Reference!B320</f>
        <v>184.6192</v>
      </c>
      <c r="E82" s="19">
        <f>Reference!C320</f>
        <v>35.7811</v>
      </c>
      <c r="F82" s="19">
        <f>Reference!D320</f>
        <v>41.9541</v>
      </c>
      <c r="G82" s="19">
        <f>Reference!E320</f>
        <v>42.755</v>
      </c>
      <c r="H82" s="19">
        <f>Reference!F320</f>
        <v>9001</v>
      </c>
      <c r="I82" s="19">
        <f>Reference!G320</f>
        <v>6.59</v>
      </c>
      <c r="J82" s="19">
        <f t="shared" si="5"/>
        <v>2.50027777777778</v>
      </c>
      <c r="K82" s="29">
        <f>Reference!H320</f>
        <v>2307624</v>
      </c>
      <c r="L82" s="30">
        <f>Reference!I320</f>
        <v>555404</v>
      </c>
      <c r="N82" s="18">
        <f>Test!B320</f>
        <v>0</v>
      </c>
      <c r="O82" s="19">
        <f>Test!C320</f>
        <v>0</v>
      </c>
      <c r="P82" s="19">
        <f>Test!D320</f>
        <v>0</v>
      </c>
      <c r="Q82" s="19">
        <f>Test!E320</f>
        <v>0</v>
      </c>
      <c r="R82" s="19">
        <f>Test!F320</f>
        <v>0</v>
      </c>
      <c r="S82" s="19">
        <f>Test!G320</f>
        <v>0</v>
      </c>
      <c r="T82" s="19">
        <f t="shared" si="6"/>
        <v>0</v>
      </c>
      <c r="U82" s="31">
        <f>Test!H320</f>
        <v>0</v>
      </c>
      <c r="V82" s="32">
        <f>Test!I320</f>
        <v>0</v>
      </c>
      <c r="W82" s="16">
        <f t="shared" si="7"/>
        <v>0</v>
      </c>
      <c r="X82" s="16">
        <f t="shared" si="8"/>
        <v>0</v>
      </c>
      <c r="Y82" s="16">
        <f t="shared" si="4"/>
        <v>0</v>
      </c>
      <c r="Z82" s="25">
        <f t="shared" si="4"/>
        <v>0</v>
      </c>
      <c r="AA82" s="42"/>
      <c r="AB82" s="46"/>
      <c r="AC82" s="47"/>
      <c r="AD82" s="48"/>
      <c r="AE82" s="46"/>
      <c r="AF82" s="47"/>
      <c r="AG82" s="48"/>
    </row>
    <row r="83" spans="1:33">
      <c r="A83" s="14"/>
      <c r="B83" s="11" t="s">
        <v>89</v>
      </c>
      <c r="C83" s="11">
        <v>22</v>
      </c>
      <c r="D83" s="12">
        <f>Reference!B321</f>
        <v>1126.2976</v>
      </c>
      <c r="E83" s="13">
        <f>Reference!C321</f>
        <v>43.2242</v>
      </c>
      <c r="F83" s="13">
        <f>Reference!D321</f>
        <v>48.6858</v>
      </c>
      <c r="G83" s="13">
        <f>Reference!E321</f>
        <v>49.364</v>
      </c>
      <c r="H83" s="13">
        <f>Reference!F321</f>
        <v>22237</v>
      </c>
      <c r="I83" s="13">
        <f>Reference!G321</f>
        <v>17.512</v>
      </c>
      <c r="J83" s="13">
        <f t="shared" si="5"/>
        <v>6.17694444444444</v>
      </c>
      <c r="K83" s="27">
        <f>Reference!H321</f>
        <v>2307328</v>
      </c>
      <c r="L83" s="28">
        <f>Reference!I321</f>
        <v>556212</v>
      </c>
      <c r="N83" s="12">
        <f>Test!B321</f>
        <v>0</v>
      </c>
      <c r="O83" s="13">
        <f>Test!C321</f>
        <v>0</v>
      </c>
      <c r="P83" s="13">
        <f>Test!D321</f>
        <v>0</v>
      </c>
      <c r="Q83" s="13">
        <f>Test!E321</f>
        <v>0</v>
      </c>
      <c r="R83" s="13">
        <f>Test!F321</f>
        <v>0</v>
      </c>
      <c r="S83" s="13">
        <f>Test!G321</f>
        <v>0</v>
      </c>
      <c r="T83" s="13">
        <f t="shared" si="6"/>
        <v>0</v>
      </c>
      <c r="U83" s="27">
        <f>Test!H321</f>
        <v>0</v>
      </c>
      <c r="V83" s="28">
        <f>Test!I321</f>
        <v>0</v>
      </c>
      <c r="W83" s="16">
        <f t="shared" si="7"/>
        <v>0</v>
      </c>
      <c r="X83" s="16">
        <f t="shared" si="8"/>
        <v>0</v>
      </c>
      <c r="Y83" s="16">
        <f t="shared" si="4"/>
        <v>0</v>
      </c>
      <c r="Z83" s="25">
        <f t="shared" si="4"/>
        <v>0</v>
      </c>
      <c r="AA83" s="42"/>
      <c r="AB83" s="39" t="e">
        <f>bdrate($D83:$D86,E83:E86,$N83:$N86,O83:O86)</f>
        <v>#VALUE!</v>
      </c>
      <c r="AC83" s="40" t="e">
        <f>bdrate($D83:$D86,F83:F86,$N83:$N86,P83:P86)</f>
        <v>#VALUE!</v>
      </c>
      <c r="AD83" s="40" t="e">
        <f>bdrate($D83:$D86,G83:G86,$N83:$N86,Q83:Q86)</f>
        <v>#VALUE!</v>
      </c>
      <c r="AE83" s="49" t="e">
        <f>bdrateOld($D83:$D86,E83:E86,$N83:$N86,O83:O86)</f>
        <v>#VALUE!</v>
      </c>
      <c r="AF83" s="50" t="e">
        <f>bdrateOld($D83:$D86,F83:F86,$N83:$N86,P83:P86)</f>
        <v>#VALUE!</v>
      </c>
      <c r="AG83" s="52" t="e">
        <f>bdrateOld($D83:$D86,G83:G86,$N83:$N86,Q83:Q86)</f>
        <v>#VALUE!</v>
      </c>
    </row>
    <row r="84" spans="1:33">
      <c r="A84" s="14"/>
      <c r="B84" s="14"/>
      <c r="C84" s="14">
        <v>27</v>
      </c>
      <c r="D84" s="15">
        <f>Reference!B322</f>
        <v>344.3824</v>
      </c>
      <c r="E84" s="16">
        <f>Reference!C322</f>
        <v>41.7407</v>
      </c>
      <c r="F84" s="16">
        <f>Reference!D322</f>
        <v>47.4669</v>
      </c>
      <c r="G84" s="16">
        <f>Reference!E322</f>
        <v>47.9865</v>
      </c>
      <c r="H84" s="16">
        <f>Reference!F322</f>
        <v>13105</v>
      </c>
      <c r="I84" s="16">
        <f>Reference!G322</f>
        <v>11.128</v>
      </c>
      <c r="J84" s="16">
        <f t="shared" si="5"/>
        <v>3.64027777777778</v>
      </c>
      <c r="K84" s="29">
        <f>Reference!H322</f>
        <v>2306112</v>
      </c>
      <c r="L84" s="30">
        <f>Reference!I322</f>
        <v>552004</v>
      </c>
      <c r="N84" s="15">
        <f>Test!B322</f>
        <v>0</v>
      </c>
      <c r="O84" s="16">
        <f>Test!C322</f>
        <v>0</v>
      </c>
      <c r="P84" s="16">
        <f>Test!D322</f>
        <v>0</v>
      </c>
      <c r="Q84" s="16">
        <f>Test!E322</f>
        <v>0</v>
      </c>
      <c r="R84" s="16">
        <f>Test!F322</f>
        <v>0</v>
      </c>
      <c r="S84" s="16">
        <f>Test!G322</f>
        <v>0</v>
      </c>
      <c r="T84" s="16">
        <f t="shared" si="6"/>
        <v>0</v>
      </c>
      <c r="U84" s="29">
        <f>Test!H322</f>
        <v>0</v>
      </c>
      <c r="V84" s="30">
        <f>Test!I322</f>
        <v>0</v>
      </c>
      <c r="W84" s="16">
        <f t="shared" si="7"/>
        <v>0</v>
      </c>
      <c r="X84" s="16">
        <f t="shared" si="8"/>
        <v>0</v>
      </c>
      <c r="Y84" s="16">
        <f t="shared" si="4"/>
        <v>0</v>
      </c>
      <c r="Z84" s="25">
        <f t="shared" si="4"/>
        <v>0</v>
      </c>
      <c r="AA84" s="42"/>
      <c r="AB84" s="43"/>
      <c r="AC84" s="44"/>
      <c r="AD84" s="44"/>
      <c r="AE84" s="43"/>
      <c r="AF84" s="44"/>
      <c r="AG84" s="45"/>
    </row>
    <row r="85" spans="1:33">
      <c r="A85" s="14"/>
      <c r="B85" s="14"/>
      <c r="C85" s="14">
        <v>32</v>
      </c>
      <c r="D85" s="15">
        <f>Reference!B323</f>
        <v>160.3824</v>
      </c>
      <c r="E85" s="16">
        <f>Reference!C323</f>
        <v>39.9417</v>
      </c>
      <c r="F85" s="16">
        <f>Reference!D323</f>
        <v>45.7831</v>
      </c>
      <c r="G85" s="16">
        <f>Reference!E323</f>
        <v>46.1682</v>
      </c>
      <c r="H85" s="16">
        <f>Reference!F323</f>
        <v>9277</v>
      </c>
      <c r="I85" s="16">
        <f>Reference!G323</f>
        <v>7.154</v>
      </c>
      <c r="J85" s="16">
        <f t="shared" si="5"/>
        <v>2.57694444444444</v>
      </c>
      <c r="K85" s="29">
        <f>Reference!H323</f>
        <v>2300832</v>
      </c>
      <c r="L85" s="30">
        <f>Reference!I323</f>
        <v>550172</v>
      </c>
      <c r="N85" s="15">
        <f>Test!B323</f>
        <v>0</v>
      </c>
      <c r="O85" s="16">
        <f>Test!C323</f>
        <v>0</v>
      </c>
      <c r="P85" s="16">
        <f>Test!D323</f>
        <v>0</v>
      </c>
      <c r="Q85" s="16">
        <f>Test!E323</f>
        <v>0</v>
      </c>
      <c r="R85" s="16">
        <f>Test!F323</f>
        <v>0</v>
      </c>
      <c r="S85" s="16">
        <f>Test!G323</f>
        <v>0</v>
      </c>
      <c r="T85" s="16">
        <f t="shared" si="6"/>
        <v>0</v>
      </c>
      <c r="U85" s="29">
        <f>Test!H323</f>
        <v>0</v>
      </c>
      <c r="V85" s="30">
        <f>Test!I323</f>
        <v>0</v>
      </c>
      <c r="W85" s="16">
        <f t="shared" si="7"/>
        <v>0</v>
      </c>
      <c r="X85" s="16">
        <f t="shared" si="8"/>
        <v>0</v>
      </c>
      <c r="Y85" s="16">
        <f t="shared" si="4"/>
        <v>0</v>
      </c>
      <c r="Z85" s="25">
        <f t="shared" si="4"/>
        <v>0</v>
      </c>
      <c r="AA85" s="42"/>
      <c r="AB85" s="43"/>
      <c r="AC85" s="44"/>
      <c r="AD85" s="44"/>
      <c r="AE85" s="43"/>
      <c r="AF85" s="44"/>
      <c r="AG85" s="45"/>
    </row>
    <row r="86" ht="12.75" customHeight="1" spans="1:33">
      <c r="A86" s="14"/>
      <c r="B86" s="17"/>
      <c r="C86" s="17">
        <v>37</v>
      </c>
      <c r="D86" s="18">
        <f>Reference!B324</f>
        <v>88.1696</v>
      </c>
      <c r="E86" s="19">
        <f>Reference!C324</f>
        <v>37.8163</v>
      </c>
      <c r="F86" s="19">
        <f>Reference!D324</f>
        <v>44.145</v>
      </c>
      <c r="G86" s="19">
        <f>Reference!E324</f>
        <v>44.5517</v>
      </c>
      <c r="H86" s="19">
        <f>Reference!F324</f>
        <v>7236</v>
      </c>
      <c r="I86" s="19">
        <f>Reference!G324</f>
        <v>5.645</v>
      </c>
      <c r="J86" s="19">
        <f t="shared" si="5"/>
        <v>2.01</v>
      </c>
      <c r="K86" s="29">
        <f>Reference!H324</f>
        <v>2300528</v>
      </c>
      <c r="L86" s="30">
        <f>Reference!I324</f>
        <v>547112</v>
      </c>
      <c r="N86" s="18">
        <f>Test!B324</f>
        <v>0</v>
      </c>
      <c r="O86" s="19">
        <f>Test!C324</f>
        <v>0</v>
      </c>
      <c r="P86" s="19">
        <f>Test!D324</f>
        <v>0</v>
      </c>
      <c r="Q86" s="19">
        <f>Test!E324</f>
        <v>0</v>
      </c>
      <c r="R86" s="19">
        <f>Test!F324</f>
        <v>0</v>
      </c>
      <c r="S86" s="19">
        <f>Test!G324</f>
        <v>0</v>
      </c>
      <c r="T86" s="19">
        <f t="shared" si="6"/>
        <v>0</v>
      </c>
      <c r="U86" s="31">
        <f>Test!H324</f>
        <v>0</v>
      </c>
      <c r="V86" s="32">
        <f>Test!I324</f>
        <v>0</v>
      </c>
      <c r="W86" s="16">
        <f t="shared" si="7"/>
        <v>0</v>
      </c>
      <c r="X86" s="16">
        <f t="shared" si="8"/>
        <v>0</v>
      </c>
      <c r="Y86" s="16">
        <f t="shared" si="4"/>
        <v>0</v>
      </c>
      <c r="Z86" s="25">
        <f t="shared" si="4"/>
        <v>0</v>
      </c>
      <c r="AA86" s="42"/>
      <c r="AB86" s="46"/>
      <c r="AC86" s="47"/>
      <c r="AD86" s="47"/>
      <c r="AE86" s="46"/>
      <c r="AF86" s="47"/>
      <c r="AG86" s="48"/>
    </row>
    <row r="87" spans="1:33">
      <c r="A87" s="14"/>
      <c r="B87" s="11" t="s">
        <v>90</v>
      </c>
      <c r="C87" s="11">
        <v>22</v>
      </c>
      <c r="D87" s="12">
        <f>Reference!B325</f>
        <v>1361.2064</v>
      </c>
      <c r="E87" s="13">
        <f>Reference!C325</f>
        <v>43.684</v>
      </c>
      <c r="F87" s="13">
        <f>Reference!D325</f>
        <v>47.9585</v>
      </c>
      <c r="G87" s="13">
        <f>Reference!E325</f>
        <v>48.9689</v>
      </c>
      <c r="H87" s="13">
        <f>Reference!F325</f>
        <v>25162</v>
      </c>
      <c r="I87" s="13">
        <f>Reference!G325</f>
        <v>19.099</v>
      </c>
      <c r="J87" s="13">
        <f t="shared" si="5"/>
        <v>6.98944444444444</v>
      </c>
      <c r="K87" s="27">
        <f>Reference!H325</f>
        <v>2309068</v>
      </c>
      <c r="L87" s="28">
        <f>Reference!I325</f>
        <v>571740</v>
      </c>
      <c r="N87" s="12">
        <f>Test!B325</f>
        <v>0</v>
      </c>
      <c r="O87" s="13">
        <f>Test!C325</f>
        <v>0</v>
      </c>
      <c r="P87" s="13">
        <f>Test!D325</f>
        <v>0</v>
      </c>
      <c r="Q87" s="13">
        <f>Test!E325</f>
        <v>0</v>
      </c>
      <c r="R87" s="13">
        <f>Test!F325</f>
        <v>0</v>
      </c>
      <c r="S87" s="13">
        <f>Test!G325</f>
        <v>0</v>
      </c>
      <c r="T87" s="13">
        <f t="shared" si="6"/>
        <v>0</v>
      </c>
      <c r="U87" s="27">
        <f>Test!H325</f>
        <v>0</v>
      </c>
      <c r="V87" s="28">
        <f>Test!I325</f>
        <v>0</v>
      </c>
      <c r="W87" s="16">
        <f t="shared" si="7"/>
        <v>0</v>
      </c>
      <c r="X87" s="16">
        <f t="shared" si="8"/>
        <v>0</v>
      </c>
      <c r="Y87" s="16">
        <f t="shared" si="4"/>
        <v>0</v>
      </c>
      <c r="Z87" s="25">
        <f t="shared" si="4"/>
        <v>0</v>
      </c>
      <c r="AA87" s="42"/>
      <c r="AB87" s="39" t="e">
        <f>bdrate($D87:$D90,E87:E90,$N87:$N90,O87:O90)</f>
        <v>#VALUE!</v>
      </c>
      <c r="AC87" s="40" t="e">
        <f>bdrate($D87:$D90,F87:F90,$N87:$N90,P87:P90)</f>
        <v>#VALUE!</v>
      </c>
      <c r="AD87" s="40" t="e">
        <f>bdrate($D87:$D90,G87:G90,$N87:$N90,Q87:Q90)</f>
        <v>#VALUE!</v>
      </c>
      <c r="AE87" s="49" t="e">
        <f>bdrateOld($D87:$D90,E87:E90,$N87:$N90,O87:O90)</f>
        <v>#VALUE!</v>
      </c>
      <c r="AF87" s="50" t="e">
        <f>bdrateOld($D87:$D90,F87:F90,$N87:$N90,P87:P90)</f>
        <v>#VALUE!</v>
      </c>
      <c r="AG87" s="52" t="e">
        <f>bdrateOld($D87:$D90,G87:G90,$N87:$N90,Q87:Q90)</f>
        <v>#VALUE!</v>
      </c>
    </row>
    <row r="88" spans="1:33">
      <c r="A88" s="14"/>
      <c r="B88" s="14"/>
      <c r="C88" s="14">
        <v>27</v>
      </c>
      <c r="D88" s="15">
        <f>Reference!B326</f>
        <v>497.352</v>
      </c>
      <c r="E88" s="16">
        <f>Reference!C326</f>
        <v>41.8047</v>
      </c>
      <c r="F88" s="16">
        <f>Reference!D326</f>
        <v>46.4641</v>
      </c>
      <c r="G88" s="16">
        <f>Reference!E326</f>
        <v>47.22</v>
      </c>
      <c r="H88" s="16">
        <f>Reference!F326</f>
        <v>15482</v>
      </c>
      <c r="I88" s="16">
        <f>Reference!G326</f>
        <v>14.578</v>
      </c>
      <c r="J88" s="16">
        <f t="shared" si="5"/>
        <v>4.30055555555556</v>
      </c>
      <c r="K88" s="29">
        <f>Reference!H326</f>
        <v>2312640</v>
      </c>
      <c r="L88" s="30">
        <f>Reference!I326</f>
        <v>557608</v>
      </c>
      <c r="N88" s="15">
        <f>Test!B326</f>
        <v>0</v>
      </c>
      <c r="O88" s="16">
        <f>Test!C326</f>
        <v>0</v>
      </c>
      <c r="P88" s="16">
        <f>Test!D326</f>
        <v>0</v>
      </c>
      <c r="Q88" s="16">
        <f>Test!E326</f>
        <v>0</v>
      </c>
      <c r="R88" s="16">
        <f>Test!F326</f>
        <v>0</v>
      </c>
      <c r="S88" s="16">
        <f>Test!G326</f>
        <v>0</v>
      </c>
      <c r="T88" s="16">
        <f t="shared" si="6"/>
        <v>0</v>
      </c>
      <c r="U88" s="29">
        <f>Test!H326</f>
        <v>0</v>
      </c>
      <c r="V88" s="30">
        <f>Test!I326</f>
        <v>0</v>
      </c>
      <c r="W88" s="16">
        <f t="shared" si="7"/>
        <v>0</v>
      </c>
      <c r="X88" s="16">
        <f t="shared" si="8"/>
        <v>0</v>
      </c>
      <c r="Y88" s="16">
        <f t="shared" si="4"/>
        <v>0</v>
      </c>
      <c r="Z88" s="25">
        <f t="shared" si="4"/>
        <v>0</v>
      </c>
      <c r="AA88" s="42"/>
      <c r="AB88" s="43"/>
      <c r="AC88" s="44"/>
      <c r="AD88" s="44"/>
      <c r="AE88" s="43"/>
      <c r="AF88" s="44"/>
      <c r="AG88" s="45"/>
    </row>
    <row r="89" spans="1:33">
      <c r="A89" s="14"/>
      <c r="B89" s="14"/>
      <c r="C89" s="14">
        <v>32</v>
      </c>
      <c r="D89" s="15">
        <f>Reference!B327</f>
        <v>231.728</v>
      </c>
      <c r="E89" s="16">
        <f>Reference!C327</f>
        <v>39.6272</v>
      </c>
      <c r="F89" s="16">
        <f>Reference!D327</f>
        <v>44.7389</v>
      </c>
      <c r="G89" s="16">
        <f>Reference!E327</f>
        <v>45.3238</v>
      </c>
      <c r="H89" s="16">
        <f>Reference!F327</f>
        <v>10832</v>
      </c>
      <c r="I89" s="16">
        <f>Reference!G327</f>
        <v>10.572</v>
      </c>
      <c r="J89" s="16">
        <f t="shared" si="5"/>
        <v>3.00888888888889</v>
      </c>
      <c r="K89" s="29">
        <f>Reference!H327</f>
        <v>2304072</v>
      </c>
      <c r="L89" s="30">
        <f>Reference!I327</f>
        <v>555392</v>
      </c>
      <c r="N89" s="15">
        <f>Test!B327</f>
        <v>0</v>
      </c>
      <c r="O89" s="16">
        <f>Test!C327</f>
        <v>0</v>
      </c>
      <c r="P89" s="16">
        <f>Test!D327</f>
        <v>0</v>
      </c>
      <c r="Q89" s="16">
        <f>Test!E327</f>
        <v>0</v>
      </c>
      <c r="R89" s="16">
        <f>Test!F327</f>
        <v>0</v>
      </c>
      <c r="S89" s="16">
        <f>Test!G327</f>
        <v>0</v>
      </c>
      <c r="T89" s="16">
        <f t="shared" si="6"/>
        <v>0</v>
      </c>
      <c r="U89" s="29">
        <f>Test!H327</f>
        <v>0</v>
      </c>
      <c r="V89" s="30">
        <f>Test!I327</f>
        <v>0</v>
      </c>
      <c r="W89" s="16">
        <f t="shared" si="7"/>
        <v>0</v>
      </c>
      <c r="X89" s="16">
        <f t="shared" si="8"/>
        <v>0</v>
      </c>
      <c r="Y89" s="16">
        <f t="shared" si="4"/>
        <v>0</v>
      </c>
      <c r="Z89" s="25">
        <f t="shared" si="4"/>
        <v>0</v>
      </c>
      <c r="AA89" s="42"/>
      <c r="AB89" s="43"/>
      <c r="AC89" s="44"/>
      <c r="AD89" s="44"/>
      <c r="AE89" s="43"/>
      <c r="AF89" s="44"/>
      <c r="AG89" s="45"/>
    </row>
    <row r="90" ht="12.75" customHeight="1" spans="1:33">
      <c r="A90" s="17"/>
      <c r="B90" s="17"/>
      <c r="C90" s="17">
        <v>37</v>
      </c>
      <c r="D90" s="18">
        <f>Reference!B328</f>
        <v>123.4496</v>
      </c>
      <c r="E90" s="19">
        <f>Reference!C328</f>
        <v>37.2139</v>
      </c>
      <c r="F90" s="19">
        <f>Reference!D328</f>
        <v>43.0396</v>
      </c>
      <c r="G90" s="19">
        <f>Reference!E328</f>
        <v>43.6902</v>
      </c>
      <c r="H90" s="19">
        <f>Reference!F328</f>
        <v>8069</v>
      </c>
      <c r="I90" s="19">
        <f>Reference!G328</f>
        <v>7.287</v>
      </c>
      <c r="J90" s="19">
        <f t="shared" si="5"/>
        <v>2.24138888888889</v>
      </c>
      <c r="K90" s="29">
        <f>Reference!H328</f>
        <v>2300224</v>
      </c>
      <c r="L90" s="30">
        <f>Reference!I328</f>
        <v>549908</v>
      </c>
      <c r="N90" s="18">
        <f>Test!B328</f>
        <v>0</v>
      </c>
      <c r="O90" s="19">
        <f>Test!C328</f>
        <v>0</v>
      </c>
      <c r="P90" s="19">
        <f>Test!D328</f>
        <v>0</v>
      </c>
      <c r="Q90" s="19">
        <f>Test!E328</f>
        <v>0</v>
      </c>
      <c r="R90" s="19">
        <f>Test!F328</f>
        <v>0</v>
      </c>
      <c r="S90" s="19">
        <f>Test!G328</f>
        <v>0</v>
      </c>
      <c r="T90" s="19">
        <f t="shared" si="6"/>
        <v>0</v>
      </c>
      <c r="U90" s="31">
        <f>Test!H328</f>
        <v>0</v>
      </c>
      <c r="V90" s="32">
        <f>Test!I328</f>
        <v>0</v>
      </c>
      <c r="W90" s="16">
        <f t="shared" si="7"/>
        <v>0</v>
      </c>
      <c r="X90" s="16">
        <f t="shared" si="8"/>
        <v>0</v>
      </c>
      <c r="Y90" s="16">
        <f t="shared" si="4"/>
        <v>0</v>
      </c>
      <c r="Z90" s="25">
        <f t="shared" si="4"/>
        <v>0</v>
      </c>
      <c r="AA90" s="42"/>
      <c r="AB90" s="46"/>
      <c r="AC90" s="47"/>
      <c r="AD90" s="47"/>
      <c r="AE90" s="46"/>
      <c r="AF90" s="47"/>
      <c r="AG90" s="48"/>
    </row>
    <row r="91" spans="1:33">
      <c r="A91" s="11" t="s">
        <v>28</v>
      </c>
      <c r="B91" s="11" t="s">
        <v>91</v>
      </c>
      <c r="C91" s="11">
        <v>22</v>
      </c>
      <c r="D91" s="12">
        <f>Reference!B329</f>
        <v>2211.1968</v>
      </c>
      <c r="E91" s="13">
        <f>Reference!C329</f>
        <v>41.6283</v>
      </c>
      <c r="F91" s="13">
        <f>Reference!D329</f>
        <v>43.8266</v>
      </c>
      <c r="G91" s="13">
        <f>Reference!E329</f>
        <v>44.759</v>
      </c>
      <c r="H91" s="13">
        <f>Reference!F329</f>
        <v>30455</v>
      </c>
      <c r="I91" s="13">
        <f>Reference!G329</f>
        <v>15.08</v>
      </c>
      <c r="J91" s="13">
        <f t="shared" ref="J91:J122" si="9">H91/3600</f>
        <v>8.45972222222222</v>
      </c>
      <c r="K91" s="27">
        <f>Reference!H329</f>
        <v>1702104</v>
      </c>
      <c r="L91" s="28">
        <f>Reference!I329</f>
        <v>479640</v>
      </c>
      <c r="N91" s="12">
        <f>Test!B329</f>
        <v>0</v>
      </c>
      <c r="O91" s="13">
        <f>Test!C329</f>
        <v>0</v>
      </c>
      <c r="P91" s="13">
        <f>Test!D329</f>
        <v>0</v>
      </c>
      <c r="Q91" s="13">
        <f>Test!E329</f>
        <v>0</v>
      </c>
      <c r="R91" s="13">
        <f>Test!F329</f>
        <v>0</v>
      </c>
      <c r="S91" s="13">
        <f>Test!G329</f>
        <v>0</v>
      </c>
      <c r="T91" s="13">
        <f t="shared" ref="T91:T122" si="10">R91/3600</f>
        <v>0</v>
      </c>
      <c r="U91" s="27">
        <f>Test!H329</f>
        <v>0</v>
      </c>
      <c r="V91" s="28">
        <f>Test!I329</f>
        <v>0</v>
      </c>
      <c r="W91" s="13">
        <f t="shared" ref="W91:W122" si="11">R91/H91</f>
        <v>0</v>
      </c>
      <c r="X91" s="13">
        <f t="shared" ref="X91:X122" si="12">S91/I91</f>
        <v>0</v>
      </c>
      <c r="Y91" s="13">
        <f t="shared" si="4"/>
        <v>0</v>
      </c>
      <c r="Z91" s="24">
        <f t="shared" si="4"/>
        <v>0</v>
      </c>
      <c r="AA91" s="38"/>
      <c r="AB91" s="39" t="e">
        <f>bdrate($D91:$D94,E91:E94,$N91:$N94,O91:O94)</f>
        <v>#VALUE!</v>
      </c>
      <c r="AC91" s="40" t="e">
        <f>bdrate($D91:$D94,F91:F94,$N91:$N94,P91:P94)</f>
        <v>#VALUE!</v>
      </c>
      <c r="AD91" s="41" t="e">
        <f>bdrate($D91:$D94,G91:G94,$N91:$N94,Q91:Q94)</f>
        <v>#VALUE!</v>
      </c>
      <c r="AE91" s="39" t="e">
        <f>bdrateOld($D91:$D94,E91:E94,$N91:$N94,O91:O94)</f>
        <v>#VALUE!</v>
      </c>
      <c r="AF91" s="40" t="e">
        <f>bdrateOld($D91:$D94,F91:F94,$N91:$N94,P91:P94)</f>
        <v>#VALUE!</v>
      </c>
      <c r="AG91" s="41" t="e">
        <f>bdrateOld($D91:$D94,G91:G94,$N91:$N94,Q91:Q94)</f>
        <v>#VALUE!</v>
      </c>
    </row>
    <row r="92" spans="1:33">
      <c r="A92" s="14"/>
      <c r="C92" s="14">
        <v>27</v>
      </c>
      <c r="D92" s="15">
        <f>Reference!B330</f>
        <v>984.2512</v>
      </c>
      <c r="E92" s="16">
        <f>Reference!C330</f>
        <v>38.3657</v>
      </c>
      <c r="F92" s="16">
        <f>Reference!D330</f>
        <v>41.2077</v>
      </c>
      <c r="G92" s="16">
        <f>Reference!E330</f>
        <v>41.6644</v>
      </c>
      <c r="H92" s="16">
        <f>Reference!F330</f>
        <v>16312</v>
      </c>
      <c r="I92" s="16">
        <f>Reference!G330</f>
        <v>10.374</v>
      </c>
      <c r="J92" s="16">
        <f t="shared" si="9"/>
        <v>4.53111111111111</v>
      </c>
      <c r="K92" s="29">
        <f>Reference!H330</f>
        <v>1697956</v>
      </c>
      <c r="L92" s="30">
        <f>Reference!I330</f>
        <v>468036</v>
      </c>
      <c r="N92" s="15">
        <f>Test!B330</f>
        <v>0</v>
      </c>
      <c r="O92" s="16">
        <f>Test!C330</f>
        <v>0</v>
      </c>
      <c r="P92" s="16">
        <f>Test!D330</f>
        <v>0</v>
      </c>
      <c r="Q92" s="16">
        <f>Test!E330</f>
        <v>0</v>
      </c>
      <c r="R92" s="16">
        <f>Test!F330</f>
        <v>0</v>
      </c>
      <c r="S92" s="16">
        <f>Test!G330</f>
        <v>0</v>
      </c>
      <c r="T92" s="16">
        <f t="shared" si="10"/>
        <v>0</v>
      </c>
      <c r="U92" s="29">
        <f>Test!H330</f>
        <v>0</v>
      </c>
      <c r="V92" s="30">
        <f>Test!I330</f>
        <v>0</v>
      </c>
      <c r="W92" s="16">
        <f t="shared" si="11"/>
        <v>0</v>
      </c>
      <c r="X92" s="16">
        <f t="shared" si="12"/>
        <v>0</v>
      </c>
      <c r="Y92" s="16">
        <f t="shared" ref="Y92:Z122" si="13">U92/K92</f>
        <v>0</v>
      </c>
      <c r="Z92" s="25">
        <f t="shared" si="13"/>
        <v>0</v>
      </c>
      <c r="AA92" s="42"/>
      <c r="AB92" s="43"/>
      <c r="AC92" s="44"/>
      <c r="AD92" s="45"/>
      <c r="AE92" s="43"/>
      <c r="AF92" s="44"/>
      <c r="AG92" s="45"/>
    </row>
    <row r="93" spans="1:33">
      <c r="A93" s="14"/>
      <c r="B93" s="14"/>
      <c r="C93" s="14">
        <v>32</v>
      </c>
      <c r="D93" s="15">
        <f>Reference!B331</f>
        <v>494.2512</v>
      </c>
      <c r="E93" s="16">
        <f>Reference!C331</f>
        <v>35.3281</v>
      </c>
      <c r="F93" s="16">
        <f>Reference!D331</f>
        <v>39.2275</v>
      </c>
      <c r="G93" s="16">
        <f>Reference!E331</f>
        <v>39.4944</v>
      </c>
      <c r="H93" s="16">
        <f>Reference!F331</f>
        <v>15037</v>
      </c>
      <c r="I93" s="16">
        <f>Reference!G331</f>
        <v>10.731</v>
      </c>
      <c r="J93" s="16">
        <f t="shared" si="9"/>
        <v>4.17694444444444</v>
      </c>
      <c r="K93" s="29">
        <f>Reference!H331</f>
        <v>1693984</v>
      </c>
      <c r="L93" s="30">
        <f>Reference!I331</f>
        <v>461572</v>
      </c>
      <c r="N93" s="15">
        <f>Test!B331</f>
        <v>0</v>
      </c>
      <c r="O93" s="16">
        <f>Test!C331</f>
        <v>0</v>
      </c>
      <c r="P93" s="16">
        <f>Test!D331</f>
        <v>0</v>
      </c>
      <c r="Q93" s="16">
        <f>Test!E331</f>
        <v>0</v>
      </c>
      <c r="R93" s="16">
        <f>Test!F331</f>
        <v>0</v>
      </c>
      <c r="S93" s="16">
        <f>Test!G331</f>
        <v>0</v>
      </c>
      <c r="T93" s="16">
        <f t="shared" si="10"/>
        <v>0</v>
      </c>
      <c r="U93" s="29">
        <f>Test!H331</f>
        <v>0</v>
      </c>
      <c r="V93" s="30">
        <f>Test!I331</f>
        <v>0</v>
      </c>
      <c r="W93" s="16">
        <f t="shared" si="11"/>
        <v>0</v>
      </c>
      <c r="X93" s="16">
        <f t="shared" si="12"/>
        <v>0</v>
      </c>
      <c r="Y93" s="16">
        <f t="shared" si="13"/>
        <v>0</v>
      </c>
      <c r="Z93" s="25">
        <f t="shared" si="13"/>
        <v>0</v>
      </c>
      <c r="AA93" s="42"/>
      <c r="AB93" s="43"/>
      <c r="AC93" s="44"/>
      <c r="AD93" s="45"/>
      <c r="AE93" s="43"/>
      <c r="AF93" s="44"/>
      <c r="AG93" s="45"/>
    </row>
    <row r="94" ht="12.75" customHeight="1" spans="1:33">
      <c r="A94" s="14"/>
      <c r="B94" s="17"/>
      <c r="C94" s="17">
        <v>37</v>
      </c>
      <c r="D94" s="18">
        <f>Reference!B332</f>
        <v>260.1888</v>
      </c>
      <c r="E94" s="19">
        <f>Reference!C332</f>
        <v>32.6573</v>
      </c>
      <c r="F94" s="19">
        <f>Reference!D332</f>
        <v>37.3276</v>
      </c>
      <c r="G94" s="19">
        <f>Reference!E332</f>
        <v>37.2761</v>
      </c>
      <c r="H94" s="19">
        <f>Reference!F332</f>
        <v>7938</v>
      </c>
      <c r="I94" s="19">
        <f>Reference!G332</f>
        <v>6.864</v>
      </c>
      <c r="J94" s="19">
        <f t="shared" si="9"/>
        <v>2.205</v>
      </c>
      <c r="K94" s="29">
        <f>Reference!H332</f>
        <v>1695024</v>
      </c>
      <c r="L94" s="30">
        <f>Reference!I332</f>
        <v>459156</v>
      </c>
      <c r="N94" s="18">
        <f>Test!B332</f>
        <v>0</v>
      </c>
      <c r="O94" s="19">
        <f>Test!C332</f>
        <v>0</v>
      </c>
      <c r="P94" s="19">
        <f>Test!D332</f>
        <v>0</v>
      </c>
      <c r="Q94" s="19">
        <f>Test!E332</f>
        <v>0</v>
      </c>
      <c r="R94" s="19">
        <f>Test!F332</f>
        <v>0</v>
      </c>
      <c r="S94" s="19">
        <f>Test!G332</f>
        <v>0</v>
      </c>
      <c r="T94" s="19">
        <f t="shared" si="10"/>
        <v>0</v>
      </c>
      <c r="U94" s="31">
        <f>Test!H332</f>
        <v>0</v>
      </c>
      <c r="V94" s="32">
        <f>Test!I332</f>
        <v>0</v>
      </c>
      <c r="W94" s="16">
        <f t="shared" si="11"/>
        <v>0</v>
      </c>
      <c r="X94" s="16">
        <f t="shared" si="12"/>
        <v>0</v>
      </c>
      <c r="Y94" s="16">
        <f t="shared" si="13"/>
        <v>0</v>
      </c>
      <c r="Z94" s="25">
        <f t="shared" si="13"/>
        <v>0</v>
      </c>
      <c r="AA94" s="42"/>
      <c r="AB94" s="46"/>
      <c r="AC94" s="47"/>
      <c r="AD94" s="48"/>
      <c r="AE94" s="46"/>
      <c r="AF94" s="47"/>
      <c r="AG94" s="48"/>
    </row>
    <row r="95" spans="1:33">
      <c r="A95" s="14"/>
      <c r="B95" s="11" t="s">
        <v>116</v>
      </c>
      <c r="C95" s="11">
        <v>22</v>
      </c>
      <c r="D95" s="12">
        <f>Reference!B333</f>
        <v>12353.5888</v>
      </c>
      <c r="E95" s="13">
        <f>Reference!C333</f>
        <v>43.111</v>
      </c>
      <c r="F95" s="13">
        <f>Reference!D333</f>
        <v>44.304</v>
      </c>
      <c r="G95" s="13">
        <f>Reference!E333</f>
        <v>44.7548</v>
      </c>
      <c r="H95" s="13">
        <f>Reference!F333</f>
        <v>99683</v>
      </c>
      <c r="I95" s="13">
        <f>Reference!G333</f>
        <v>67.234</v>
      </c>
      <c r="J95" s="13">
        <f t="shared" si="9"/>
        <v>27.6897222222222</v>
      </c>
      <c r="K95" s="27">
        <f>Reference!H333</f>
        <v>4105320</v>
      </c>
      <c r="L95" s="28">
        <f>Reference!I333</f>
        <v>874076</v>
      </c>
      <c r="N95" s="12">
        <f>Test!B333</f>
        <v>0</v>
      </c>
      <c r="O95" s="13">
        <f>Test!C333</f>
        <v>0</v>
      </c>
      <c r="P95" s="13">
        <f>Test!D333</f>
        <v>0</v>
      </c>
      <c r="Q95" s="13">
        <f>Test!E333</f>
        <v>0</v>
      </c>
      <c r="R95" s="13">
        <f>Test!F333</f>
        <v>0</v>
      </c>
      <c r="S95" s="13">
        <f>Test!G333</f>
        <v>0</v>
      </c>
      <c r="T95" s="13">
        <f t="shared" si="10"/>
        <v>0</v>
      </c>
      <c r="U95" s="27">
        <f>Test!H333</f>
        <v>0</v>
      </c>
      <c r="V95" s="28">
        <f>Test!I333</f>
        <v>0</v>
      </c>
      <c r="W95" s="16">
        <f t="shared" si="11"/>
        <v>0</v>
      </c>
      <c r="X95" s="16">
        <f t="shared" si="12"/>
        <v>0</v>
      </c>
      <c r="Y95" s="16">
        <f t="shared" si="13"/>
        <v>0</v>
      </c>
      <c r="Z95" s="25">
        <f t="shared" si="13"/>
        <v>0</v>
      </c>
      <c r="AA95" s="42"/>
      <c r="AB95" s="39" t="e">
        <f>bdrate($D95:$D98,E95:E98,$N95:$N98,O95:O98)</f>
        <v>#VALUE!</v>
      </c>
      <c r="AC95" s="40" t="e">
        <f>bdrate($D95:$D98,F95:F98,$N95:$N98,P95:P98)</f>
        <v>#VALUE!</v>
      </c>
      <c r="AD95" s="40" t="e">
        <f>bdrate($D95:$D98,G95:G98,$N95:$N98,Q95:Q98)</f>
        <v>#VALUE!</v>
      </c>
      <c r="AE95" s="49" t="e">
        <f>bdrateOld($D95:$D98,E95:E98,$N95:$N98,O95:O98)</f>
        <v>#VALUE!</v>
      </c>
      <c r="AF95" s="50" t="e">
        <f>bdrateOld($D95:$D98,F95:F98,$N95:$N98,P95:P98)</f>
        <v>#VALUE!</v>
      </c>
      <c r="AG95" s="52" t="e">
        <f>bdrateOld($D95:$D98,G95:G98,$N95:$N98,Q95:Q98)</f>
        <v>#VALUE!</v>
      </c>
    </row>
    <row r="96" spans="1:33">
      <c r="A96" s="14"/>
      <c r="B96" s="14"/>
      <c r="C96" s="14">
        <v>27</v>
      </c>
      <c r="D96" s="15">
        <f>Reference!B334</f>
        <v>4757.2576</v>
      </c>
      <c r="E96" s="16">
        <f>Reference!C334</f>
        <v>39.4908</v>
      </c>
      <c r="F96" s="16">
        <f>Reference!D334</f>
        <v>41.2915</v>
      </c>
      <c r="G96" s="16">
        <f>Reference!E334</f>
        <v>41.5179</v>
      </c>
      <c r="H96" s="16">
        <f>Reference!F334</f>
        <v>64108</v>
      </c>
      <c r="I96" s="16">
        <f>Reference!G334</f>
        <v>49.366</v>
      </c>
      <c r="J96" s="16">
        <f t="shared" si="9"/>
        <v>17.8077777777778</v>
      </c>
      <c r="K96" s="29">
        <f>Reference!H334</f>
        <v>4036732</v>
      </c>
      <c r="L96" s="30">
        <f>Reference!I334</f>
        <v>863568</v>
      </c>
      <c r="N96" s="15">
        <f>Test!B334</f>
        <v>0</v>
      </c>
      <c r="O96" s="16">
        <f>Test!C334</f>
        <v>0</v>
      </c>
      <c r="P96" s="16">
        <f>Test!D334</f>
        <v>0</v>
      </c>
      <c r="Q96" s="16">
        <f>Test!E334</f>
        <v>0</v>
      </c>
      <c r="R96" s="16">
        <f>Test!F334</f>
        <v>0</v>
      </c>
      <c r="S96" s="16">
        <f>Test!G334</f>
        <v>0</v>
      </c>
      <c r="T96" s="16">
        <f t="shared" si="10"/>
        <v>0</v>
      </c>
      <c r="U96" s="29">
        <f>Test!H334</f>
        <v>0</v>
      </c>
      <c r="V96" s="30">
        <f>Test!I334</f>
        <v>0</v>
      </c>
      <c r="W96" s="16">
        <f t="shared" si="11"/>
        <v>0</v>
      </c>
      <c r="X96" s="16">
        <f t="shared" si="12"/>
        <v>0</v>
      </c>
      <c r="Y96" s="16">
        <f t="shared" si="13"/>
        <v>0</v>
      </c>
      <c r="Z96" s="25">
        <f t="shared" si="13"/>
        <v>0</v>
      </c>
      <c r="AA96" s="42"/>
      <c r="AB96" s="43"/>
      <c r="AC96" s="44"/>
      <c r="AD96" s="44"/>
      <c r="AE96" s="43"/>
      <c r="AF96" s="44"/>
      <c r="AG96" s="45"/>
    </row>
    <row r="97" spans="1:33">
      <c r="A97" s="14"/>
      <c r="B97" s="14"/>
      <c r="C97" s="14">
        <v>32</v>
      </c>
      <c r="D97" s="15">
        <f>Reference!B335</f>
        <v>2076.3536</v>
      </c>
      <c r="E97" s="16">
        <f>Reference!C335</f>
        <v>36.4095</v>
      </c>
      <c r="F97" s="16">
        <f>Reference!D335</f>
        <v>39.1804</v>
      </c>
      <c r="G97" s="16">
        <f>Reference!E335</f>
        <v>39.2841</v>
      </c>
      <c r="H97" s="16">
        <f>Reference!F335</f>
        <v>47110</v>
      </c>
      <c r="I97" s="16">
        <f>Reference!G335</f>
        <v>37.584</v>
      </c>
      <c r="J97" s="16">
        <f t="shared" si="9"/>
        <v>13.0861111111111</v>
      </c>
      <c r="K97" s="29">
        <f>Reference!H335</f>
        <v>4041956</v>
      </c>
      <c r="L97" s="30">
        <f>Reference!I335</f>
        <v>832560</v>
      </c>
      <c r="N97" s="15">
        <f>Test!B335</f>
        <v>0</v>
      </c>
      <c r="O97" s="16">
        <f>Test!C335</f>
        <v>0</v>
      </c>
      <c r="P97" s="16">
        <f>Test!D335</f>
        <v>0</v>
      </c>
      <c r="Q97" s="16">
        <f>Test!E335</f>
        <v>0</v>
      </c>
      <c r="R97" s="16">
        <f>Test!F335</f>
        <v>0</v>
      </c>
      <c r="S97" s="16">
        <f>Test!G335</f>
        <v>0</v>
      </c>
      <c r="T97" s="16">
        <f t="shared" si="10"/>
        <v>0</v>
      </c>
      <c r="U97" s="29">
        <f>Test!H335</f>
        <v>0</v>
      </c>
      <c r="V97" s="30">
        <f>Test!I335</f>
        <v>0</v>
      </c>
      <c r="W97" s="16">
        <f t="shared" si="11"/>
        <v>0</v>
      </c>
      <c r="X97" s="16">
        <f t="shared" si="12"/>
        <v>0</v>
      </c>
      <c r="Y97" s="16">
        <f t="shared" si="13"/>
        <v>0</v>
      </c>
      <c r="Z97" s="25">
        <f t="shared" si="13"/>
        <v>0</v>
      </c>
      <c r="AA97" s="42"/>
      <c r="AB97" s="43"/>
      <c r="AC97" s="44"/>
      <c r="AD97" s="44"/>
      <c r="AE97" s="43"/>
      <c r="AF97" s="44"/>
      <c r="AG97" s="45"/>
    </row>
    <row r="98" ht="12.75" customHeight="1" spans="1:33">
      <c r="A98" s="14"/>
      <c r="B98" s="17"/>
      <c r="C98" s="17">
        <v>37</v>
      </c>
      <c r="D98" s="18">
        <f>Reference!B336</f>
        <v>1002.0048</v>
      </c>
      <c r="E98" s="19">
        <f>Reference!C336</f>
        <v>33.7106</v>
      </c>
      <c r="F98" s="19">
        <f>Reference!D336</f>
        <v>37.4106</v>
      </c>
      <c r="G98" s="19">
        <f>Reference!E336</f>
        <v>37.3695</v>
      </c>
      <c r="H98" s="19">
        <f>Reference!F336</f>
        <v>32254</v>
      </c>
      <c r="I98" s="19">
        <f>Reference!G336</f>
        <v>24.876</v>
      </c>
      <c r="J98" s="19">
        <f t="shared" si="9"/>
        <v>8.95944444444445</v>
      </c>
      <c r="K98" s="29">
        <f>Reference!H336</f>
        <v>4010456</v>
      </c>
      <c r="L98" s="30">
        <f>Reference!I336</f>
        <v>782564</v>
      </c>
      <c r="N98" s="18">
        <f>Test!B336</f>
        <v>0</v>
      </c>
      <c r="O98" s="19">
        <f>Test!C336</f>
        <v>0</v>
      </c>
      <c r="P98" s="19">
        <f>Test!D336</f>
        <v>0</v>
      </c>
      <c r="Q98" s="19">
        <f>Test!E336</f>
        <v>0</v>
      </c>
      <c r="R98" s="19">
        <f>Test!F336</f>
        <v>0</v>
      </c>
      <c r="S98" s="19">
        <f>Test!G336</f>
        <v>0</v>
      </c>
      <c r="T98" s="19">
        <f t="shared" si="10"/>
        <v>0</v>
      </c>
      <c r="U98" s="31">
        <f>Test!H336</f>
        <v>0</v>
      </c>
      <c r="V98" s="32">
        <f>Test!I336</f>
        <v>0</v>
      </c>
      <c r="W98" s="16">
        <f t="shared" si="11"/>
        <v>0</v>
      </c>
      <c r="X98" s="16">
        <f t="shared" si="12"/>
        <v>0</v>
      </c>
      <c r="Y98" s="16">
        <f t="shared" si="13"/>
        <v>0</v>
      </c>
      <c r="Z98" s="25">
        <f t="shared" si="13"/>
        <v>0</v>
      </c>
      <c r="AA98" s="42"/>
      <c r="AB98" s="46"/>
      <c r="AC98" s="47"/>
      <c r="AD98" s="47"/>
      <c r="AE98" s="46"/>
      <c r="AF98" s="47"/>
      <c r="AG98" s="48"/>
    </row>
    <row r="99" spans="1:33">
      <c r="A99" s="14"/>
      <c r="B99" s="11" t="s">
        <v>93</v>
      </c>
      <c r="C99" s="11">
        <v>22</v>
      </c>
      <c r="D99" s="12">
        <f>Reference!B337</f>
        <v>178.7248</v>
      </c>
      <c r="E99" s="13">
        <f>Reference!C337</f>
        <v>49.05</v>
      </c>
      <c r="F99" s="13">
        <f>Reference!D337</f>
        <v>48.1418</v>
      </c>
      <c r="G99" s="13">
        <f>Reference!E337</f>
        <v>48.3293</v>
      </c>
      <c r="H99" s="13">
        <f>Reference!F337</f>
        <v>4115</v>
      </c>
      <c r="I99" s="13">
        <f>Reference!G337</f>
        <v>1.771</v>
      </c>
      <c r="J99" s="13">
        <f t="shared" si="9"/>
        <v>1.14305555555556</v>
      </c>
      <c r="K99" s="27">
        <f>Reference!H337</f>
        <v>3387504</v>
      </c>
      <c r="L99" s="28">
        <f>Reference!I337</f>
        <v>528508</v>
      </c>
      <c r="N99" s="12">
        <f>Test!B337</f>
        <v>0</v>
      </c>
      <c r="O99" s="13">
        <f>Test!C337</f>
        <v>0</v>
      </c>
      <c r="P99" s="13">
        <f>Test!D337</f>
        <v>0</v>
      </c>
      <c r="Q99" s="13">
        <f>Test!E337</f>
        <v>0</v>
      </c>
      <c r="R99" s="13">
        <f>Test!F337</f>
        <v>0</v>
      </c>
      <c r="S99" s="13">
        <f>Test!G337</f>
        <v>0</v>
      </c>
      <c r="T99" s="13">
        <f t="shared" si="10"/>
        <v>0</v>
      </c>
      <c r="U99" s="27">
        <f>Test!H337</f>
        <v>0</v>
      </c>
      <c r="V99" s="28">
        <f>Test!I337</f>
        <v>0</v>
      </c>
      <c r="W99" s="16">
        <f t="shared" si="11"/>
        <v>0</v>
      </c>
      <c r="X99" s="16">
        <f t="shared" si="12"/>
        <v>0</v>
      </c>
      <c r="Y99" s="16">
        <f t="shared" si="13"/>
        <v>0</v>
      </c>
      <c r="Z99" s="25">
        <f t="shared" si="13"/>
        <v>0</v>
      </c>
      <c r="AA99" s="42"/>
      <c r="AB99" s="39" t="e">
        <f>bdrate($D99:$D102,E99:E102,$N99:$N102,O99:O102)</f>
        <v>#VALUE!</v>
      </c>
      <c r="AC99" s="40" t="e">
        <f>bdrate($D99:$D102,F99:F102,$N99:$N102,P99:P102)</f>
        <v>#VALUE!</v>
      </c>
      <c r="AD99" s="40" t="e">
        <f>bdrate($D99:$D102,G99:G102,$N99:$N102,Q99:Q102)</f>
        <v>#VALUE!</v>
      </c>
      <c r="AE99" s="49" t="e">
        <f>bdrateOld($D99:$D102,E99:E102,$N99:$N102,O99:O102)</f>
        <v>#VALUE!</v>
      </c>
      <c r="AF99" s="50" t="e">
        <f>bdrateOld($D99:$D102,F99:F102,$N99:$N102,P99:P102)</f>
        <v>#VALUE!</v>
      </c>
      <c r="AG99" s="52" t="e">
        <f>bdrateOld($D99:$D102,G99:G102,$N99:$N102,Q99:Q102)</f>
        <v>#VALUE!</v>
      </c>
    </row>
    <row r="100" spans="1:33">
      <c r="A100" s="14"/>
      <c r="B100" s="14"/>
      <c r="C100" s="14">
        <v>27</v>
      </c>
      <c r="D100" s="15">
        <f>Reference!B338</f>
        <v>135.4304</v>
      </c>
      <c r="E100" s="16">
        <f>Reference!C338</f>
        <v>45.1226</v>
      </c>
      <c r="F100" s="16">
        <f>Reference!D338</f>
        <v>45.7493</v>
      </c>
      <c r="G100" s="16">
        <f>Reference!E338</f>
        <v>45.3779</v>
      </c>
      <c r="H100" s="16">
        <f>Reference!F338</f>
        <v>3752</v>
      </c>
      <c r="I100" s="16">
        <f>Reference!G338</f>
        <v>1.536</v>
      </c>
      <c r="J100" s="16">
        <f t="shared" si="9"/>
        <v>1.04222222222222</v>
      </c>
      <c r="K100" s="29">
        <f>Reference!H338</f>
        <v>3382816</v>
      </c>
      <c r="L100" s="30">
        <f>Reference!I338</f>
        <v>523708</v>
      </c>
      <c r="N100" s="15">
        <f>Test!B338</f>
        <v>0</v>
      </c>
      <c r="O100" s="16">
        <f>Test!C338</f>
        <v>0</v>
      </c>
      <c r="P100" s="16">
        <f>Test!D338</f>
        <v>0</v>
      </c>
      <c r="Q100" s="16">
        <f>Test!E338</f>
        <v>0</v>
      </c>
      <c r="R100" s="16">
        <f>Test!F338</f>
        <v>0</v>
      </c>
      <c r="S100" s="16">
        <f>Test!G338</f>
        <v>0</v>
      </c>
      <c r="T100" s="16">
        <f t="shared" si="10"/>
        <v>0</v>
      </c>
      <c r="U100" s="29">
        <f>Test!H338</f>
        <v>0</v>
      </c>
      <c r="V100" s="30">
        <f>Test!I338</f>
        <v>0</v>
      </c>
      <c r="W100" s="16">
        <f t="shared" si="11"/>
        <v>0</v>
      </c>
      <c r="X100" s="16">
        <f t="shared" si="12"/>
        <v>0</v>
      </c>
      <c r="Y100" s="16">
        <f t="shared" si="13"/>
        <v>0</v>
      </c>
      <c r="Z100" s="25">
        <f t="shared" si="13"/>
        <v>0</v>
      </c>
      <c r="AA100" s="42"/>
      <c r="AB100" s="43"/>
      <c r="AC100" s="44"/>
      <c r="AD100" s="44"/>
      <c r="AE100" s="43"/>
      <c r="AF100" s="44"/>
      <c r="AG100" s="45"/>
    </row>
    <row r="101" spans="1:33">
      <c r="A101" s="14"/>
      <c r="B101" s="14"/>
      <c r="C101" s="14">
        <v>32</v>
      </c>
      <c r="D101" s="15">
        <f>Reference!B339</f>
        <v>106.7952</v>
      </c>
      <c r="E101" s="16">
        <f>Reference!C339</f>
        <v>40.7888</v>
      </c>
      <c r="F101" s="16">
        <f>Reference!D339</f>
        <v>43.3716</v>
      </c>
      <c r="G101" s="16">
        <f>Reference!E339</f>
        <v>42.9367</v>
      </c>
      <c r="H101" s="16">
        <f>Reference!F339</f>
        <v>3732</v>
      </c>
      <c r="I101" s="16">
        <f>Reference!G339</f>
        <v>1.574</v>
      </c>
      <c r="J101" s="16">
        <f t="shared" si="9"/>
        <v>1.03666666666667</v>
      </c>
      <c r="K101" s="29">
        <f>Reference!H339</f>
        <v>3401768</v>
      </c>
      <c r="L101" s="30">
        <f>Reference!I339</f>
        <v>522508</v>
      </c>
      <c r="N101" s="15">
        <f>Test!B339</f>
        <v>0</v>
      </c>
      <c r="O101" s="16">
        <f>Test!C339</f>
        <v>0</v>
      </c>
      <c r="P101" s="16">
        <f>Test!D339</f>
        <v>0</v>
      </c>
      <c r="Q101" s="16">
        <f>Test!E339</f>
        <v>0</v>
      </c>
      <c r="R101" s="16">
        <f>Test!F339</f>
        <v>0</v>
      </c>
      <c r="S101" s="16">
        <f>Test!G339</f>
        <v>0</v>
      </c>
      <c r="T101" s="16">
        <f t="shared" si="10"/>
        <v>0</v>
      </c>
      <c r="U101" s="29">
        <f>Test!H339</f>
        <v>0</v>
      </c>
      <c r="V101" s="30">
        <f>Test!I339</f>
        <v>0</v>
      </c>
      <c r="W101" s="16">
        <f t="shared" si="11"/>
        <v>0</v>
      </c>
      <c r="X101" s="16">
        <f t="shared" si="12"/>
        <v>0</v>
      </c>
      <c r="Y101" s="16">
        <f t="shared" si="13"/>
        <v>0</v>
      </c>
      <c r="Z101" s="25">
        <f t="shared" si="13"/>
        <v>0</v>
      </c>
      <c r="AA101" s="42"/>
      <c r="AB101" s="43"/>
      <c r="AC101" s="44"/>
      <c r="AD101" s="44"/>
      <c r="AE101" s="43"/>
      <c r="AF101" s="44"/>
      <c r="AG101" s="45"/>
    </row>
    <row r="102" ht="12.75" customHeight="1" spans="1:33">
      <c r="A102" s="14"/>
      <c r="B102" s="17"/>
      <c r="C102" s="17">
        <v>37</v>
      </c>
      <c r="D102" s="18">
        <f>Reference!B340</f>
        <v>82.6112</v>
      </c>
      <c r="E102" s="19">
        <f>Reference!C340</f>
        <v>35.981</v>
      </c>
      <c r="F102" s="19">
        <f>Reference!D340</f>
        <v>40.8455</v>
      </c>
      <c r="G102" s="19">
        <f>Reference!E340</f>
        <v>40.5341</v>
      </c>
      <c r="H102" s="19">
        <f>Reference!F340</f>
        <v>3592</v>
      </c>
      <c r="I102" s="19">
        <f>Reference!G340</f>
        <v>1.703</v>
      </c>
      <c r="J102" s="19">
        <f t="shared" si="9"/>
        <v>0.997777777777778</v>
      </c>
      <c r="K102" s="29">
        <f>Reference!H340</f>
        <v>3395148</v>
      </c>
      <c r="L102" s="30">
        <f>Reference!I340</f>
        <v>533400</v>
      </c>
      <c r="N102" s="18">
        <f>Test!B340</f>
        <v>0</v>
      </c>
      <c r="O102" s="19">
        <f>Test!C340</f>
        <v>0</v>
      </c>
      <c r="P102" s="19">
        <f>Test!D340</f>
        <v>0</v>
      </c>
      <c r="Q102" s="19">
        <f>Test!E340</f>
        <v>0</v>
      </c>
      <c r="R102" s="19">
        <f>Test!F340</f>
        <v>0</v>
      </c>
      <c r="S102" s="19">
        <f>Test!G340</f>
        <v>0</v>
      </c>
      <c r="T102" s="19">
        <f t="shared" si="10"/>
        <v>0</v>
      </c>
      <c r="U102" s="31">
        <f>Test!H340</f>
        <v>0</v>
      </c>
      <c r="V102" s="32">
        <f>Test!I340</f>
        <v>0</v>
      </c>
      <c r="W102" s="16">
        <f t="shared" si="11"/>
        <v>0</v>
      </c>
      <c r="X102" s="16">
        <f t="shared" si="12"/>
        <v>0</v>
      </c>
      <c r="Y102" s="16">
        <f t="shared" si="13"/>
        <v>0</v>
      </c>
      <c r="Z102" s="25">
        <f t="shared" si="13"/>
        <v>0</v>
      </c>
      <c r="AA102" s="42"/>
      <c r="AB102" s="46"/>
      <c r="AC102" s="47"/>
      <c r="AD102" s="47"/>
      <c r="AE102" s="46"/>
      <c r="AF102" s="47"/>
      <c r="AG102" s="48"/>
    </row>
    <row r="103" spans="1:33">
      <c r="A103" s="14"/>
      <c r="B103" s="11" t="s">
        <v>94</v>
      </c>
      <c r="C103" s="11">
        <v>22</v>
      </c>
      <c r="D103" s="12">
        <f>Reference!B341</f>
        <v>395.2848</v>
      </c>
      <c r="E103" s="13">
        <f>Reference!C341</f>
        <v>50.329</v>
      </c>
      <c r="F103" s="13">
        <f>Reference!D341</f>
        <v>52.4347</v>
      </c>
      <c r="G103" s="13">
        <f>Reference!E341</f>
        <v>54.3269</v>
      </c>
      <c r="H103" s="13">
        <f>Reference!F341</f>
        <v>5733</v>
      </c>
      <c r="I103" s="13">
        <f>Reference!G341</f>
        <v>5.281</v>
      </c>
      <c r="J103" s="13">
        <f t="shared" si="9"/>
        <v>1.5925</v>
      </c>
      <c r="K103" s="27">
        <f>Reference!H341</f>
        <v>3192292</v>
      </c>
      <c r="L103" s="28">
        <f>Reference!I341</f>
        <v>520008</v>
      </c>
      <c r="N103" s="12">
        <f>Test!B341</f>
        <v>0</v>
      </c>
      <c r="O103" s="13">
        <f>Test!C341</f>
        <v>0</v>
      </c>
      <c r="P103" s="13">
        <f>Test!D341</f>
        <v>0</v>
      </c>
      <c r="Q103" s="13">
        <f>Test!E341</f>
        <v>0</v>
      </c>
      <c r="R103" s="13">
        <f>Test!F341</f>
        <v>0</v>
      </c>
      <c r="S103" s="13">
        <f>Test!G341</f>
        <v>0</v>
      </c>
      <c r="T103" s="13">
        <f t="shared" si="10"/>
        <v>0</v>
      </c>
      <c r="U103" s="27">
        <f>Test!H341</f>
        <v>0</v>
      </c>
      <c r="V103" s="28">
        <f>Test!I341</f>
        <v>0</v>
      </c>
      <c r="W103" s="16">
        <f t="shared" si="11"/>
        <v>0</v>
      </c>
      <c r="X103" s="16">
        <f t="shared" si="12"/>
        <v>0</v>
      </c>
      <c r="Y103" s="16">
        <f t="shared" si="13"/>
        <v>0</v>
      </c>
      <c r="Z103" s="25">
        <f t="shared" si="13"/>
        <v>0</v>
      </c>
      <c r="AA103" s="42"/>
      <c r="AB103" s="39" t="e">
        <f>bdrate($D103:$D106,E103:E106,$N103:$N106,O103:O106)</f>
        <v>#VALUE!</v>
      </c>
      <c r="AC103" s="40" t="e">
        <f>bdrate($D103:$D106,F103:F106,$N103:$N106,P103:P106)</f>
        <v>#VALUE!</v>
      </c>
      <c r="AD103" s="40" t="e">
        <f>bdrate($D103:$D106,G103:G106,$N103:$N106,Q103:Q106)</f>
        <v>#VALUE!</v>
      </c>
      <c r="AE103" s="49" t="e">
        <f>bdrateOld($D103:$D106,E103:E106,$N103:$N106,O103:O106)</f>
        <v>#VALUE!</v>
      </c>
      <c r="AF103" s="50" t="e">
        <f>bdrateOld($D103:$D106,F103:F106,$N103:$N106,P103:P106)</f>
        <v>#VALUE!</v>
      </c>
      <c r="AG103" s="52" t="e">
        <f>bdrateOld($D103:$D106,G103:G106,$N103:$N106,Q103:Q106)</f>
        <v>#VALUE!</v>
      </c>
    </row>
    <row r="104" spans="1:33">
      <c r="A104" s="14"/>
      <c r="B104" s="14"/>
      <c r="C104" s="14">
        <v>27</v>
      </c>
      <c r="D104" s="15">
        <f>Reference!B342</f>
        <v>183.8048</v>
      </c>
      <c r="E104" s="16">
        <f>Reference!C342</f>
        <v>46.3316</v>
      </c>
      <c r="F104" s="16">
        <f>Reference!D342</f>
        <v>49.4471</v>
      </c>
      <c r="G104" s="16">
        <f>Reference!E342</f>
        <v>51.4109</v>
      </c>
      <c r="H104" s="16">
        <f>Reference!F342</f>
        <v>4734</v>
      </c>
      <c r="I104" s="16">
        <f>Reference!G342</f>
        <v>4.903</v>
      </c>
      <c r="J104" s="16">
        <f t="shared" si="9"/>
        <v>1.315</v>
      </c>
      <c r="K104" s="29">
        <f>Reference!H342</f>
        <v>3189612</v>
      </c>
      <c r="L104" s="30">
        <f>Reference!I342</f>
        <v>507184</v>
      </c>
      <c r="N104" s="15">
        <f>Test!B342</f>
        <v>0</v>
      </c>
      <c r="O104" s="16">
        <f>Test!C342</f>
        <v>0</v>
      </c>
      <c r="P104" s="16">
        <f>Test!D342</f>
        <v>0</v>
      </c>
      <c r="Q104" s="16">
        <f>Test!E342</f>
        <v>0</v>
      </c>
      <c r="R104" s="16">
        <f>Test!F342</f>
        <v>0</v>
      </c>
      <c r="S104" s="16">
        <f>Test!G342</f>
        <v>0</v>
      </c>
      <c r="T104" s="16">
        <f t="shared" si="10"/>
        <v>0</v>
      </c>
      <c r="U104" s="29">
        <f>Test!H342</f>
        <v>0</v>
      </c>
      <c r="V104" s="30">
        <f>Test!I342</f>
        <v>0</v>
      </c>
      <c r="W104" s="16">
        <f t="shared" si="11"/>
        <v>0</v>
      </c>
      <c r="X104" s="16">
        <f t="shared" si="12"/>
        <v>0</v>
      </c>
      <c r="Y104" s="16">
        <f t="shared" si="13"/>
        <v>0</v>
      </c>
      <c r="Z104" s="25">
        <f t="shared" si="13"/>
        <v>0</v>
      </c>
      <c r="AA104" s="42"/>
      <c r="AB104" s="43"/>
      <c r="AC104" s="44"/>
      <c r="AD104" s="44"/>
      <c r="AE104" s="43"/>
      <c r="AF104" s="44"/>
      <c r="AG104" s="45"/>
    </row>
    <row r="105" spans="1:33">
      <c r="A105" s="14"/>
      <c r="B105" s="14"/>
      <c r="C105" s="14">
        <v>32</v>
      </c>
      <c r="D105" s="15">
        <f>Reference!B343</f>
        <v>104.944</v>
      </c>
      <c r="E105" s="16">
        <f>Reference!C343</f>
        <v>43.0168</v>
      </c>
      <c r="F105" s="16">
        <f>Reference!D343</f>
        <v>47.3749</v>
      </c>
      <c r="G105" s="16">
        <f>Reference!E343</f>
        <v>49.3846</v>
      </c>
      <c r="H105" s="16">
        <f>Reference!F343</f>
        <v>3739</v>
      </c>
      <c r="I105" s="16">
        <f>Reference!G343</f>
        <v>4.479</v>
      </c>
      <c r="J105" s="16">
        <f t="shared" si="9"/>
        <v>1.03861111111111</v>
      </c>
      <c r="K105" s="29">
        <f>Reference!H343</f>
        <v>3187880</v>
      </c>
      <c r="L105" s="30">
        <f>Reference!I343</f>
        <v>513276</v>
      </c>
      <c r="N105" s="15">
        <f>Test!B343</f>
        <v>0</v>
      </c>
      <c r="O105" s="16">
        <f>Test!C343</f>
        <v>0</v>
      </c>
      <c r="P105" s="16">
        <f>Test!D343</f>
        <v>0</v>
      </c>
      <c r="Q105" s="16">
        <f>Test!E343</f>
        <v>0</v>
      </c>
      <c r="R105" s="16">
        <f>Test!F343</f>
        <v>0</v>
      </c>
      <c r="S105" s="16">
        <f>Test!G343</f>
        <v>0</v>
      </c>
      <c r="T105" s="16">
        <f t="shared" si="10"/>
        <v>0</v>
      </c>
      <c r="U105" s="29">
        <f>Test!H343</f>
        <v>0</v>
      </c>
      <c r="V105" s="30">
        <f>Test!I343</f>
        <v>0</v>
      </c>
      <c r="W105" s="16">
        <f t="shared" si="11"/>
        <v>0</v>
      </c>
      <c r="X105" s="16">
        <f t="shared" si="12"/>
        <v>0</v>
      </c>
      <c r="Y105" s="16">
        <f t="shared" si="13"/>
        <v>0</v>
      </c>
      <c r="Z105" s="25">
        <f t="shared" si="13"/>
        <v>0</v>
      </c>
      <c r="AA105" s="42"/>
      <c r="AB105" s="43"/>
      <c r="AC105" s="44"/>
      <c r="AD105" s="44"/>
      <c r="AE105" s="43"/>
      <c r="AF105" s="44"/>
      <c r="AG105" s="45"/>
    </row>
    <row r="106" ht="12.75" customHeight="1" spans="1:33">
      <c r="A106" s="17"/>
      <c r="B106" s="17"/>
      <c r="C106" s="17">
        <v>37</v>
      </c>
      <c r="D106" s="18">
        <f>Reference!B344</f>
        <v>69.2896</v>
      </c>
      <c r="E106" s="19">
        <f>Reference!C344</f>
        <v>39.751</v>
      </c>
      <c r="F106" s="19">
        <f>Reference!D344</f>
        <v>44.9142</v>
      </c>
      <c r="G106" s="19">
        <f>Reference!E344</f>
        <v>46.89</v>
      </c>
      <c r="H106" s="19">
        <f>Reference!F344</f>
        <v>2951</v>
      </c>
      <c r="I106" s="19">
        <f>Reference!G344</f>
        <v>4.539</v>
      </c>
      <c r="J106" s="19">
        <f t="shared" si="9"/>
        <v>0.819722222222222</v>
      </c>
      <c r="K106" s="29">
        <f>Reference!H344</f>
        <v>3185996</v>
      </c>
      <c r="L106" s="30">
        <f>Reference!I344</f>
        <v>508856</v>
      </c>
      <c r="N106" s="18">
        <f>Test!B344</f>
        <v>0</v>
      </c>
      <c r="O106" s="19">
        <f>Test!C344</f>
        <v>0</v>
      </c>
      <c r="P106" s="19">
        <f>Test!D344</f>
        <v>0</v>
      </c>
      <c r="Q106" s="19">
        <f>Test!E344</f>
        <v>0</v>
      </c>
      <c r="R106" s="19">
        <f>Test!F344</f>
        <v>0</v>
      </c>
      <c r="S106" s="19">
        <f>Test!G344</f>
        <v>0</v>
      </c>
      <c r="T106" s="19">
        <f t="shared" si="10"/>
        <v>0</v>
      </c>
      <c r="U106" s="31">
        <f>Test!H344</f>
        <v>0</v>
      </c>
      <c r="V106" s="32">
        <f>Test!I344</f>
        <v>0</v>
      </c>
      <c r="W106" s="19">
        <f t="shared" si="11"/>
        <v>0</v>
      </c>
      <c r="X106" s="19">
        <f t="shared" si="12"/>
        <v>0</v>
      </c>
      <c r="Y106" s="19">
        <f t="shared" si="13"/>
        <v>0</v>
      </c>
      <c r="Z106" s="26">
        <f t="shared" si="13"/>
        <v>0</v>
      </c>
      <c r="AA106" s="51"/>
      <c r="AB106" s="46"/>
      <c r="AC106" s="47"/>
      <c r="AD106" s="47"/>
      <c r="AE106" s="46"/>
      <c r="AF106" s="47"/>
      <c r="AG106" s="48"/>
    </row>
    <row r="107" spans="1:33">
      <c r="A107" s="11" t="s">
        <v>29</v>
      </c>
      <c r="B107" s="11" t="s">
        <v>117</v>
      </c>
      <c r="C107" s="11">
        <v>22</v>
      </c>
      <c r="D107" s="12">
        <f>Reference!B345</f>
        <v>18694.4416</v>
      </c>
      <c r="E107" s="13">
        <f>Reference!C345</f>
        <v>45.7943</v>
      </c>
      <c r="F107" s="13">
        <f>Reference!D345</f>
        <v>44.9024</v>
      </c>
      <c r="G107" s="13">
        <f>Reference!E345</f>
        <v>45.0803</v>
      </c>
      <c r="H107" s="13">
        <f>Reference!F345</f>
        <v>105685</v>
      </c>
      <c r="I107" s="13">
        <f>Reference!G345</f>
        <v>70.413</v>
      </c>
      <c r="J107" s="13">
        <f t="shared" si="9"/>
        <v>29.3569444444444</v>
      </c>
      <c r="K107" s="27">
        <f>Reference!H345</f>
        <v>5691320</v>
      </c>
      <c r="L107" s="28">
        <f>Reference!I345</f>
        <v>848732</v>
      </c>
      <c r="N107" s="12">
        <f>Test!B345</f>
        <v>0</v>
      </c>
      <c r="O107" s="13">
        <f>Test!C345</f>
        <v>0</v>
      </c>
      <c r="P107" s="13">
        <f>Test!D345</f>
        <v>0</v>
      </c>
      <c r="Q107" s="13">
        <f>Test!E345</f>
        <v>0</v>
      </c>
      <c r="R107" s="13">
        <f>Test!F345</f>
        <v>0</v>
      </c>
      <c r="S107" s="13">
        <f>Test!G345</f>
        <v>0</v>
      </c>
      <c r="T107" s="13">
        <f t="shared" si="10"/>
        <v>0</v>
      </c>
      <c r="U107" s="27">
        <f>Test!H345</f>
        <v>0</v>
      </c>
      <c r="V107" s="28">
        <f>Test!I345</f>
        <v>0</v>
      </c>
      <c r="W107" s="13">
        <f t="shared" si="11"/>
        <v>0</v>
      </c>
      <c r="X107" s="13">
        <f t="shared" si="12"/>
        <v>0</v>
      </c>
      <c r="Y107" s="13">
        <f t="shared" si="13"/>
        <v>0</v>
      </c>
      <c r="Z107" s="24">
        <f t="shared" si="13"/>
        <v>0</v>
      </c>
      <c r="AA107" s="38"/>
      <c r="AB107" s="39" t="e">
        <f>bdrate($D107:$D110,E107:E110,$N107:$N110,O107:O110)</f>
        <v>#VALUE!</v>
      </c>
      <c r="AC107" s="40" t="e">
        <f>bdrate($D107:$D110,F107:F110,$N107:$N110,P107:P110)</f>
        <v>#VALUE!</v>
      </c>
      <c r="AD107" s="41" t="e">
        <f>bdrate($D107:$D110,G107:G110,$N107:$N110,Q107:Q110)</f>
        <v>#VALUE!</v>
      </c>
      <c r="AE107" s="39" t="e">
        <f>bdrateOld($D107:$D110,E107:E110,$N107:$N110,O107:O110)</f>
        <v>#VALUE!</v>
      </c>
      <c r="AF107" s="40" t="e">
        <f>bdrateOld($D107:$D110,F107:F110,$N107:$N110,P107:P110)</f>
        <v>#VALUE!</v>
      </c>
      <c r="AG107" s="41" t="e">
        <f>bdrateOld($D107:$D110,G107:G110,$N107:$N110,Q107:Q110)</f>
        <v>#VALUE!</v>
      </c>
    </row>
    <row r="108" spans="1:33">
      <c r="A108" s="14"/>
      <c r="C108" s="14">
        <v>27</v>
      </c>
      <c r="D108" s="15">
        <f>Reference!B346</f>
        <v>9601.7616</v>
      </c>
      <c r="E108" s="16">
        <f>Reference!C346</f>
        <v>40.5218</v>
      </c>
      <c r="F108" s="16">
        <f>Reference!D346</f>
        <v>40.762</v>
      </c>
      <c r="G108" s="16">
        <f>Reference!E346</f>
        <v>41.1218</v>
      </c>
      <c r="H108" s="16">
        <f>Reference!F346</f>
        <v>137841</v>
      </c>
      <c r="I108" s="16">
        <f>Reference!G346</f>
        <v>98.828</v>
      </c>
      <c r="J108" s="16">
        <f t="shared" si="9"/>
        <v>38.2891666666667</v>
      </c>
      <c r="K108" s="29">
        <f>Reference!H346</f>
        <v>5665436</v>
      </c>
      <c r="L108" s="30">
        <f>Reference!I346</f>
        <v>805656</v>
      </c>
      <c r="N108" s="15">
        <f>Test!B346</f>
        <v>0</v>
      </c>
      <c r="O108" s="16">
        <f>Test!C346</f>
        <v>0</v>
      </c>
      <c r="P108" s="16">
        <f>Test!D346</f>
        <v>0</v>
      </c>
      <c r="Q108" s="16">
        <f>Test!E346</f>
        <v>0</v>
      </c>
      <c r="R108" s="16">
        <f>Test!F346</f>
        <v>0</v>
      </c>
      <c r="S108" s="16">
        <f>Test!G346</f>
        <v>0</v>
      </c>
      <c r="T108" s="16">
        <f t="shared" si="10"/>
        <v>0</v>
      </c>
      <c r="U108" s="29">
        <f>Test!H346</f>
        <v>0</v>
      </c>
      <c r="V108" s="30">
        <f>Test!I346</f>
        <v>0</v>
      </c>
      <c r="W108" s="16">
        <f t="shared" si="11"/>
        <v>0</v>
      </c>
      <c r="X108" s="16">
        <f t="shared" si="12"/>
        <v>0</v>
      </c>
      <c r="Y108" s="16">
        <f t="shared" si="13"/>
        <v>0</v>
      </c>
      <c r="Z108" s="25">
        <f t="shared" si="13"/>
        <v>0</v>
      </c>
      <c r="AA108" s="42"/>
      <c r="AB108" s="43"/>
      <c r="AC108" s="44"/>
      <c r="AD108" s="45"/>
      <c r="AE108" s="43"/>
      <c r="AF108" s="44"/>
      <c r="AG108" s="45"/>
    </row>
    <row r="109" spans="1:33">
      <c r="A109" s="14"/>
      <c r="B109" s="14"/>
      <c r="C109" s="14">
        <v>32</v>
      </c>
      <c r="D109" s="15">
        <f>Reference!B347</f>
        <v>5714.7408</v>
      </c>
      <c r="E109" s="16">
        <f>Reference!C347</f>
        <v>36.24</v>
      </c>
      <c r="F109" s="16">
        <f>Reference!D347</f>
        <v>38.4248</v>
      </c>
      <c r="G109" s="16">
        <f>Reference!E347</f>
        <v>38.9226</v>
      </c>
      <c r="H109" s="16">
        <f>Reference!F347</f>
        <v>75191</v>
      </c>
      <c r="I109" s="16">
        <f>Reference!G347</f>
        <v>59.677</v>
      </c>
      <c r="J109" s="16">
        <f t="shared" si="9"/>
        <v>20.8863888888889</v>
      </c>
      <c r="K109" s="29">
        <f>Reference!H347</f>
        <v>5639136</v>
      </c>
      <c r="L109" s="30">
        <f>Reference!I347</f>
        <v>854436</v>
      </c>
      <c r="N109" s="15">
        <f>Test!B347</f>
        <v>0</v>
      </c>
      <c r="O109" s="16">
        <f>Test!C347</f>
        <v>0</v>
      </c>
      <c r="P109" s="16">
        <f>Test!D347</f>
        <v>0</v>
      </c>
      <c r="Q109" s="16">
        <f>Test!E347</f>
        <v>0</v>
      </c>
      <c r="R109" s="16">
        <f>Test!F347</f>
        <v>0</v>
      </c>
      <c r="S109" s="16">
        <f>Test!G347</f>
        <v>0</v>
      </c>
      <c r="T109" s="16">
        <f t="shared" si="10"/>
        <v>0</v>
      </c>
      <c r="U109" s="29">
        <f>Test!H347</f>
        <v>0</v>
      </c>
      <c r="V109" s="30">
        <f>Test!I347</f>
        <v>0</v>
      </c>
      <c r="W109" s="16">
        <f t="shared" si="11"/>
        <v>0</v>
      </c>
      <c r="X109" s="16">
        <f t="shared" si="12"/>
        <v>0</v>
      </c>
      <c r="Y109" s="16">
        <f t="shared" si="13"/>
        <v>0</v>
      </c>
      <c r="Z109" s="25">
        <f t="shared" si="13"/>
        <v>0</v>
      </c>
      <c r="AA109" s="42"/>
      <c r="AB109" s="43"/>
      <c r="AC109" s="44"/>
      <c r="AD109" s="45"/>
      <c r="AE109" s="43"/>
      <c r="AF109" s="44"/>
      <c r="AG109" s="45"/>
    </row>
    <row r="110" ht="12.75" spans="1:33">
      <c r="A110" s="14"/>
      <c r="B110" s="17"/>
      <c r="C110" s="17">
        <v>37</v>
      </c>
      <c r="D110" s="18">
        <f>Reference!B348</f>
        <v>3392.0224</v>
      </c>
      <c r="E110" s="19">
        <f>Reference!C348</f>
        <v>32.3285</v>
      </c>
      <c r="F110" s="19">
        <f>Reference!D348</f>
        <v>35.287</v>
      </c>
      <c r="G110" s="19">
        <f>Reference!E348</f>
        <v>35.9445</v>
      </c>
      <c r="H110" s="19">
        <f>Reference!F348</f>
        <v>59641</v>
      </c>
      <c r="I110" s="19">
        <f>Reference!G348</f>
        <v>54.866</v>
      </c>
      <c r="J110" s="19">
        <f t="shared" si="9"/>
        <v>16.5669444444444</v>
      </c>
      <c r="K110" s="29">
        <f>Reference!H348</f>
        <v>5639008</v>
      </c>
      <c r="L110" s="30">
        <f>Reference!I348</f>
        <v>817292</v>
      </c>
      <c r="N110" s="18">
        <f>Test!B348</f>
        <v>0</v>
      </c>
      <c r="O110" s="19">
        <f>Test!C348</f>
        <v>0</v>
      </c>
      <c r="P110" s="19">
        <f>Test!D348</f>
        <v>0</v>
      </c>
      <c r="Q110" s="19">
        <f>Test!E348</f>
        <v>0</v>
      </c>
      <c r="R110" s="19">
        <f>Test!F348</f>
        <v>0</v>
      </c>
      <c r="S110" s="19">
        <f>Test!G348</f>
        <v>0</v>
      </c>
      <c r="T110" s="19">
        <f t="shared" si="10"/>
        <v>0</v>
      </c>
      <c r="U110" s="31">
        <f>Test!H348</f>
        <v>0</v>
      </c>
      <c r="V110" s="32">
        <f>Test!I348</f>
        <v>0</v>
      </c>
      <c r="W110" s="16">
        <f t="shared" si="11"/>
        <v>0</v>
      </c>
      <c r="X110" s="16">
        <f t="shared" si="12"/>
        <v>0</v>
      </c>
      <c r="Y110" s="16">
        <f t="shared" si="13"/>
        <v>0</v>
      </c>
      <c r="Z110" s="25">
        <f t="shared" si="13"/>
        <v>0</v>
      </c>
      <c r="AA110" s="42"/>
      <c r="AB110" s="46"/>
      <c r="AC110" s="47"/>
      <c r="AD110" s="48"/>
      <c r="AE110" s="46"/>
      <c r="AF110" s="47"/>
      <c r="AG110" s="48"/>
    </row>
    <row r="111" spans="1:33">
      <c r="A111" s="14"/>
      <c r="B111" s="11" t="s">
        <v>118</v>
      </c>
      <c r="C111" s="11">
        <v>22</v>
      </c>
      <c r="D111" s="12">
        <f>Reference!B349</f>
        <v>778.8176</v>
      </c>
      <c r="E111" s="13">
        <f>Reference!C349</f>
        <v>54.4361</v>
      </c>
      <c r="F111" s="13">
        <f>Reference!D349</f>
        <v>49.3812</v>
      </c>
      <c r="G111" s="13">
        <f>Reference!E349</f>
        <v>49.5369</v>
      </c>
      <c r="H111" s="13">
        <f>Reference!F349</f>
        <v>19828</v>
      </c>
      <c r="I111" s="13">
        <f>Reference!G349</f>
        <v>26.008</v>
      </c>
      <c r="J111" s="13">
        <f t="shared" si="9"/>
        <v>5.50777777777778</v>
      </c>
      <c r="K111" s="27">
        <f>Reference!H349</f>
        <v>5606756</v>
      </c>
      <c r="L111" s="28">
        <f>Reference!I349</f>
        <v>836076</v>
      </c>
      <c r="N111" s="12">
        <f>Test!B349</f>
        <v>0</v>
      </c>
      <c r="O111" s="13">
        <f>Test!C349</f>
        <v>0</v>
      </c>
      <c r="P111" s="13">
        <f>Test!D349</f>
        <v>0</v>
      </c>
      <c r="Q111" s="13">
        <f>Test!E349</f>
        <v>0</v>
      </c>
      <c r="R111" s="13">
        <f>Test!F349</f>
        <v>0</v>
      </c>
      <c r="S111" s="13">
        <f>Test!G349</f>
        <v>0</v>
      </c>
      <c r="T111" s="13">
        <f t="shared" si="10"/>
        <v>0</v>
      </c>
      <c r="U111" s="27">
        <f>Test!H349</f>
        <v>0</v>
      </c>
      <c r="V111" s="28">
        <f>Test!I349</f>
        <v>0</v>
      </c>
      <c r="W111" s="16">
        <f t="shared" si="11"/>
        <v>0</v>
      </c>
      <c r="X111" s="16">
        <f t="shared" si="12"/>
        <v>0</v>
      </c>
      <c r="Y111" s="16">
        <f t="shared" si="13"/>
        <v>0</v>
      </c>
      <c r="Z111" s="25">
        <f t="shared" si="13"/>
        <v>0</v>
      </c>
      <c r="AA111" s="42"/>
      <c r="AB111" s="39" t="e">
        <f>bdrate($D111:$D114,E111:E114,$N111:$N114,O111:O114)</f>
        <v>#VALUE!</v>
      </c>
      <c r="AC111" s="40" t="e">
        <f>bdrate($D111:$D114,F111:F114,$N111:$N114,P111:P114)</f>
        <v>#VALUE!</v>
      </c>
      <c r="AD111" s="40" t="e">
        <f>bdrate($D111:$D114,G111:G114,$N111:$N114,Q111:Q114)</f>
        <v>#VALUE!</v>
      </c>
      <c r="AE111" s="49" t="e">
        <f>bdrateOld($D111:$D114,E111:E114,$N111:$N114,O111:O114)</f>
        <v>#VALUE!</v>
      </c>
      <c r="AF111" s="50" t="e">
        <f>bdrateOld($D111:$D114,F111:F114,$N111:$N114,P111:P114)</f>
        <v>#VALUE!</v>
      </c>
      <c r="AG111" s="52" t="e">
        <f>bdrateOld($D111:$D114,G111:G114,$N111:$N114,Q111:Q114)</f>
        <v>#VALUE!</v>
      </c>
    </row>
    <row r="112" spans="1:33">
      <c r="A112" s="14"/>
      <c r="B112" s="14"/>
      <c r="C112" s="14">
        <v>27</v>
      </c>
      <c r="D112" s="15">
        <f>Reference!B350</f>
        <v>635.0704</v>
      </c>
      <c r="E112" s="16">
        <f>Reference!C350</f>
        <v>49.4667</v>
      </c>
      <c r="F112" s="16">
        <f>Reference!D350</f>
        <v>46.4363</v>
      </c>
      <c r="G112" s="16">
        <f>Reference!E350</f>
        <v>46.486</v>
      </c>
      <c r="H112" s="16">
        <f>Reference!F350</f>
        <v>26412</v>
      </c>
      <c r="I112" s="16">
        <f>Reference!G350</f>
        <v>30.676</v>
      </c>
      <c r="J112" s="16">
        <f t="shared" si="9"/>
        <v>7.33666666666667</v>
      </c>
      <c r="K112" s="29">
        <f>Reference!H350</f>
        <v>5615408</v>
      </c>
      <c r="L112" s="30">
        <f>Reference!I350</f>
        <v>845760</v>
      </c>
      <c r="N112" s="15">
        <f>Test!B350</f>
        <v>0</v>
      </c>
      <c r="O112" s="16">
        <f>Test!C350</f>
        <v>0</v>
      </c>
      <c r="P112" s="16">
        <f>Test!D350</f>
        <v>0</v>
      </c>
      <c r="Q112" s="16">
        <f>Test!E350</f>
        <v>0</v>
      </c>
      <c r="R112" s="16">
        <f>Test!F350</f>
        <v>0</v>
      </c>
      <c r="S112" s="16">
        <f>Test!G350</f>
        <v>0</v>
      </c>
      <c r="T112" s="16">
        <f t="shared" si="10"/>
        <v>0</v>
      </c>
      <c r="U112" s="29">
        <f>Test!H350</f>
        <v>0</v>
      </c>
      <c r="V112" s="30">
        <f>Test!I350</f>
        <v>0</v>
      </c>
      <c r="W112" s="16">
        <f t="shared" si="11"/>
        <v>0</v>
      </c>
      <c r="X112" s="16">
        <f t="shared" si="12"/>
        <v>0</v>
      </c>
      <c r="Y112" s="16">
        <f t="shared" si="13"/>
        <v>0</v>
      </c>
      <c r="Z112" s="25">
        <f t="shared" si="13"/>
        <v>0</v>
      </c>
      <c r="AA112" s="42"/>
      <c r="AB112" s="43"/>
      <c r="AC112" s="44"/>
      <c r="AD112" s="44"/>
      <c r="AE112" s="43"/>
      <c r="AF112" s="44"/>
      <c r="AG112" s="45"/>
    </row>
    <row r="113" ht="12.75" customHeight="1" spans="1:33">
      <c r="A113" s="14"/>
      <c r="B113" s="14"/>
      <c r="C113" s="14">
        <v>32</v>
      </c>
      <c r="D113" s="15">
        <f>Reference!B351</f>
        <v>598.6032</v>
      </c>
      <c r="E113" s="16">
        <f>Reference!C351</f>
        <v>44.4722</v>
      </c>
      <c r="F113" s="16">
        <f>Reference!D351</f>
        <v>43.8657</v>
      </c>
      <c r="G113" s="16">
        <f>Reference!E351</f>
        <v>43.4773</v>
      </c>
      <c r="H113" s="16">
        <f>Reference!F351</f>
        <v>25347</v>
      </c>
      <c r="I113" s="16">
        <f>Reference!G351</f>
        <v>26.764</v>
      </c>
      <c r="J113" s="16">
        <f t="shared" si="9"/>
        <v>7.04083333333333</v>
      </c>
      <c r="K113" s="29">
        <f>Reference!H351</f>
        <v>5648644</v>
      </c>
      <c r="L113" s="30">
        <f>Reference!I351</f>
        <v>809740</v>
      </c>
      <c r="N113" s="15">
        <f>Test!B351</f>
        <v>0</v>
      </c>
      <c r="O113" s="16">
        <f>Test!C351</f>
        <v>0</v>
      </c>
      <c r="P113" s="16">
        <f>Test!D351</f>
        <v>0</v>
      </c>
      <c r="Q113" s="16">
        <f>Test!E351</f>
        <v>0</v>
      </c>
      <c r="R113" s="16">
        <f>Test!F351</f>
        <v>0</v>
      </c>
      <c r="S113" s="16">
        <f>Test!G351</f>
        <v>0</v>
      </c>
      <c r="T113" s="16">
        <f t="shared" si="10"/>
        <v>0</v>
      </c>
      <c r="U113" s="29">
        <f>Test!H351</f>
        <v>0</v>
      </c>
      <c r="V113" s="30">
        <f>Test!I351</f>
        <v>0</v>
      </c>
      <c r="W113" s="16">
        <f t="shared" si="11"/>
        <v>0</v>
      </c>
      <c r="X113" s="16">
        <f t="shared" si="12"/>
        <v>0</v>
      </c>
      <c r="Y113" s="16">
        <f t="shared" si="13"/>
        <v>0</v>
      </c>
      <c r="Z113" s="25">
        <f t="shared" si="13"/>
        <v>0</v>
      </c>
      <c r="AA113" s="42"/>
      <c r="AB113" s="43"/>
      <c r="AC113" s="44"/>
      <c r="AD113" s="44"/>
      <c r="AE113" s="43"/>
      <c r="AF113" s="44"/>
      <c r="AG113" s="45"/>
    </row>
    <row r="114" ht="12.75" customHeight="1" spans="1:33">
      <c r="A114" s="14"/>
      <c r="B114" s="17"/>
      <c r="C114" s="17">
        <v>37</v>
      </c>
      <c r="D114" s="18">
        <f>Reference!B352</f>
        <v>543.6784</v>
      </c>
      <c r="E114" s="19">
        <f>Reference!C352</f>
        <v>38.6752</v>
      </c>
      <c r="F114" s="19">
        <f>Reference!D352</f>
        <v>40.9447</v>
      </c>
      <c r="G114" s="19">
        <f>Reference!E352</f>
        <v>40.7133</v>
      </c>
      <c r="H114" s="19">
        <f>Reference!F352</f>
        <v>17247</v>
      </c>
      <c r="I114" s="19">
        <f>Reference!G352</f>
        <v>25.122</v>
      </c>
      <c r="J114" s="19">
        <f t="shared" si="9"/>
        <v>4.79083333333333</v>
      </c>
      <c r="K114" s="29">
        <f>Reference!H352</f>
        <v>5594644</v>
      </c>
      <c r="L114" s="30">
        <f>Reference!I352</f>
        <v>835972</v>
      </c>
      <c r="N114" s="18">
        <f>Test!B352</f>
        <v>0</v>
      </c>
      <c r="O114" s="19">
        <f>Test!C352</f>
        <v>0</v>
      </c>
      <c r="P114" s="19">
        <f>Test!D352</f>
        <v>0</v>
      </c>
      <c r="Q114" s="19">
        <f>Test!E352</f>
        <v>0</v>
      </c>
      <c r="R114" s="19">
        <f>Test!F352</f>
        <v>0</v>
      </c>
      <c r="S114" s="19">
        <f>Test!G352</f>
        <v>0</v>
      </c>
      <c r="T114" s="19">
        <f t="shared" si="10"/>
        <v>0</v>
      </c>
      <c r="U114" s="31">
        <f>Test!H352</f>
        <v>0</v>
      </c>
      <c r="V114" s="32">
        <f>Test!I352</f>
        <v>0</v>
      </c>
      <c r="W114" s="16">
        <f t="shared" si="11"/>
        <v>0</v>
      </c>
      <c r="X114" s="16">
        <f t="shared" si="12"/>
        <v>0</v>
      </c>
      <c r="Y114" s="16">
        <f t="shared" si="13"/>
        <v>0</v>
      </c>
      <c r="Z114" s="25">
        <f t="shared" si="13"/>
        <v>0</v>
      </c>
      <c r="AA114" s="42"/>
      <c r="AB114" s="46"/>
      <c r="AC114" s="47"/>
      <c r="AD114" s="47"/>
      <c r="AE114" s="46"/>
      <c r="AF114" s="47"/>
      <c r="AG114" s="48"/>
    </row>
    <row r="115" spans="1:33">
      <c r="A115" s="14"/>
      <c r="B115" s="11" t="s">
        <v>119</v>
      </c>
      <c r="C115" s="11">
        <v>22</v>
      </c>
      <c r="D115" s="12">
        <f>Reference!B353</f>
        <v>2831.2496</v>
      </c>
      <c r="E115" s="13">
        <f>Reference!C353</f>
        <v>53.1152</v>
      </c>
      <c r="F115" s="13">
        <f>Reference!D353</f>
        <v>50.9471</v>
      </c>
      <c r="G115" s="13">
        <f>Reference!E353</f>
        <v>49.5869</v>
      </c>
      <c r="H115" s="13">
        <f>Reference!F353</f>
        <v>34252</v>
      </c>
      <c r="I115" s="13">
        <f>Reference!G353</f>
        <v>24.139</v>
      </c>
      <c r="J115" s="13">
        <f t="shared" si="9"/>
        <v>9.51444444444444</v>
      </c>
      <c r="K115" s="27">
        <f>Reference!H353</f>
        <v>5490988</v>
      </c>
      <c r="L115" s="28">
        <f>Reference!I353</f>
        <v>858016</v>
      </c>
      <c r="N115" s="12">
        <f>Test!B353</f>
        <v>0</v>
      </c>
      <c r="O115" s="13">
        <f>Test!C353</f>
        <v>0</v>
      </c>
      <c r="P115" s="13">
        <f>Test!D353</f>
        <v>0</v>
      </c>
      <c r="Q115" s="13">
        <f>Test!E353</f>
        <v>0</v>
      </c>
      <c r="R115" s="13">
        <f>Test!F353</f>
        <v>0</v>
      </c>
      <c r="S115" s="13">
        <f>Test!G353</f>
        <v>0</v>
      </c>
      <c r="T115" s="13">
        <f t="shared" si="10"/>
        <v>0</v>
      </c>
      <c r="U115" s="27">
        <f>Test!H353</f>
        <v>0</v>
      </c>
      <c r="V115" s="28">
        <f>Test!I353</f>
        <v>0</v>
      </c>
      <c r="W115" s="16">
        <f t="shared" si="11"/>
        <v>0</v>
      </c>
      <c r="X115" s="16">
        <f t="shared" si="12"/>
        <v>0</v>
      </c>
      <c r="Y115" s="16">
        <f t="shared" si="13"/>
        <v>0</v>
      </c>
      <c r="Z115" s="25">
        <f t="shared" si="13"/>
        <v>0</v>
      </c>
      <c r="AA115" s="42"/>
      <c r="AB115" s="39" t="e">
        <f>bdrate($D115:$D118,E115:E118,$N115:$N118,O115:O118)</f>
        <v>#VALUE!</v>
      </c>
      <c r="AC115" s="40" t="e">
        <f>bdrate($D115:$D118,F115:F118,$N115:$N118,P115:P118)</f>
        <v>#VALUE!</v>
      </c>
      <c r="AD115" s="40" t="e">
        <f>bdrate($D115:$D118,G115:G118,$N115:$N118,Q115:Q118)</f>
        <v>#VALUE!</v>
      </c>
      <c r="AE115" s="49" t="e">
        <f>bdrateOld($D115:$D118,E115:E118,$N115:$N118,O115:O118)</f>
        <v>#VALUE!</v>
      </c>
      <c r="AF115" s="50" t="e">
        <f>bdrateOld($D115:$D118,F115:F118,$N115:$N118,P115:P118)</f>
        <v>#VALUE!</v>
      </c>
      <c r="AG115" s="52" t="e">
        <f>bdrateOld($D115:$D118,G115:G118,$N115:$N118,Q115:Q118)</f>
        <v>#VALUE!</v>
      </c>
    </row>
    <row r="116" spans="1:33">
      <c r="A116" s="14"/>
      <c r="B116" s="14"/>
      <c r="C116" s="14">
        <v>27</v>
      </c>
      <c r="D116" s="15">
        <f>Reference!B354</f>
        <v>2085.5072</v>
      </c>
      <c r="E116" s="16">
        <f>Reference!C354</f>
        <v>47.8738</v>
      </c>
      <c r="F116" s="16">
        <f>Reference!D354</f>
        <v>46.1634</v>
      </c>
      <c r="G116" s="16">
        <f>Reference!E354</f>
        <v>44.0114</v>
      </c>
      <c r="H116" s="16">
        <f>Reference!F354</f>
        <v>30682</v>
      </c>
      <c r="I116" s="16">
        <f>Reference!G354</f>
        <v>29.323</v>
      </c>
      <c r="J116" s="16">
        <f t="shared" si="9"/>
        <v>8.52277777777778</v>
      </c>
      <c r="K116" s="29">
        <f>Reference!H354</f>
        <v>5483412</v>
      </c>
      <c r="L116" s="30">
        <f>Reference!I354</f>
        <v>846756</v>
      </c>
      <c r="N116" s="15">
        <f>Test!B354</f>
        <v>0</v>
      </c>
      <c r="O116" s="16">
        <f>Test!C354</f>
        <v>0</v>
      </c>
      <c r="P116" s="16">
        <f>Test!D354</f>
        <v>0</v>
      </c>
      <c r="Q116" s="16">
        <f>Test!E354</f>
        <v>0</v>
      </c>
      <c r="R116" s="16">
        <f>Test!F354</f>
        <v>0</v>
      </c>
      <c r="S116" s="16">
        <f>Test!G354</f>
        <v>0</v>
      </c>
      <c r="T116" s="16">
        <f t="shared" si="10"/>
        <v>0</v>
      </c>
      <c r="U116" s="29">
        <f>Test!H354</f>
        <v>0</v>
      </c>
      <c r="V116" s="30">
        <f>Test!I354</f>
        <v>0</v>
      </c>
      <c r="W116" s="16">
        <f t="shared" si="11"/>
        <v>0</v>
      </c>
      <c r="X116" s="16">
        <f t="shared" si="12"/>
        <v>0</v>
      </c>
      <c r="Y116" s="16">
        <f t="shared" si="13"/>
        <v>0</v>
      </c>
      <c r="Z116" s="25">
        <f t="shared" si="13"/>
        <v>0</v>
      </c>
      <c r="AA116" s="42"/>
      <c r="AB116" s="43"/>
      <c r="AC116" s="44"/>
      <c r="AD116" s="44"/>
      <c r="AE116" s="43"/>
      <c r="AF116" s="44"/>
      <c r="AG116" s="45"/>
    </row>
    <row r="117" spans="1:33">
      <c r="A117" s="14"/>
      <c r="B117" s="14"/>
      <c r="C117" s="14">
        <v>32</v>
      </c>
      <c r="D117" s="15">
        <f>Reference!B355</f>
        <v>1601.8384</v>
      </c>
      <c r="E117" s="16">
        <f>Reference!C355</f>
        <v>42.5954</v>
      </c>
      <c r="F117" s="16">
        <f>Reference!D355</f>
        <v>42.9813</v>
      </c>
      <c r="G117" s="16">
        <f>Reference!E355</f>
        <v>40.3541</v>
      </c>
      <c r="H117" s="16">
        <f>Reference!F355</f>
        <v>30589</v>
      </c>
      <c r="I117" s="16">
        <f>Reference!G355</f>
        <v>33.368</v>
      </c>
      <c r="J117" s="16">
        <f t="shared" si="9"/>
        <v>8.49694444444444</v>
      </c>
      <c r="K117" s="29">
        <f>Reference!H355</f>
        <v>5467944</v>
      </c>
      <c r="L117" s="30">
        <f>Reference!I355</f>
        <v>838268</v>
      </c>
      <c r="N117" s="15">
        <f>Test!B355</f>
        <v>0</v>
      </c>
      <c r="O117" s="16">
        <f>Test!C355</f>
        <v>0</v>
      </c>
      <c r="P117" s="16">
        <f>Test!D355</f>
        <v>0</v>
      </c>
      <c r="Q117" s="16">
        <f>Test!E355</f>
        <v>0</v>
      </c>
      <c r="R117" s="16">
        <f>Test!F355</f>
        <v>0</v>
      </c>
      <c r="S117" s="16">
        <f>Test!G355</f>
        <v>0</v>
      </c>
      <c r="T117" s="16">
        <f t="shared" si="10"/>
        <v>0</v>
      </c>
      <c r="U117" s="29">
        <f>Test!H355</f>
        <v>0</v>
      </c>
      <c r="V117" s="30">
        <f>Test!I355</f>
        <v>0</v>
      </c>
      <c r="W117" s="16">
        <f t="shared" si="11"/>
        <v>0</v>
      </c>
      <c r="X117" s="16">
        <f t="shared" si="12"/>
        <v>0</v>
      </c>
      <c r="Y117" s="16">
        <f t="shared" si="13"/>
        <v>0</v>
      </c>
      <c r="Z117" s="25">
        <f t="shared" si="13"/>
        <v>0</v>
      </c>
      <c r="AA117" s="42"/>
      <c r="AB117" s="43"/>
      <c r="AC117" s="44"/>
      <c r="AD117" s="44"/>
      <c r="AE117" s="43"/>
      <c r="AF117" s="44"/>
      <c r="AG117" s="45"/>
    </row>
    <row r="118" ht="12.75" spans="1:33">
      <c r="A118" s="14"/>
      <c r="B118" s="17"/>
      <c r="C118" s="17">
        <v>37</v>
      </c>
      <c r="D118" s="18">
        <f>Reference!B356</f>
        <v>1243.5008</v>
      </c>
      <c r="E118" s="19">
        <f>Reference!C356</f>
        <v>37.8472</v>
      </c>
      <c r="F118" s="19">
        <f>Reference!D356</f>
        <v>39.6228</v>
      </c>
      <c r="G118" s="19">
        <f>Reference!E356</f>
        <v>37.0366</v>
      </c>
      <c r="H118" s="19">
        <f>Reference!F356</f>
        <v>27901</v>
      </c>
      <c r="I118" s="19">
        <f>Reference!G356</f>
        <v>32.796</v>
      </c>
      <c r="J118" s="19">
        <f t="shared" si="9"/>
        <v>7.75027777777778</v>
      </c>
      <c r="K118" s="29">
        <f>Reference!H356</f>
        <v>5472980</v>
      </c>
      <c r="L118" s="30">
        <f>Reference!I356</f>
        <v>813300</v>
      </c>
      <c r="N118" s="18">
        <f>Test!B356</f>
        <v>0</v>
      </c>
      <c r="O118" s="19">
        <f>Test!C356</f>
        <v>0</v>
      </c>
      <c r="P118" s="19">
        <f>Test!D356</f>
        <v>0</v>
      </c>
      <c r="Q118" s="19">
        <f>Test!E356</f>
        <v>0</v>
      </c>
      <c r="R118" s="19">
        <f>Test!F356</f>
        <v>0</v>
      </c>
      <c r="S118" s="19">
        <f>Test!G356</f>
        <v>0</v>
      </c>
      <c r="T118" s="19">
        <f t="shared" si="10"/>
        <v>0</v>
      </c>
      <c r="U118" s="31">
        <f>Test!H356</f>
        <v>0</v>
      </c>
      <c r="V118" s="32">
        <f>Test!I356</f>
        <v>0</v>
      </c>
      <c r="W118" s="16">
        <f t="shared" si="11"/>
        <v>0</v>
      </c>
      <c r="X118" s="16">
        <f t="shared" si="12"/>
        <v>0</v>
      </c>
      <c r="Y118" s="16">
        <f t="shared" si="13"/>
        <v>0</v>
      </c>
      <c r="Z118" s="25">
        <f t="shared" si="13"/>
        <v>0</v>
      </c>
      <c r="AA118" s="42"/>
      <c r="AB118" s="46"/>
      <c r="AC118" s="47"/>
      <c r="AD118" s="47"/>
      <c r="AE118" s="46"/>
      <c r="AF118" s="47"/>
      <c r="AG118" s="48"/>
    </row>
    <row r="119" spans="1:33">
      <c r="A119" s="14"/>
      <c r="B119" s="11" t="s">
        <v>120</v>
      </c>
      <c r="C119" s="11">
        <v>22</v>
      </c>
      <c r="D119" s="12">
        <f>Reference!B357</f>
        <v>2136.1296</v>
      </c>
      <c r="E119" s="13">
        <f>Reference!C357</f>
        <v>48.1498</v>
      </c>
      <c r="F119" s="13">
        <f>Reference!D357</f>
        <v>47.6349</v>
      </c>
      <c r="G119" s="13">
        <f>Reference!E357</f>
        <v>47.6649</v>
      </c>
      <c r="H119" s="13">
        <f>Reference!F357</f>
        <v>26453</v>
      </c>
      <c r="I119" s="13">
        <f>Reference!G357</f>
        <v>11.967</v>
      </c>
      <c r="J119" s="13">
        <f t="shared" si="9"/>
        <v>7.34805555555556</v>
      </c>
      <c r="K119" s="27">
        <f>Reference!H357</f>
        <v>5812520</v>
      </c>
      <c r="L119" s="28">
        <f>Reference!I357</f>
        <v>910056</v>
      </c>
      <c r="N119" s="12">
        <f>Test!B357</f>
        <v>0</v>
      </c>
      <c r="O119" s="13">
        <f>Test!C357</f>
        <v>0</v>
      </c>
      <c r="P119" s="13">
        <f>Test!D357</f>
        <v>0</v>
      </c>
      <c r="Q119" s="13">
        <f>Test!E357</f>
        <v>0</v>
      </c>
      <c r="R119" s="13">
        <f>Test!F357</f>
        <v>0</v>
      </c>
      <c r="S119" s="13">
        <f>Test!G357</f>
        <v>0</v>
      </c>
      <c r="T119" s="13">
        <f t="shared" si="10"/>
        <v>0</v>
      </c>
      <c r="U119" s="27">
        <f>Test!H357</f>
        <v>0</v>
      </c>
      <c r="V119" s="28">
        <f>Test!I357</f>
        <v>0</v>
      </c>
      <c r="W119" s="16">
        <f t="shared" si="11"/>
        <v>0</v>
      </c>
      <c r="X119" s="16">
        <f t="shared" si="12"/>
        <v>0</v>
      </c>
      <c r="Y119" s="16">
        <f t="shared" si="13"/>
        <v>0</v>
      </c>
      <c r="Z119" s="25">
        <f t="shared" si="13"/>
        <v>0</v>
      </c>
      <c r="AA119" s="42"/>
      <c r="AB119" s="39" t="e">
        <f>bdrate($D119:$D122,E119:E122,$N119:$N122,O119:O122)</f>
        <v>#VALUE!</v>
      </c>
      <c r="AC119" s="40" t="e">
        <f>bdrate($D119:$D122,F119:F122,$N119:$N122,P119:P122)</f>
        <v>#VALUE!</v>
      </c>
      <c r="AD119" s="40" t="e">
        <f>bdrate($D119:$D122,G119:G122,$N119:$N122,Q119:Q122)</f>
        <v>#VALUE!</v>
      </c>
      <c r="AE119" s="49" t="e">
        <f>bdrateOld($D119:$D122,E119:E122,$N119:$N122,O119:O122)</f>
        <v>#VALUE!</v>
      </c>
      <c r="AF119" s="50" t="e">
        <f>bdrateOld($D119:$D122,F119:F122,$N119:$N122,P119:P122)</f>
        <v>#VALUE!</v>
      </c>
      <c r="AG119" s="52" t="e">
        <f>bdrateOld($D119:$D122,G119:G122,$N119:$N122,Q119:Q122)</f>
        <v>#VALUE!</v>
      </c>
    </row>
    <row r="120" spans="1:33">
      <c r="A120" s="14"/>
      <c r="B120" s="14"/>
      <c r="C120" s="14">
        <v>27</v>
      </c>
      <c r="D120" s="15">
        <f>Reference!B358</f>
        <v>1508.3456</v>
      </c>
      <c r="E120" s="16">
        <f>Reference!C358</f>
        <v>43.443</v>
      </c>
      <c r="F120" s="16">
        <f>Reference!D358</f>
        <v>44.4308</v>
      </c>
      <c r="G120" s="16">
        <f>Reference!E358</f>
        <v>44.2378</v>
      </c>
      <c r="H120" s="16">
        <f>Reference!F358</f>
        <v>35088</v>
      </c>
      <c r="I120" s="16">
        <f>Reference!G358</f>
        <v>15.817</v>
      </c>
      <c r="J120" s="16">
        <f t="shared" si="9"/>
        <v>9.74666666666667</v>
      </c>
      <c r="K120" s="29">
        <f>Reference!H358</f>
        <v>5773752</v>
      </c>
      <c r="L120" s="30">
        <f>Reference!I358</f>
        <v>888452</v>
      </c>
      <c r="N120" s="15">
        <f>Test!B358</f>
        <v>0</v>
      </c>
      <c r="O120" s="16">
        <f>Test!C358</f>
        <v>0</v>
      </c>
      <c r="P120" s="16">
        <f>Test!D358</f>
        <v>0</v>
      </c>
      <c r="Q120" s="16">
        <f>Test!E358</f>
        <v>0</v>
      </c>
      <c r="R120" s="16">
        <f>Test!F358</f>
        <v>0</v>
      </c>
      <c r="S120" s="16">
        <f>Test!G358</f>
        <v>0</v>
      </c>
      <c r="T120" s="16">
        <f t="shared" si="10"/>
        <v>0</v>
      </c>
      <c r="U120" s="29">
        <f>Test!H358</f>
        <v>0</v>
      </c>
      <c r="V120" s="30">
        <f>Test!I358</f>
        <v>0</v>
      </c>
      <c r="W120" s="16">
        <f t="shared" si="11"/>
        <v>0</v>
      </c>
      <c r="X120" s="16">
        <f t="shared" si="12"/>
        <v>0</v>
      </c>
      <c r="Y120" s="16">
        <f t="shared" si="13"/>
        <v>0</v>
      </c>
      <c r="Z120" s="25">
        <f t="shared" si="13"/>
        <v>0</v>
      </c>
      <c r="AA120" s="42"/>
      <c r="AB120" s="43"/>
      <c r="AC120" s="44"/>
      <c r="AD120" s="44"/>
      <c r="AE120" s="43"/>
      <c r="AF120" s="44"/>
      <c r="AG120" s="45"/>
    </row>
    <row r="121" spans="1:33">
      <c r="A121" s="14"/>
      <c r="B121" s="14"/>
      <c r="C121" s="14">
        <v>32</v>
      </c>
      <c r="D121" s="15">
        <f>Reference!B359</f>
        <v>1067.3632</v>
      </c>
      <c r="E121" s="16">
        <f>Reference!C359</f>
        <v>38.7187</v>
      </c>
      <c r="F121" s="16">
        <f>Reference!D359</f>
        <v>41.6998</v>
      </c>
      <c r="G121" s="16">
        <f>Reference!E359</f>
        <v>41.4708</v>
      </c>
      <c r="H121" s="16">
        <f>Reference!F359</f>
        <v>32750</v>
      </c>
      <c r="I121" s="16">
        <f>Reference!G359</f>
        <v>15.558</v>
      </c>
      <c r="J121" s="16">
        <f t="shared" si="9"/>
        <v>9.09722222222222</v>
      </c>
      <c r="K121" s="29">
        <f>Reference!H359</f>
        <v>5793436</v>
      </c>
      <c r="L121" s="30">
        <f>Reference!I359</f>
        <v>891264</v>
      </c>
      <c r="N121" s="15">
        <f>Test!B359</f>
        <v>0</v>
      </c>
      <c r="O121" s="16">
        <f>Test!C359</f>
        <v>0</v>
      </c>
      <c r="P121" s="16">
        <f>Test!D359</f>
        <v>0</v>
      </c>
      <c r="Q121" s="16">
        <f>Test!E359</f>
        <v>0</v>
      </c>
      <c r="R121" s="16">
        <f>Test!F359</f>
        <v>0</v>
      </c>
      <c r="S121" s="16">
        <f>Test!G359</f>
        <v>0</v>
      </c>
      <c r="T121" s="16">
        <f t="shared" si="10"/>
        <v>0</v>
      </c>
      <c r="U121" s="29">
        <f>Test!H359</f>
        <v>0</v>
      </c>
      <c r="V121" s="30">
        <f>Test!I359</f>
        <v>0</v>
      </c>
      <c r="W121" s="16">
        <f t="shared" si="11"/>
        <v>0</v>
      </c>
      <c r="X121" s="16">
        <f t="shared" si="12"/>
        <v>0</v>
      </c>
      <c r="Y121" s="16">
        <f t="shared" si="13"/>
        <v>0</v>
      </c>
      <c r="Z121" s="25">
        <f t="shared" si="13"/>
        <v>0</v>
      </c>
      <c r="AA121" s="42"/>
      <c r="AB121" s="43"/>
      <c r="AC121" s="44"/>
      <c r="AD121" s="44"/>
      <c r="AE121" s="43"/>
      <c r="AF121" s="44"/>
      <c r="AG121" s="45"/>
    </row>
    <row r="122" ht="12.75" spans="1:33">
      <c r="A122" s="17"/>
      <c r="B122" s="17"/>
      <c r="C122" s="17">
        <v>37</v>
      </c>
      <c r="D122" s="18">
        <f>Reference!B360</f>
        <v>754.7376</v>
      </c>
      <c r="E122" s="19">
        <f>Reference!C360</f>
        <v>33.9798</v>
      </c>
      <c r="F122" s="19">
        <f>Reference!D360</f>
        <v>38.8367</v>
      </c>
      <c r="G122" s="19">
        <f>Reference!E360</f>
        <v>38.3186</v>
      </c>
      <c r="H122" s="19">
        <f>Reference!F360</f>
        <v>21394</v>
      </c>
      <c r="I122" s="19">
        <f>Reference!G360</f>
        <v>12.094</v>
      </c>
      <c r="J122" s="19">
        <f t="shared" si="9"/>
        <v>5.94277777777778</v>
      </c>
      <c r="K122" s="31">
        <f>Reference!H360</f>
        <v>5793244</v>
      </c>
      <c r="L122" s="32">
        <f>Reference!I360</f>
        <v>864512</v>
      </c>
      <c r="N122" s="18">
        <f>Test!B360</f>
        <v>0</v>
      </c>
      <c r="O122" s="19">
        <f>Test!C360</f>
        <v>0</v>
      </c>
      <c r="P122" s="19">
        <f>Test!D360</f>
        <v>0</v>
      </c>
      <c r="Q122" s="19">
        <f>Test!E360</f>
        <v>0</v>
      </c>
      <c r="R122" s="19">
        <f>Test!F360</f>
        <v>0</v>
      </c>
      <c r="S122" s="19">
        <f>Test!G360</f>
        <v>0</v>
      </c>
      <c r="T122" s="19">
        <f t="shared" si="10"/>
        <v>0</v>
      </c>
      <c r="U122" s="31">
        <f>Test!H360</f>
        <v>0</v>
      </c>
      <c r="V122" s="32">
        <f>Test!I360</f>
        <v>0</v>
      </c>
      <c r="W122" s="19">
        <f t="shared" si="11"/>
        <v>0</v>
      </c>
      <c r="X122" s="19">
        <f t="shared" si="12"/>
        <v>0</v>
      </c>
      <c r="Y122" s="19">
        <f t="shared" si="13"/>
        <v>0</v>
      </c>
      <c r="Z122" s="26">
        <f t="shared" si="13"/>
        <v>0</v>
      </c>
      <c r="AA122" s="51"/>
      <c r="AB122" s="46"/>
      <c r="AC122" s="47"/>
      <c r="AD122" s="47"/>
      <c r="AE122" s="46"/>
      <c r="AF122" s="47"/>
      <c r="AG122" s="48"/>
    </row>
    <row r="123" spans="2:33">
      <c r="B123" s="2" t="s">
        <v>19</v>
      </c>
      <c r="I123" s="42"/>
      <c r="J123" s="42"/>
      <c r="K123" s="42"/>
      <c r="L123" s="53"/>
      <c r="S123" s="42"/>
      <c r="T123" s="42"/>
      <c r="U123" s="42"/>
      <c r="V123" s="53"/>
      <c r="W123" s="42"/>
      <c r="X123" s="42"/>
      <c r="Y123" s="42"/>
      <c r="Z123" s="53"/>
      <c r="AB123" s="39"/>
      <c r="AC123" s="40"/>
      <c r="AD123" s="41"/>
      <c r="AE123" s="39"/>
      <c r="AF123" s="40"/>
      <c r="AG123" s="41"/>
    </row>
    <row r="124" spans="2:33">
      <c r="B124" s="2" t="s">
        <v>21</v>
      </c>
      <c r="I124" s="42"/>
      <c r="J124" s="42"/>
      <c r="K124" s="42"/>
      <c r="L124" s="53"/>
      <c r="S124" s="42"/>
      <c r="T124" s="42"/>
      <c r="U124" s="42"/>
      <c r="V124" s="53"/>
      <c r="W124" s="42"/>
      <c r="X124" s="42"/>
      <c r="Y124" s="42"/>
      <c r="Z124" s="53"/>
      <c r="AB124" s="49"/>
      <c r="AC124" s="50"/>
      <c r="AD124" s="52"/>
      <c r="AE124" s="49"/>
      <c r="AF124" s="50"/>
      <c r="AG124" s="52"/>
    </row>
    <row r="125" spans="2:33">
      <c r="B125" s="2" t="s">
        <v>22</v>
      </c>
      <c r="I125" s="42">
        <f>GEOMEAN(I27:I46)</f>
        <v>53.3178919835282</v>
      </c>
      <c r="J125" s="42">
        <f>GEOMEAN(J27:J46)</f>
        <v>15.9330867850176</v>
      </c>
      <c r="K125" s="42"/>
      <c r="L125" s="53"/>
      <c r="S125" s="42" t="e">
        <f>GEOMEAN(S27:S46)</f>
        <v>#NUM!</v>
      </c>
      <c r="T125" s="42" t="e">
        <f>GEOMEAN(T27:T46)</f>
        <v>#NUM!</v>
      </c>
      <c r="U125" s="42"/>
      <c r="V125" s="53"/>
      <c r="W125" s="42" t="e">
        <f>GEOMEAN(W27:W46)</f>
        <v>#NUM!</v>
      </c>
      <c r="X125" s="42" t="e">
        <f>GEOMEAN(X27:X46)</f>
        <v>#NUM!</v>
      </c>
      <c r="Y125" s="42" t="e">
        <f>GEOMEAN(Y27:Y46)</f>
        <v>#NUM!</v>
      </c>
      <c r="Z125" s="53" t="e">
        <f>GEOMEAN(Z27:Z46)</f>
        <v>#NUM!</v>
      </c>
      <c r="AB125" s="49" t="e">
        <f t="shared" ref="AB125:AG125" si="14">AVERAGE(AB27:AB46)</f>
        <v>#VALUE!</v>
      </c>
      <c r="AC125" s="50" t="e">
        <f t="shared" si="14"/>
        <v>#VALUE!</v>
      </c>
      <c r="AD125" s="52" t="e">
        <f t="shared" si="14"/>
        <v>#VALUE!</v>
      </c>
      <c r="AE125" s="49" t="e">
        <f t="shared" si="14"/>
        <v>#VALUE!</v>
      </c>
      <c r="AF125" s="50" t="e">
        <f t="shared" si="14"/>
        <v>#VALUE!</v>
      </c>
      <c r="AG125" s="52" t="e">
        <f t="shared" si="14"/>
        <v>#VALUE!</v>
      </c>
    </row>
    <row r="126" spans="2:33">
      <c r="B126" s="2" t="s">
        <v>23</v>
      </c>
      <c r="I126" s="42">
        <f>GEOMEAN(I47:I62)</f>
        <v>12.0159857026793</v>
      </c>
      <c r="J126" s="42">
        <f>GEOMEAN(J47:J62)</f>
        <v>4.03046736082136</v>
      </c>
      <c r="K126" s="42"/>
      <c r="L126" s="53"/>
      <c r="S126" s="42" t="e">
        <f>GEOMEAN(S47:S62)</f>
        <v>#NUM!</v>
      </c>
      <c r="T126" s="42" t="e">
        <f>GEOMEAN(T47:T62)</f>
        <v>#NUM!</v>
      </c>
      <c r="U126" s="42"/>
      <c r="V126" s="53"/>
      <c r="W126" s="42" t="e">
        <f>GEOMEAN(W47:W62)</f>
        <v>#NUM!</v>
      </c>
      <c r="X126" s="42" t="e">
        <f>GEOMEAN(X47:X62)</f>
        <v>#NUM!</v>
      </c>
      <c r="Y126" s="42" t="e">
        <f>GEOMEAN(Y47:Y62)</f>
        <v>#NUM!</v>
      </c>
      <c r="Z126" s="53" t="e">
        <f>GEOMEAN(Z47:Z62)</f>
        <v>#NUM!</v>
      </c>
      <c r="AB126" s="49" t="e">
        <f t="shared" ref="AB126:AG126" si="15">AVERAGE(AB47:AB62)</f>
        <v>#VALUE!</v>
      </c>
      <c r="AC126" s="50" t="e">
        <f t="shared" si="15"/>
        <v>#VALUE!</v>
      </c>
      <c r="AD126" s="52" t="e">
        <f t="shared" si="15"/>
        <v>#VALUE!</v>
      </c>
      <c r="AE126" s="49" t="e">
        <f t="shared" si="15"/>
        <v>#VALUE!</v>
      </c>
      <c r="AF126" s="50" t="e">
        <f t="shared" si="15"/>
        <v>#VALUE!</v>
      </c>
      <c r="AG126" s="52" t="e">
        <f t="shared" si="15"/>
        <v>#VALUE!</v>
      </c>
    </row>
    <row r="127" spans="2:33">
      <c r="B127" s="2" t="s">
        <v>27</v>
      </c>
      <c r="I127" s="42">
        <f>GEOMEAN(I63:I78)</f>
        <v>3.29067645333403</v>
      </c>
      <c r="J127" s="42">
        <f>GEOMEAN(J63:J78)</f>
        <v>0.996838132491761</v>
      </c>
      <c r="K127" s="42"/>
      <c r="L127" s="53"/>
      <c r="S127" s="42" t="e">
        <f>GEOMEAN(S63:S78)</f>
        <v>#NUM!</v>
      </c>
      <c r="T127" s="42" t="e">
        <f>GEOMEAN(T63:T78)</f>
        <v>#NUM!</v>
      </c>
      <c r="U127" s="42"/>
      <c r="V127" s="53"/>
      <c r="W127" s="42" t="e">
        <f>GEOMEAN(W63:W78)</f>
        <v>#NUM!</v>
      </c>
      <c r="X127" s="42" t="e">
        <f>GEOMEAN(X63:X78)</f>
        <v>#NUM!</v>
      </c>
      <c r="Y127" s="42" t="e">
        <f>GEOMEAN(Y63:Y78)</f>
        <v>#NUM!</v>
      </c>
      <c r="Z127" s="53" t="e">
        <f>GEOMEAN(Z63:Z78)</f>
        <v>#NUM!</v>
      </c>
      <c r="AB127" s="49" t="e">
        <f t="shared" ref="AB127:AG127" si="16">AVERAGE(AB63:AB78)</f>
        <v>#VALUE!</v>
      </c>
      <c r="AC127" s="50" t="e">
        <f t="shared" si="16"/>
        <v>#VALUE!</v>
      </c>
      <c r="AD127" s="52" t="e">
        <f t="shared" si="16"/>
        <v>#VALUE!</v>
      </c>
      <c r="AE127" s="49" t="e">
        <f t="shared" si="16"/>
        <v>#VALUE!</v>
      </c>
      <c r="AF127" s="50" t="e">
        <f t="shared" si="16"/>
        <v>#VALUE!</v>
      </c>
      <c r="AG127" s="52" t="e">
        <f t="shared" si="16"/>
        <v>#VALUE!</v>
      </c>
    </row>
    <row r="128" spans="2:33">
      <c r="B128" s="2" t="s">
        <v>24</v>
      </c>
      <c r="I128" s="42">
        <f>GEOMEAN(I79:I90)</f>
        <v>10.9232480059722</v>
      </c>
      <c r="J128" s="42">
        <f>GEOMEAN(J79:J90)</f>
        <v>3.58339633329983</v>
      </c>
      <c r="K128" s="42"/>
      <c r="L128" s="53"/>
      <c r="S128" s="42" t="e">
        <f>GEOMEAN(S79:S90)</f>
        <v>#NUM!</v>
      </c>
      <c r="T128" s="42" t="e">
        <f>GEOMEAN(T79:T90)</f>
        <v>#NUM!</v>
      </c>
      <c r="U128" s="42"/>
      <c r="V128" s="53"/>
      <c r="W128" s="42" t="e">
        <f>GEOMEAN(W79:W90)</f>
        <v>#NUM!</v>
      </c>
      <c r="X128" s="42" t="e">
        <f>GEOMEAN(X79:X90)</f>
        <v>#NUM!</v>
      </c>
      <c r="Y128" s="42" t="e">
        <f>GEOMEAN(Y79:Y90)</f>
        <v>#NUM!</v>
      </c>
      <c r="Z128" s="53" t="e">
        <f>GEOMEAN(Z79:Z90)</f>
        <v>#NUM!</v>
      </c>
      <c r="AB128" s="49" t="e">
        <f t="shared" ref="AB128:AG128" si="17">AVERAGE(AB79:AB88)</f>
        <v>#VALUE!</v>
      </c>
      <c r="AC128" s="50" t="e">
        <f t="shared" si="17"/>
        <v>#VALUE!</v>
      </c>
      <c r="AD128" s="52" t="e">
        <f t="shared" si="17"/>
        <v>#VALUE!</v>
      </c>
      <c r="AE128" s="49" t="e">
        <f t="shared" si="17"/>
        <v>#VALUE!</v>
      </c>
      <c r="AF128" s="50" t="e">
        <f t="shared" si="17"/>
        <v>#VALUE!</v>
      </c>
      <c r="AG128" s="52" t="e">
        <f t="shared" si="17"/>
        <v>#VALUE!</v>
      </c>
    </row>
    <row r="129" spans="2:33">
      <c r="B129" s="2" t="s">
        <v>28</v>
      </c>
      <c r="I129" s="42">
        <f>GEOMEAN(I91:I106)</f>
        <v>7.64882318954865</v>
      </c>
      <c r="J129" s="42">
        <f>GEOMEAN(J91:J106)</f>
        <v>3.00766596222018</v>
      </c>
      <c r="K129" s="42"/>
      <c r="L129" s="53"/>
      <c r="S129" s="42" t="e">
        <f>GEOMEAN(S91:S106)</f>
        <v>#NUM!</v>
      </c>
      <c r="T129" s="42" t="e">
        <f>GEOMEAN(T91:T106)</f>
        <v>#NUM!</v>
      </c>
      <c r="U129" s="42"/>
      <c r="V129" s="53"/>
      <c r="W129" s="42" t="e">
        <f>GEOMEAN(W91:W106)</f>
        <v>#NUM!</v>
      </c>
      <c r="X129" s="42" t="e">
        <f>GEOMEAN(X91:X106)</f>
        <v>#NUM!</v>
      </c>
      <c r="Y129" s="42" t="e">
        <f>GEOMEAN(Y91:Y106)</f>
        <v>#NUM!</v>
      </c>
      <c r="Z129" s="53" t="e">
        <f>GEOMEAN(Z91:Z106)</f>
        <v>#NUM!</v>
      </c>
      <c r="AB129" s="49" t="e">
        <f t="shared" ref="AB129:AG129" si="18">AVERAGE(AB91:AB106)</f>
        <v>#VALUE!</v>
      </c>
      <c r="AC129" s="50" t="e">
        <f t="shared" si="18"/>
        <v>#VALUE!</v>
      </c>
      <c r="AD129" s="52" t="e">
        <f t="shared" si="18"/>
        <v>#VALUE!</v>
      </c>
      <c r="AE129" s="49" t="e">
        <f t="shared" si="18"/>
        <v>#VALUE!</v>
      </c>
      <c r="AF129" s="50" t="e">
        <f t="shared" si="18"/>
        <v>#VALUE!</v>
      </c>
      <c r="AG129" s="52" t="e">
        <f t="shared" si="18"/>
        <v>#VALUE!</v>
      </c>
    </row>
    <row r="130" ht="12.75" spans="2:33">
      <c r="B130" s="2" t="s">
        <v>121</v>
      </c>
      <c r="I130" s="42">
        <f>GEOMEAN(I107:I122)</f>
        <v>29.5455187851437</v>
      </c>
      <c r="J130" s="42">
        <f>GEOMEAN(J107:J122)</f>
        <v>10.0575487637809</v>
      </c>
      <c r="K130" s="42"/>
      <c r="L130" s="53"/>
      <c r="S130" s="42" t="e">
        <f>GEOMEAN(S107:S122)</f>
        <v>#NUM!</v>
      </c>
      <c r="T130" s="42" t="e">
        <f>GEOMEAN(T107:T122)</f>
        <v>#NUM!</v>
      </c>
      <c r="U130" s="42"/>
      <c r="V130" s="53"/>
      <c r="W130" s="42" t="e">
        <f>GEOMEAN(W107:W122)</f>
        <v>#NUM!</v>
      </c>
      <c r="X130" s="42" t="e">
        <f>GEOMEAN(X107:X122)</f>
        <v>#NUM!</v>
      </c>
      <c r="Y130" s="42" t="e">
        <f>GEOMEAN(Y107:Y122)</f>
        <v>#NUM!</v>
      </c>
      <c r="Z130" s="53" t="e">
        <f>GEOMEAN(Z107:Z122)</f>
        <v>#NUM!</v>
      </c>
      <c r="AB130" s="49" t="e">
        <f t="shared" ref="AB130:AG130" si="19">AVERAGE(AB107:AB122)</f>
        <v>#VALUE!</v>
      </c>
      <c r="AC130" s="50" t="e">
        <f t="shared" si="19"/>
        <v>#VALUE!</v>
      </c>
      <c r="AD130" s="52" t="e">
        <f t="shared" si="19"/>
        <v>#VALUE!</v>
      </c>
      <c r="AE130" s="49" t="e">
        <f t="shared" si="19"/>
        <v>#VALUE!</v>
      </c>
      <c r="AF130" s="50" t="e">
        <f t="shared" si="19"/>
        <v>#VALUE!</v>
      </c>
      <c r="AG130" s="52" t="e">
        <f t="shared" si="19"/>
        <v>#VALUE!</v>
      </c>
    </row>
    <row r="131" ht="12.75" spans="1:33">
      <c r="A131" s="54"/>
      <c r="B131" s="55" t="s">
        <v>34</v>
      </c>
      <c r="C131" s="55"/>
      <c r="D131" s="55"/>
      <c r="E131" s="55"/>
      <c r="F131" s="55"/>
      <c r="G131" s="55"/>
      <c r="H131" s="55"/>
      <c r="I131" s="56">
        <f>GEOMEAN(I3:I62,I79:I90)</f>
        <v>21.8292167867646</v>
      </c>
      <c r="J131" s="56">
        <f>GEOMEAN(J3:J62,J79:J90)</f>
        <v>6.93932372455229</v>
      </c>
      <c r="K131" s="56"/>
      <c r="L131" s="57"/>
      <c r="M131" s="55"/>
      <c r="N131" s="55"/>
      <c r="O131" s="55"/>
      <c r="P131" s="55"/>
      <c r="Q131" s="55"/>
      <c r="R131" s="55"/>
      <c r="S131" s="56" t="e">
        <f>GEOMEAN(S3:S62,S79:S90)</f>
        <v>#NUM!</v>
      </c>
      <c r="T131" s="56" t="e">
        <f>GEOMEAN(T3:T62,T79:T90)</f>
        <v>#NUM!</v>
      </c>
      <c r="U131" s="56"/>
      <c r="V131" s="57"/>
      <c r="W131" s="56" t="e">
        <f>GEOMEAN(W3:W62,W79:W90)</f>
        <v>#NUM!</v>
      </c>
      <c r="X131" s="56" t="e">
        <f>GEOMEAN(X3:X62,X79:X90)</f>
        <v>#NUM!</v>
      </c>
      <c r="Y131" s="56" t="e">
        <f>GEOMEAN(Y3:Y62,Y79:Y90)</f>
        <v>#NUM!</v>
      </c>
      <c r="Z131" s="57" t="e">
        <f>GEOMEAN(Z3:Z62,Z79:Z90)</f>
        <v>#NUM!</v>
      </c>
      <c r="AA131" s="55"/>
      <c r="AB131" s="62" t="e">
        <f t="shared" ref="AB131:AG131" si="20">AVERAGE(AB3:AB62,AB79:AB90)</f>
        <v>#VALUE!</v>
      </c>
      <c r="AC131" s="63" t="e">
        <f t="shared" si="20"/>
        <v>#VALUE!</v>
      </c>
      <c r="AD131" s="64" t="e">
        <f t="shared" si="20"/>
        <v>#VALUE!</v>
      </c>
      <c r="AE131" s="62" t="e">
        <f t="shared" si="20"/>
        <v>#VALUE!</v>
      </c>
      <c r="AF131" s="63" t="e">
        <f t="shared" si="20"/>
        <v>#VALUE!</v>
      </c>
      <c r="AG131" s="64" t="e">
        <f t="shared" si="20"/>
        <v>#VALUE!</v>
      </c>
    </row>
    <row r="132" spans="2:26">
      <c r="B132" s="2" t="s">
        <v>122</v>
      </c>
      <c r="I132" s="58">
        <f>GEOMEAN(I3:I106)</f>
        <v>12.122685920285</v>
      </c>
      <c r="J132" s="58">
        <f>GEOMEAN(J3:J106)</f>
        <v>3.98254908904804</v>
      </c>
      <c r="K132" s="58"/>
      <c r="L132" s="59"/>
      <c r="S132" s="58" t="e">
        <f>GEOMEAN(S3:S106)</f>
        <v>#NUM!</v>
      </c>
      <c r="T132" s="58" t="e">
        <f>GEOMEAN(T3:T106)</f>
        <v>#NUM!</v>
      </c>
      <c r="U132" s="58"/>
      <c r="V132" s="59"/>
      <c r="W132" s="58"/>
      <c r="X132" s="58"/>
      <c r="Y132" s="58"/>
      <c r="Z132" s="58"/>
    </row>
    <row r="133" spans="2:26">
      <c r="B133" s="2" t="s">
        <v>123</v>
      </c>
      <c r="S133" s="60" t="e">
        <f>S132/I132</f>
        <v>#NUM!</v>
      </c>
      <c r="T133" s="60" t="e">
        <f>T132/J132</f>
        <v>#NUM!</v>
      </c>
      <c r="U133" s="60"/>
      <c r="V133" s="61"/>
      <c r="W133" s="60"/>
      <c r="X133" s="60"/>
      <c r="Y133" s="60"/>
      <c r="Z133" s="60"/>
    </row>
    <row r="134" spans="2:26">
      <c r="B134" s="2" t="s">
        <v>124</v>
      </c>
      <c r="I134" s="58"/>
      <c r="J134" s="58"/>
      <c r="K134" s="58"/>
      <c r="L134" s="59"/>
      <c r="S134" s="58"/>
      <c r="T134" s="58"/>
      <c r="U134" s="58"/>
      <c r="V134" s="59"/>
      <c r="W134" s="58"/>
      <c r="X134" s="58"/>
      <c r="Y134" s="58"/>
      <c r="Z134" s="58"/>
    </row>
    <row r="136" spans="2:2">
      <c r="B136" s="2" t="s">
        <v>125</v>
      </c>
    </row>
    <row r="137" spans="2:26">
      <c r="B137" s="2" t="s">
        <v>19</v>
      </c>
      <c r="I137" s="42">
        <f>SUM(I$3:I$14)</f>
        <v>0</v>
      </c>
      <c r="J137" s="42">
        <f>SUM(J$3:J$14)</f>
        <v>0</v>
      </c>
      <c r="K137" s="42"/>
      <c r="L137" s="53"/>
      <c r="S137" s="42">
        <f>SUM(S$3:S$14)</f>
        <v>0</v>
      </c>
      <c r="T137" s="42">
        <f>SUM(T$3:T$14)</f>
        <v>0</v>
      </c>
      <c r="U137" s="42"/>
      <c r="V137" s="53"/>
      <c r="W137" s="42" t="e">
        <f>T137/J137</f>
        <v>#DIV/0!</v>
      </c>
      <c r="X137" s="42" t="e">
        <f>S137/I137</f>
        <v>#DIV/0!</v>
      </c>
      <c r="Y137" s="42"/>
      <c r="Z137" s="42"/>
    </row>
    <row r="138" spans="2:26">
      <c r="B138" s="2" t="s">
        <v>21</v>
      </c>
      <c r="I138" s="42">
        <f>SUM(I$15:I$26)</f>
        <v>0</v>
      </c>
      <c r="J138" s="42">
        <f>SUM(J$15:J$26)</f>
        <v>0</v>
      </c>
      <c r="K138" s="42"/>
      <c r="L138" s="53"/>
      <c r="S138" s="42">
        <f>SUM(S$15:S$26)</f>
        <v>0</v>
      </c>
      <c r="T138" s="42">
        <f>SUM(T$15:T$26)</f>
        <v>0</v>
      </c>
      <c r="U138" s="42"/>
      <c r="V138" s="53"/>
      <c r="W138" s="42" t="e">
        <f t="shared" ref="W138:W145" si="21">T138/J138</f>
        <v>#DIV/0!</v>
      </c>
      <c r="X138" s="42" t="e">
        <f t="shared" ref="X138:X145" si="22">S138/I138</f>
        <v>#DIV/0!</v>
      </c>
      <c r="Y138" s="42"/>
      <c r="Z138" s="42"/>
    </row>
    <row r="139" spans="2:26">
      <c r="B139" s="2" t="s">
        <v>22</v>
      </c>
      <c r="I139" s="42">
        <f>SUM(I$27:I$46)</f>
        <v>1146.093</v>
      </c>
      <c r="J139" s="42">
        <f>SUM(J$27:J$46)</f>
        <v>371.167777777778</v>
      </c>
      <c r="K139" s="42"/>
      <c r="L139" s="53"/>
      <c r="S139" s="42">
        <f>SUM(S$27:S$46)</f>
        <v>0</v>
      </c>
      <c r="T139" s="42">
        <f>SUM(T$27:T$46)</f>
        <v>0</v>
      </c>
      <c r="U139" s="42"/>
      <c r="V139" s="53"/>
      <c r="W139" s="42">
        <f t="shared" si="21"/>
        <v>0</v>
      </c>
      <c r="X139" s="42">
        <f t="shared" si="22"/>
        <v>0</v>
      </c>
      <c r="Y139" s="42"/>
      <c r="Z139" s="42"/>
    </row>
    <row r="140" spans="2:26">
      <c r="B140" s="2" t="s">
        <v>23</v>
      </c>
      <c r="I140" s="42">
        <f>SUM(I$47:I$62)</f>
        <v>208.972</v>
      </c>
      <c r="J140" s="42">
        <f>SUM(J$47:J$62)</f>
        <v>71.6236111111111</v>
      </c>
      <c r="K140" s="42"/>
      <c r="L140" s="53"/>
      <c r="S140" s="42">
        <f>SUM(S$47:S$62)</f>
        <v>0</v>
      </c>
      <c r="T140" s="42">
        <f>SUM(T$47:T$62)</f>
        <v>0</v>
      </c>
      <c r="U140" s="42"/>
      <c r="V140" s="53"/>
      <c r="W140" s="42">
        <f t="shared" si="21"/>
        <v>0</v>
      </c>
      <c r="X140" s="42">
        <f t="shared" si="22"/>
        <v>0</v>
      </c>
      <c r="Y140" s="42"/>
      <c r="Z140" s="42"/>
    </row>
    <row r="141" spans="2:26">
      <c r="B141" s="2" t="s">
        <v>27</v>
      </c>
      <c r="I141" s="42">
        <f>SUM(I$63:I$78)</f>
        <v>59.834</v>
      </c>
      <c r="J141" s="42">
        <f>SUM(J$63:J$78)</f>
        <v>17.5886111111111</v>
      </c>
      <c r="K141" s="42"/>
      <c r="L141" s="53"/>
      <c r="S141" s="42">
        <f>SUM(S$63:S$78)</f>
        <v>0</v>
      </c>
      <c r="T141" s="42">
        <f>SUM(T$63:T$78)</f>
        <v>0</v>
      </c>
      <c r="U141" s="42"/>
      <c r="V141" s="53"/>
      <c r="W141" s="42">
        <f t="shared" si="21"/>
        <v>0</v>
      </c>
      <c r="X141" s="42">
        <f t="shared" si="22"/>
        <v>0</v>
      </c>
      <c r="Y141" s="42"/>
      <c r="Z141" s="42"/>
    </row>
    <row r="142" spans="2:26">
      <c r="B142" s="2" t="s">
        <v>24</v>
      </c>
      <c r="I142" s="42">
        <f>SUM(I$79:I$90)</f>
        <v>142.933</v>
      </c>
      <c r="J142" s="42">
        <f>SUM(J$79:J$90)</f>
        <v>46.6169444444444</v>
      </c>
      <c r="K142" s="42"/>
      <c r="L142" s="53"/>
      <c r="S142" s="42">
        <f>SUM(S$79:S$90)</f>
        <v>0</v>
      </c>
      <c r="T142" s="42">
        <f>SUM(T$79:T$90)</f>
        <v>0</v>
      </c>
      <c r="U142" s="42"/>
      <c r="V142" s="53"/>
      <c r="W142" s="42">
        <f t="shared" si="21"/>
        <v>0</v>
      </c>
      <c r="X142" s="42">
        <f t="shared" si="22"/>
        <v>0</v>
      </c>
      <c r="Y142" s="42"/>
      <c r="Z142" s="42"/>
    </row>
    <row r="143" spans="2:26">
      <c r="B143" s="2" t="s">
        <v>28</v>
      </c>
      <c r="I143" s="42">
        <f>SUM(I$91:I$106)</f>
        <v>247.895</v>
      </c>
      <c r="J143" s="42">
        <f>SUM(J$91:J$106)</f>
        <v>95.9013888888889</v>
      </c>
      <c r="K143" s="42"/>
      <c r="L143" s="53"/>
      <c r="S143" s="42">
        <f>SUM(S$91:S$106)</f>
        <v>0</v>
      </c>
      <c r="T143" s="42">
        <f>SUM(T$91:T$106)</f>
        <v>0</v>
      </c>
      <c r="U143" s="42"/>
      <c r="V143" s="53"/>
      <c r="W143" s="42">
        <f t="shared" si="21"/>
        <v>0</v>
      </c>
      <c r="X143" s="42">
        <f t="shared" si="22"/>
        <v>0</v>
      </c>
      <c r="Y143" s="42"/>
      <c r="Z143" s="42"/>
    </row>
    <row r="144" spans="2:26">
      <c r="B144" s="2" t="s">
        <v>29</v>
      </c>
      <c r="I144" s="42">
        <f>SUM(I$107:I$122)</f>
        <v>567.416</v>
      </c>
      <c r="J144" s="42">
        <f>SUM(J$107:J$122)</f>
        <v>196.194722222222</v>
      </c>
      <c r="K144" s="42"/>
      <c r="L144" s="53"/>
      <c r="S144" s="42">
        <f>SUM(S$107:S$122)</f>
        <v>0</v>
      </c>
      <c r="T144" s="42">
        <f>SUM(T$107:T$122)</f>
        <v>0</v>
      </c>
      <c r="U144" s="42"/>
      <c r="V144" s="53"/>
      <c r="W144" s="42">
        <f t="shared" si="21"/>
        <v>0</v>
      </c>
      <c r="X144" s="42">
        <f t="shared" si="22"/>
        <v>0</v>
      </c>
      <c r="Y144" s="42"/>
      <c r="Z144" s="42"/>
    </row>
    <row r="145" spans="2:26">
      <c r="B145" s="2" t="s">
        <v>34</v>
      </c>
      <c r="I145" s="42">
        <f>SUM(I137:I144)</f>
        <v>2373.143</v>
      </c>
      <c r="J145" s="42">
        <f>SUM(J137:J144)</f>
        <v>799.093055555556</v>
      </c>
      <c r="K145" s="42"/>
      <c r="L145" s="53"/>
      <c r="S145" s="42">
        <f>SUM(S137:S144)</f>
        <v>0</v>
      </c>
      <c r="T145" s="42">
        <f>SUM(T137:T144)</f>
        <v>0</v>
      </c>
      <c r="U145" s="42"/>
      <c r="V145" s="53"/>
      <c r="W145" s="42">
        <f t="shared" si="21"/>
        <v>0</v>
      </c>
      <c r="X145" s="42">
        <f t="shared" si="22"/>
        <v>0</v>
      </c>
      <c r="Y145" s="42"/>
      <c r="Z145" s="42"/>
    </row>
    <row r="146" spans="23:26">
      <c r="W146" s="42"/>
      <c r="X146" s="42"/>
      <c r="Y146" s="42"/>
      <c r="Z146" s="42"/>
    </row>
    <row r="147" spans="2:26">
      <c r="B147" s="2" t="s">
        <v>126</v>
      </c>
      <c r="W147" s="42"/>
      <c r="X147" s="42"/>
      <c r="Y147" s="42"/>
      <c r="Z147" s="42"/>
    </row>
    <row r="148" spans="2:26">
      <c r="B148" s="2" t="s">
        <v>19</v>
      </c>
      <c r="I148" s="42">
        <f>MAX(I$3:I$14)</f>
        <v>0</v>
      </c>
      <c r="J148" s="42">
        <f>MAX(J$3:J$14)</f>
        <v>0</v>
      </c>
      <c r="K148" s="42"/>
      <c r="L148" s="53"/>
      <c r="S148" s="42">
        <f>MAX(S$3:S$14)</f>
        <v>0</v>
      </c>
      <c r="T148" s="42">
        <f>MAX(T$3:T$14)</f>
        <v>0</v>
      </c>
      <c r="U148" s="42"/>
      <c r="V148" s="53"/>
      <c r="W148" s="42" t="e">
        <f t="shared" ref="W148:W156" si="23">T148/J148</f>
        <v>#DIV/0!</v>
      </c>
      <c r="X148" s="42" t="e">
        <f t="shared" ref="X148:X156" si="24">S148/I148</f>
        <v>#DIV/0!</v>
      </c>
      <c r="Y148" s="42"/>
      <c r="Z148" s="42"/>
    </row>
    <row r="149" spans="2:26">
      <c r="B149" s="2" t="s">
        <v>21</v>
      </c>
      <c r="I149" s="42">
        <f>MAX(I$15:I$26)</f>
        <v>0</v>
      </c>
      <c r="J149" s="42">
        <f>MAX(J$15:J$26)</f>
        <v>0</v>
      </c>
      <c r="K149" s="42"/>
      <c r="L149" s="53"/>
      <c r="S149" s="42">
        <f>MAX(S$15:S$26)</f>
        <v>0</v>
      </c>
      <c r="T149" s="42">
        <f>MAX(T$15:T$26)</f>
        <v>0</v>
      </c>
      <c r="U149" s="42"/>
      <c r="V149" s="53"/>
      <c r="W149" s="42" t="e">
        <f t="shared" si="23"/>
        <v>#DIV/0!</v>
      </c>
      <c r="X149" s="42" t="e">
        <f t="shared" si="24"/>
        <v>#DIV/0!</v>
      </c>
      <c r="Y149" s="42"/>
      <c r="Z149" s="42"/>
    </row>
    <row r="150" spans="2:26">
      <c r="B150" s="2" t="s">
        <v>22</v>
      </c>
      <c r="I150" s="42">
        <f>MAX(I$27:I$46)</f>
        <v>104.708</v>
      </c>
      <c r="J150" s="42">
        <f>MAX(J$27:J$46)</f>
        <v>46.8580555555556</v>
      </c>
      <c r="K150" s="42"/>
      <c r="L150" s="53"/>
      <c r="S150" s="42">
        <f>MAX(S$27:S$46)</f>
        <v>0</v>
      </c>
      <c r="T150" s="42">
        <f>MAX(T$27:T$46)</f>
        <v>0</v>
      </c>
      <c r="U150" s="42"/>
      <c r="V150" s="53"/>
      <c r="W150" s="42">
        <f t="shared" si="23"/>
        <v>0</v>
      </c>
      <c r="X150" s="42">
        <f t="shared" si="24"/>
        <v>0</v>
      </c>
      <c r="Y150" s="42"/>
      <c r="Z150" s="42"/>
    </row>
    <row r="151" spans="2:26">
      <c r="B151" s="2" t="s">
        <v>23</v>
      </c>
      <c r="I151" s="42">
        <f>MAX(I$47:I$62)</f>
        <v>28.125</v>
      </c>
      <c r="J151" s="42">
        <f>MAX(J$47:J$62)</f>
        <v>9.95972222222222</v>
      </c>
      <c r="K151" s="42"/>
      <c r="L151" s="53"/>
      <c r="S151" s="42">
        <f>MAX(S$47:S$62)</f>
        <v>0</v>
      </c>
      <c r="T151" s="42">
        <f>MAX(T$47:T$62)</f>
        <v>0</v>
      </c>
      <c r="U151" s="42"/>
      <c r="V151" s="53"/>
      <c r="W151" s="42">
        <f t="shared" si="23"/>
        <v>0</v>
      </c>
      <c r="X151" s="42">
        <f t="shared" si="24"/>
        <v>0</v>
      </c>
      <c r="Y151" s="42"/>
      <c r="Z151" s="42"/>
    </row>
    <row r="152" spans="2:26">
      <c r="B152" s="2" t="s">
        <v>27</v>
      </c>
      <c r="I152" s="42">
        <f>MAX(I$63:I$78)</f>
        <v>9.321</v>
      </c>
      <c r="J152" s="42">
        <f>MAX(J$63:J$78)</f>
        <v>2.38833333333333</v>
      </c>
      <c r="K152" s="42"/>
      <c r="L152" s="53"/>
      <c r="S152" s="42">
        <f>MAX(S$63:S$78)</f>
        <v>0</v>
      </c>
      <c r="T152" s="42">
        <f>MAX(T$63:T$78)</f>
        <v>0</v>
      </c>
      <c r="U152" s="42"/>
      <c r="V152" s="53"/>
      <c r="W152" s="42">
        <f t="shared" si="23"/>
        <v>0</v>
      </c>
      <c r="X152" s="42">
        <f t="shared" si="24"/>
        <v>0</v>
      </c>
      <c r="Y152" s="42"/>
      <c r="Z152" s="42"/>
    </row>
    <row r="153" spans="2:26">
      <c r="B153" s="2" t="s">
        <v>24</v>
      </c>
      <c r="I153" s="42">
        <f>MAX(I$79:I$90)</f>
        <v>20.452</v>
      </c>
      <c r="J153" s="42">
        <f>MAX(J$79:J$90)</f>
        <v>6.98944444444444</v>
      </c>
      <c r="K153" s="42"/>
      <c r="L153" s="53"/>
      <c r="S153" s="42">
        <f>MAX(S$79:S$90)</f>
        <v>0</v>
      </c>
      <c r="T153" s="42">
        <f>MAX(T$79:T$90)</f>
        <v>0</v>
      </c>
      <c r="U153" s="42"/>
      <c r="V153" s="53"/>
      <c r="W153" s="42">
        <f t="shared" si="23"/>
        <v>0</v>
      </c>
      <c r="X153" s="42">
        <f t="shared" si="24"/>
        <v>0</v>
      </c>
      <c r="Y153" s="42"/>
      <c r="Z153" s="42"/>
    </row>
    <row r="154" spans="2:26">
      <c r="B154" s="2" t="s">
        <v>28</v>
      </c>
      <c r="I154" s="42">
        <f>MAX(I$91:I$106)</f>
        <v>67.234</v>
      </c>
      <c r="J154" s="42">
        <f>MAX(J$91:J$106)</f>
        <v>27.6897222222222</v>
      </c>
      <c r="K154" s="42"/>
      <c r="L154" s="53"/>
      <c r="S154" s="42">
        <f>MAX(S$91:S$106)</f>
        <v>0</v>
      </c>
      <c r="T154" s="42">
        <f>MAX(T$91:T$106)</f>
        <v>0</v>
      </c>
      <c r="U154" s="42"/>
      <c r="V154" s="53"/>
      <c r="W154" s="42">
        <f t="shared" si="23"/>
        <v>0</v>
      </c>
      <c r="X154" s="42">
        <f t="shared" si="24"/>
        <v>0</v>
      </c>
      <c r="Y154" s="42"/>
      <c r="Z154" s="42"/>
    </row>
    <row r="155" spans="2:26">
      <c r="B155" s="2" t="s">
        <v>29</v>
      </c>
      <c r="I155" s="42">
        <f>MAX(I$107:I$122)</f>
        <v>98.828</v>
      </c>
      <c r="J155" s="42">
        <f>MAX(J$107:J$122)</f>
        <v>38.2891666666667</v>
      </c>
      <c r="K155" s="42"/>
      <c r="L155" s="53"/>
      <c r="S155" s="42">
        <f>MAX(S$107:S$122)</f>
        <v>0</v>
      </c>
      <c r="T155" s="42">
        <f>MAX(T$107:T$122)</f>
        <v>0</v>
      </c>
      <c r="U155" s="42"/>
      <c r="V155" s="53"/>
      <c r="W155" s="42">
        <f t="shared" si="23"/>
        <v>0</v>
      </c>
      <c r="X155" s="42">
        <f t="shared" si="24"/>
        <v>0</v>
      </c>
      <c r="Y155" s="42"/>
      <c r="Z155" s="42"/>
    </row>
    <row r="156" spans="2:26">
      <c r="B156" s="2" t="s">
        <v>34</v>
      </c>
      <c r="I156" s="42">
        <f>MAX(I148:I155)</f>
        <v>104.708</v>
      </c>
      <c r="J156" s="42">
        <f>MAX(J148:J155)</f>
        <v>46.8580555555556</v>
      </c>
      <c r="K156" s="42"/>
      <c r="L156" s="53"/>
      <c r="S156" s="42">
        <f>MAX(S148:S155)</f>
        <v>0</v>
      </c>
      <c r="T156" s="42">
        <f>MAX(T148:T155)</f>
        <v>0</v>
      </c>
      <c r="U156" s="42"/>
      <c r="V156" s="53"/>
      <c r="W156" s="42">
        <f t="shared" si="23"/>
        <v>0</v>
      </c>
      <c r="X156" s="42">
        <f t="shared" si="24"/>
        <v>0</v>
      </c>
      <c r="Y156" s="42"/>
      <c r="Z156" s="42"/>
    </row>
  </sheetData>
  <mergeCells count="4">
    <mergeCell ref="D1:L1"/>
    <mergeCell ref="N1:V1"/>
    <mergeCell ref="AB1:AD1"/>
    <mergeCell ref="AE1:AG1"/>
  </mergeCells>
  <conditionalFormatting sqref="AE3">
    <cfRule type="cellIs" dxfId="0" priority="579" operator="greaterThan">
      <formula>0.03</formula>
    </cfRule>
    <cfRule type="cellIs" dxfId="1" priority="580" stopIfTrue="1" operator="lessThan">
      <formula>-0.03</formula>
    </cfRule>
  </conditionalFormatting>
  <conditionalFormatting sqref="AF3">
    <cfRule type="cellIs" dxfId="0" priority="577" operator="greaterThan">
      <formula>0.03</formula>
    </cfRule>
    <cfRule type="cellIs" dxfId="1" priority="578" stopIfTrue="1" operator="lessThan">
      <formula>-0.03</formula>
    </cfRule>
  </conditionalFormatting>
  <conditionalFormatting sqref="AG3">
    <cfRule type="cellIs" dxfId="0" priority="575" operator="greaterThan">
      <formula>0.03</formula>
    </cfRule>
    <cfRule type="cellIs" dxfId="1" priority="576" stopIfTrue="1" operator="lessThan">
      <formula>-0.03</formula>
    </cfRule>
  </conditionalFormatting>
  <conditionalFormatting sqref="AE6:AF6">
    <cfRule type="cellIs" dxfId="0" priority="555" operator="greaterThan">
      <formula>0.03</formula>
    </cfRule>
    <cfRule type="cellIs" dxfId="1" priority="556" stopIfTrue="1" operator="lessThan">
      <formula>-0.03</formula>
    </cfRule>
  </conditionalFormatting>
  <conditionalFormatting sqref="AE7">
    <cfRule type="cellIs" dxfId="0" priority="573" operator="greaterThan">
      <formula>0.03</formula>
    </cfRule>
    <cfRule type="cellIs" dxfId="1" priority="574" stopIfTrue="1" operator="lessThan">
      <formula>-0.03</formula>
    </cfRule>
  </conditionalFormatting>
  <conditionalFormatting sqref="AF7">
    <cfRule type="cellIs" dxfId="0" priority="571" operator="greaterThan">
      <formula>0.03</formula>
    </cfRule>
    <cfRule type="cellIs" dxfId="1" priority="572" stopIfTrue="1" operator="lessThan">
      <formula>-0.03</formula>
    </cfRule>
  </conditionalFormatting>
  <conditionalFormatting sqref="AG7">
    <cfRule type="cellIs" dxfId="0" priority="569" operator="greaterThan">
      <formula>0.03</formula>
    </cfRule>
    <cfRule type="cellIs" dxfId="1" priority="570" stopIfTrue="1" operator="lessThan">
      <formula>-0.03</formula>
    </cfRule>
  </conditionalFormatting>
  <conditionalFormatting sqref="AE10:AF10">
    <cfRule type="cellIs" dxfId="0" priority="553" operator="greaterThan">
      <formula>0.03</formula>
    </cfRule>
    <cfRule type="cellIs" dxfId="1" priority="554" stopIfTrue="1" operator="lessThan">
      <formula>-0.03</formula>
    </cfRule>
  </conditionalFormatting>
  <conditionalFormatting sqref="AE11">
    <cfRule type="cellIs" dxfId="0" priority="567" operator="greaterThan">
      <formula>0.03</formula>
    </cfRule>
    <cfRule type="cellIs" dxfId="1" priority="568" stopIfTrue="1" operator="lessThan">
      <formula>-0.03</formula>
    </cfRule>
  </conditionalFormatting>
  <conditionalFormatting sqref="AF11">
    <cfRule type="cellIs" dxfId="0" priority="565" operator="greaterThan">
      <formula>0.03</formula>
    </cfRule>
    <cfRule type="cellIs" dxfId="1" priority="566" stopIfTrue="1" operator="lessThan">
      <formula>-0.03</formula>
    </cfRule>
  </conditionalFormatting>
  <conditionalFormatting sqref="AG11">
    <cfRule type="cellIs" dxfId="0" priority="563" operator="greaterThan">
      <formula>0.03</formula>
    </cfRule>
    <cfRule type="cellIs" dxfId="1" priority="564" stopIfTrue="1" operator="lessThan">
      <formula>-0.03</formula>
    </cfRule>
  </conditionalFormatting>
  <conditionalFormatting sqref="AE14:AF14">
    <cfRule type="cellIs" dxfId="0" priority="551" operator="greaterThan">
      <formula>0.03</formula>
    </cfRule>
    <cfRule type="cellIs" dxfId="1" priority="552" stopIfTrue="1" operator="lessThan">
      <formula>-0.03</formula>
    </cfRule>
  </conditionalFormatting>
  <conditionalFormatting sqref="AE15">
    <cfRule type="cellIs" dxfId="0" priority="481" operator="greaterThan">
      <formula>0.03</formula>
    </cfRule>
    <cfRule type="cellIs" dxfId="1" priority="482" stopIfTrue="1" operator="lessThan">
      <formula>-0.03</formula>
    </cfRule>
  </conditionalFormatting>
  <conditionalFormatting sqref="AF15">
    <cfRule type="cellIs" dxfId="0" priority="479" operator="greaterThan">
      <formula>0.03</formula>
    </cfRule>
    <cfRule type="cellIs" dxfId="1" priority="480" stopIfTrue="1" operator="lessThan">
      <formula>-0.03</formula>
    </cfRule>
  </conditionalFormatting>
  <conditionalFormatting sqref="AG15">
    <cfRule type="cellIs" dxfId="0" priority="477" operator="greaterThan">
      <formula>0.03</formula>
    </cfRule>
    <cfRule type="cellIs" dxfId="1" priority="478" stopIfTrue="1" operator="lessThan">
      <formula>-0.03</formula>
    </cfRule>
  </conditionalFormatting>
  <conditionalFormatting sqref="AE18:AF18">
    <cfRule type="cellIs" dxfId="0" priority="457" operator="greaterThan">
      <formula>0.03</formula>
    </cfRule>
    <cfRule type="cellIs" dxfId="1" priority="458" stopIfTrue="1" operator="lessThan">
      <formula>-0.03</formula>
    </cfRule>
  </conditionalFormatting>
  <conditionalFormatting sqref="AE19">
    <cfRule type="cellIs" dxfId="0" priority="475" operator="greaterThan">
      <formula>0.03</formula>
    </cfRule>
    <cfRule type="cellIs" dxfId="1" priority="476" stopIfTrue="1" operator="lessThan">
      <formula>-0.03</formula>
    </cfRule>
  </conditionalFormatting>
  <conditionalFormatting sqref="AF19">
    <cfRule type="cellIs" dxfId="0" priority="473" operator="greaterThan">
      <formula>0.03</formula>
    </cfRule>
    <cfRule type="cellIs" dxfId="1" priority="474" stopIfTrue="1" operator="lessThan">
      <formula>-0.03</formula>
    </cfRule>
  </conditionalFormatting>
  <conditionalFormatting sqref="AG19">
    <cfRule type="cellIs" dxfId="0" priority="471" operator="greaterThan">
      <formula>0.03</formula>
    </cfRule>
    <cfRule type="cellIs" dxfId="1" priority="472" stopIfTrue="1" operator="lessThan">
      <formula>-0.03</formula>
    </cfRule>
  </conditionalFormatting>
  <conditionalFormatting sqref="AE22:AF22">
    <cfRule type="cellIs" dxfId="0" priority="455" operator="greaterThan">
      <formula>0.03</formula>
    </cfRule>
    <cfRule type="cellIs" dxfId="1" priority="456" stopIfTrue="1" operator="lessThan">
      <formula>-0.03</formula>
    </cfRule>
  </conditionalFormatting>
  <conditionalFormatting sqref="AE23">
    <cfRule type="cellIs" dxfId="0" priority="469" operator="greaterThan">
      <formula>0.03</formula>
    </cfRule>
    <cfRule type="cellIs" dxfId="1" priority="470" stopIfTrue="1" operator="lessThan">
      <formula>-0.03</formula>
    </cfRule>
  </conditionalFormatting>
  <conditionalFormatting sqref="AF23">
    <cfRule type="cellIs" dxfId="0" priority="467" operator="greaterThan">
      <formula>0.03</formula>
    </cfRule>
    <cfRule type="cellIs" dxfId="1" priority="468" stopIfTrue="1" operator="lessThan">
      <formula>-0.03</formula>
    </cfRule>
  </conditionalFormatting>
  <conditionalFormatting sqref="AG23">
    <cfRule type="cellIs" dxfId="0" priority="465" operator="greaterThan">
      <formula>0.03</formula>
    </cfRule>
    <cfRule type="cellIs" dxfId="1" priority="466" stopIfTrue="1" operator="lessThan">
      <formula>-0.03</formula>
    </cfRule>
  </conditionalFormatting>
  <conditionalFormatting sqref="AE26:AF26">
    <cfRule type="cellIs" dxfId="0" priority="453" operator="greaterThan">
      <formula>0.03</formula>
    </cfRule>
    <cfRule type="cellIs" dxfId="1" priority="454" stopIfTrue="1" operator="lessThan">
      <formula>-0.03</formula>
    </cfRule>
  </conditionalFormatting>
  <conditionalFormatting sqref="AE27">
    <cfRule type="cellIs" dxfId="0" priority="407" operator="greaterThan">
      <formula>0.03</formula>
    </cfRule>
    <cfRule type="cellIs" dxfId="1" priority="408" stopIfTrue="1" operator="lessThan">
      <formula>-0.03</formula>
    </cfRule>
  </conditionalFormatting>
  <conditionalFormatting sqref="AF27">
    <cfRule type="cellIs" dxfId="0" priority="405" operator="greaterThan">
      <formula>0.03</formula>
    </cfRule>
    <cfRule type="cellIs" dxfId="1" priority="406" stopIfTrue="1" operator="lessThan">
      <formula>-0.03</formula>
    </cfRule>
  </conditionalFormatting>
  <conditionalFormatting sqref="AG27">
    <cfRule type="cellIs" dxfId="0" priority="403" operator="greaterThan">
      <formula>0.03</formula>
    </cfRule>
    <cfRule type="cellIs" dxfId="1" priority="404" stopIfTrue="1" operator="lessThan">
      <formula>-0.03</formula>
    </cfRule>
  </conditionalFormatting>
  <conditionalFormatting sqref="AE30:AF30">
    <cfRule type="cellIs" dxfId="0" priority="401" operator="greaterThan">
      <formula>0.03</formula>
    </cfRule>
    <cfRule type="cellIs" dxfId="1" priority="402" stopIfTrue="1" operator="lessThan">
      <formula>-0.03</formula>
    </cfRule>
  </conditionalFormatting>
  <conditionalFormatting sqref="AE31">
    <cfRule type="cellIs" dxfId="0" priority="387" operator="greaterThan">
      <formula>0.03</formula>
    </cfRule>
    <cfRule type="cellIs" dxfId="1" priority="388" stopIfTrue="1" operator="lessThan">
      <formula>-0.03</formula>
    </cfRule>
  </conditionalFormatting>
  <conditionalFormatting sqref="AF31">
    <cfRule type="cellIs" dxfId="0" priority="385" operator="greaterThan">
      <formula>0.03</formula>
    </cfRule>
    <cfRule type="cellIs" dxfId="1" priority="386" stopIfTrue="1" operator="lessThan">
      <formula>-0.03</formula>
    </cfRule>
  </conditionalFormatting>
  <conditionalFormatting sqref="AG31">
    <cfRule type="cellIs" dxfId="0" priority="383" operator="greaterThan">
      <formula>0.03</formula>
    </cfRule>
    <cfRule type="cellIs" dxfId="1" priority="384" stopIfTrue="1" operator="lessThan">
      <formula>-0.03</formula>
    </cfRule>
  </conditionalFormatting>
  <conditionalFormatting sqref="AE34:AF34">
    <cfRule type="cellIs" dxfId="0" priority="375" operator="greaterThan">
      <formula>0.03</formula>
    </cfRule>
    <cfRule type="cellIs" dxfId="1" priority="376" stopIfTrue="1" operator="lessThan">
      <formula>-0.03</formula>
    </cfRule>
  </conditionalFormatting>
  <conditionalFormatting sqref="AE35">
    <cfRule type="cellIs" dxfId="0" priority="381" operator="greaterThan">
      <formula>0.03</formula>
    </cfRule>
    <cfRule type="cellIs" dxfId="1" priority="382" stopIfTrue="1" operator="lessThan">
      <formula>-0.03</formula>
    </cfRule>
  </conditionalFormatting>
  <conditionalFormatting sqref="AF35">
    <cfRule type="cellIs" dxfId="0" priority="379" operator="greaterThan">
      <formula>0.03</formula>
    </cfRule>
    <cfRule type="cellIs" dxfId="1" priority="380" stopIfTrue="1" operator="lessThan">
      <formula>-0.03</formula>
    </cfRule>
  </conditionalFormatting>
  <conditionalFormatting sqref="AG35">
    <cfRule type="cellIs" dxfId="0" priority="377" operator="greaterThan">
      <formula>0.03</formula>
    </cfRule>
    <cfRule type="cellIs" dxfId="1" priority="378" stopIfTrue="1" operator="lessThan">
      <formula>-0.03</formula>
    </cfRule>
  </conditionalFormatting>
  <conditionalFormatting sqref="AE38:AF38">
    <cfRule type="cellIs" dxfId="0" priority="373" operator="greaterThan">
      <formula>0.03</formula>
    </cfRule>
    <cfRule type="cellIs" dxfId="1" priority="374" stopIfTrue="1" operator="lessThan">
      <formula>-0.03</formula>
    </cfRule>
  </conditionalFormatting>
  <conditionalFormatting sqref="AE39">
    <cfRule type="cellIs" dxfId="0" priority="349" operator="greaterThan">
      <formula>0.03</formula>
    </cfRule>
    <cfRule type="cellIs" dxfId="1" priority="350" stopIfTrue="1" operator="lessThan">
      <formula>-0.03</formula>
    </cfRule>
  </conditionalFormatting>
  <conditionalFormatting sqref="AF39">
    <cfRule type="cellIs" dxfId="0" priority="347" operator="greaterThan">
      <formula>0.03</formula>
    </cfRule>
    <cfRule type="cellIs" dxfId="1" priority="348" stopIfTrue="1" operator="lessThan">
      <formula>-0.03</formula>
    </cfRule>
  </conditionalFormatting>
  <conditionalFormatting sqref="AG39">
    <cfRule type="cellIs" dxfId="0" priority="345" operator="greaterThan">
      <formula>0.03</formula>
    </cfRule>
    <cfRule type="cellIs" dxfId="1" priority="346" stopIfTrue="1" operator="lessThan">
      <formula>-0.03</formula>
    </cfRule>
  </conditionalFormatting>
  <conditionalFormatting sqref="AE42:AF42">
    <cfRule type="cellIs" dxfId="0" priority="337" operator="greaterThan">
      <formula>0.03</formula>
    </cfRule>
    <cfRule type="cellIs" dxfId="1" priority="338" stopIfTrue="1" operator="lessThan">
      <formula>-0.03</formula>
    </cfRule>
  </conditionalFormatting>
  <conditionalFormatting sqref="AE43">
    <cfRule type="cellIs" dxfId="0" priority="343" operator="greaterThan">
      <formula>0.03</formula>
    </cfRule>
    <cfRule type="cellIs" dxfId="1" priority="344" stopIfTrue="1" operator="lessThan">
      <formula>-0.03</formula>
    </cfRule>
  </conditionalFormatting>
  <conditionalFormatting sqref="AF43">
    <cfRule type="cellIs" dxfId="0" priority="341" operator="greaterThan">
      <formula>0.03</formula>
    </cfRule>
    <cfRule type="cellIs" dxfId="1" priority="342" stopIfTrue="1" operator="lessThan">
      <formula>-0.03</formula>
    </cfRule>
  </conditionalFormatting>
  <conditionalFormatting sqref="AG43">
    <cfRule type="cellIs" dxfId="0" priority="339" operator="greaterThan">
      <formula>0.03</formula>
    </cfRule>
    <cfRule type="cellIs" dxfId="1" priority="340" stopIfTrue="1" operator="lessThan">
      <formula>-0.03</formula>
    </cfRule>
  </conditionalFormatting>
  <conditionalFormatting sqref="AE46:AF46">
    <cfRule type="cellIs" dxfId="0" priority="335" operator="greaterThan">
      <formula>0.03</formula>
    </cfRule>
    <cfRule type="cellIs" dxfId="1" priority="336" stopIfTrue="1" operator="lessThan">
      <formula>-0.03</formula>
    </cfRule>
  </conditionalFormatting>
  <conditionalFormatting sqref="AE47">
    <cfRule type="cellIs" dxfId="0" priority="311" operator="greaterThan">
      <formula>0.03</formula>
    </cfRule>
    <cfRule type="cellIs" dxfId="1" priority="312" stopIfTrue="1" operator="lessThan">
      <formula>-0.03</formula>
    </cfRule>
  </conditionalFormatting>
  <conditionalFormatting sqref="AF47">
    <cfRule type="cellIs" dxfId="0" priority="309" operator="greaterThan">
      <formula>0.03</formula>
    </cfRule>
    <cfRule type="cellIs" dxfId="1" priority="310" stopIfTrue="1" operator="lessThan">
      <formula>-0.03</formula>
    </cfRule>
  </conditionalFormatting>
  <conditionalFormatting sqref="AG47">
    <cfRule type="cellIs" dxfId="0" priority="307" operator="greaterThan">
      <formula>0.03</formula>
    </cfRule>
    <cfRule type="cellIs" dxfId="1" priority="308" stopIfTrue="1" operator="lessThan">
      <formula>-0.03</formula>
    </cfRule>
  </conditionalFormatting>
  <conditionalFormatting sqref="AE50:AF50">
    <cfRule type="cellIs" dxfId="0" priority="287" operator="greaterThan">
      <formula>0.03</formula>
    </cfRule>
    <cfRule type="cellIs" dxfId="1" priority="288" stopIfTrue="1" operator="lessThan">
      <formula>-0.03</formula>
    </cfRule>
  </conditionalFormatting>
  <conditionalFormatting sqref="AE51">
    <cfRule type="cellIs" dxfId="0" priority="305" operator="greaterThan">
      <formula>0.03</formula>
    </cfRule>
    <cfRule type="cellIs" dxfId="1" priority="306" stopIfTrue="1" operator="lessThan">
      <formula>-0.03</formula>
    </cfRule>
  </conditionalFormatting>
  <conditionalFormatting sqref="AF51">
    <cfRule type="cellIs" dxfId="0" priority="303" operator="greaterThan">
      <formula>0.03</formula>
    </cfRule>
    <cfRule type="cellIs" dxfId="1" priority="304" stopIfTrue="1" operator="lessThan">
      <formula>-0.03</formula>
    </cfRule>
  </conditionalFormatting>
  <conditionalFormatting sqref="AG51">
    <cfRule type="cellIs" dxfId="0" priority="301" operator="greaterThan">
      <formula>0.03</formula>
    </cfRule>
    <cfRule type="cellIs" dxfId="1" priority="302" stopIfTrue="1" operator="lessThan">
      <formula>-0.03</formula>
    </cfRule>
  </conditionalFormatting>
  <conditionalFormatting sqref="AE54:AF54">
    <cfRule type="cellIs" dxfId="0" priority="285" operator="greaterThan">
      <formula>0.03</formula>
    </cfRule>
    <cfRule type="cellIs" dxfId="1" priority="286" stopIfTrue="1" operator="lessThan">
      <formula>-0.03</formula>
    </cfRule>
  </conditionalFormatting>
  <conditionalFormatting sqref="AE55">
    <cfRule type="cellIs" dxfId="0" priority="299" operator="greaterThan">
      <formula>0.03</formula>
    </cfRule>
    <cfRule type="cellIs" dxfId="1" priority="300" stopIfTrue="1" operator="lessThan">
      <formula>-0.03</formula>
    </cfRule>
  </conditionalFormatting>
  <conditionalFormatting sqref="AF55">
    <cfRule type="cellIs" dxfId="0" priority="297" operator="greaterThan">
      <formula>0.03</formula>
    </cfRule>
    <cfRule type="cellIs" dxfId="1" priority="298" stopIfTrue="1" operator="lessThan">
      <formula>-0.03</formula>
    </cfRule>
  </conditionalFormatting>
  <conditionalFormatting sqref="AG55">
    <cfRule type="cellIs" dxfId="0" priority="295" operator="greaterThan">
      <formula>0.03</formula>
    </cfRule>
    <cfRule type="cellIs" dxfId="1" priority="296" stopIfTrue="1" operator="lessThan">
      <formula>-0.03</formula>
    </cfRule>
  </conditionalFormatting>
  <conditionalFormatting sqref="AE58:AF58">
    <cfRule type="cellIs" dxfId="0" priority="283" operator="greaterThan">
      <formula>0.03</formula>
    </cfRule>
    <cfRule type="cellIs" dxfId="1" priority="284" stopIfTrue="1" operator="lessThan">
      <formula>-0.03</formula>
    </cfRule>
  </conditionalFormatting>
  <conditionalFormatting sqref="AE59">
    <cfRule type="cellIs" dxfId="0" priority="293" operator="greaterThan">
      <formula>0.03</formula>
    </cfRule>
    <cfRule type="cellIs" dxfId="1" priority="294" stopIfTrue="1" operator="lessThan">
      <formula>-0.03</formula>
    </cfRule>
  </conditionalFormatting>
  <conditionalFormatting sqref="AF59">
    <cfRule type="cellIs" dxfId="0" priority="291" operator="greaterThan">
      <formula>0.03</formula>
    </cfRule>
    <cfRule type="cellIs" dxfId="1" priority="292" stopIfTrue="1" operator="lessThan">
      <formula>-0.03</formula>
    </cfRule>
  </conditionalFormatting>
  <conditionalFormatting sqref="AG59">
    <cfRule type="cellIs" dxfId="0" priority="289" operator="greaterThan">
      <formula>0.03</formula>
    </cfRule>
    <cfRule type="cellIs" dxfId="1" priority="290" stopIfTrue="1" operator="lessThan">
      <formula>-0.03</formula>
    </cfRule>
  </conditionalFormatting>
  <conditionalFormatting sqref="AE62:AF62">
    <cfRule type="cellIs" dxfId="0" priority="281" operator="greaterThan">
      <formula>0.03</formula>
    </cfRule>
    <cfRule type="cellIs" dxfId="1" priority="282" stopIfTrue="1" operator="lessThan">
      <formula>-0.03</formula>
    </cfRule>
  </conditionalFormatting>
  <conditionalFormatting sqref="AE63">
    <cfRule type="cellIs" dxfId="0" priority="237" operator="greaterThan">
      <formula>0.03</formula>
    </cfRule>
    <cfRule type="cellIs" dxfId="1" priority="238" stopIfTrue="1" operator="lessThan">
      <formula>-0.03</formula>
    </cfRule>
  </conditionalFormatting>
  <conditionalFormatting sqref="AF63">
    <cfRule type="cellIs" dxfId="0" priority="235" operator="greaterThan">
      <formula>0.03</formula>
    </cfRule>
    <cfRule type="cellIs" dxfId="1" priority="236" stopIfTrue="1" operator="lessThan">
      <formula>-0.03</formula>
    </cfRule>
  </conditionalFormatting>
  <conditionalFormatting sqref="AG63">
    <cfRule type="cellIs" dxfId="0" priority="233" operator="greaterThan">
      <formula>0.03</formula>
    </cfRule>
    <cfRule type="cellIs" dxfId="1" priority="234" stopIfTrue="1" operator="lessThan">
      <formula>-0.03</formula>
    </cfRule>
  </conditionalFormatting>
  <conditionalFormatting sqref="AE66:AF66">
    <cfRule type="cellIs" dxfId="0" priority="213" operator="greaterThan">
      <formula>0.03</formula>
    </cfRule>
    <cfRule type="cellIs" dxfId="1" priority="214" stopIfTrue="1" operator="lessThan">
      <formula>-0.03</formula>
    </cfRule>
  </conditionalFormatting>
  <conditionalFormatting sqref="AE67">
    <cfRule type="cellIs" dxfId="0" priority="231" operator="greaterThan">
      <formula>0.03</formula>
    </cfRule>
    <cfRule type="cellIs" dxfId="1" priority="232" stopIfTrue="1" operator="lessThan">
      <formula>-0.03</formula>
    </cfRule>
  </conditionalFormatting>
  <conditionalFormatting sqref="AF67">
    <cfRule type="cellIs" dxfId="0" priority="229" operator="greaterThan">
      <formula>0.03</formula>
    </cfRule>
    <cfRule type="cellIs" dxfId="1" priority="230" stopIfTrue="1" operator="lessThan">
      <formula>-0.03</formula>
    </cfRule>
  </conditionalFormatting>
  <conditionalFormatting sqref="AG67">
    <cfRule type="cellIs" dxfId="0" priority="227" operator="greaterThan">
      <formula>0.03</formula>
    </cfRule>
    <cfRule type="cellIs" dxfId="1" priority="228" stopIfTrue="1" operator="lessThan">
      <formula>-0.03</formula>
    </cfRule>
  </conditionalFormatting>
  <conditionalFormatting sqref="AE70:AF70">
    <cfRule type="cellIs" dxfId="0" priority="211" operator="greaterThan">
      <formula>0.03</formula>
    </cfRule>
    <cfRule type="cellIs" dxfId="1" priority="212" stopIfTrue="1" operator="lessThan">
      <formula>-0.03</formula>
    </cfRule>
  </conditionalFormatting>
  <conditionalFormatting sqref="AE71">
    <cfRule type="cellIs" dxfId="0" priority="225" operator="greaterThan">
      <formula>0.03</formula>
    </cfRule>
    <cfRule type="cellIs" dxfId="1" priority="226" stopIfTrue="1" operator="lessThan">
      <formula>-0.03</formula>
    </cfRule>
  </conditionalFormatting>
  <conditionalFormatting sqref="AF71">
    <cfRule type="cellIs" dxfId="0" priority="223" operator="greaterThan">
      <formula>0.03</formula>
    </cfRule>
    <cfRule type="cellIs" dxfId="1" priority="224" stopIfTrue="1" operator="lessThan">
      <formula>-0.03</formula>
    </cfRule>
  </conditionalFormatting>
  <conditionalFormatting sqref="AG71">
    <cfRule type="cellIs" dxfId="0" priority="221" operator="greaterThan">
      <formula>0.03</formula>
    </cfRule>
    <cfRule type="cellIs" dxfId="1" priority="222" stopIfTrue="1" operator="lessThan">
      <formula>-0.03</formula>
    </cfRule>
  </conditionalFormatting>
  <conditionalFormatting sqref="AE74:AF74">
    <cfRule type="cellIs" dxfId="0" priority="209" operator="greaterThan">
      <formula>0.03</formula>
    </cfRule>
    <cfRule type="cellIs" dxfId="1" priority="210" stopIfTrue="1" operator="lessThan">
      <formula>-0.03</formula>
    </cfRule>
  </conditionalFormatting>
  <conditionalFormatting sqref="AE75">
    <cfRule type="cellIs" dxfId="0" priority="219" operator="greaterThan">
      <formula>0.03</formula>
    </cfRule>
    <cfRule type="cellIs" dxfId="1" priority="220" stopIfTrue="1" operator="lessThan">
      <formula>-0.03</formula>
    </cfRule>
  </conditionalFormatting>
  <conditionalFormatting sqref="AF75">
    <cfRule type="cellIs" dxfId="0" priority="217" operator="greaterThan">
      <formula>0.03</formula>
    </cfRule>
    <cfRule type="cellIs" dxfId="1" priority="218" stopIfTrue="1" operator="lessThan">
      <formula>-0.03</formula>
    </cfRule>
  </conditionalFormatting>
  <conditionalFormatting sqref="AG75">
    <cfRule type="cellIs" dxfId="0" priority="215" operator="greaterThan">
      <formula>0.03</formula>
    </cfRule>
    <cfRule type="cellIs" dxfId="1" priority="216" stopIfTrue="1" operator="lessThan">
      <formula>-0.03</formula>
    </cfRule>
  </conditionalFormatting>
  <conditionalFormatting sqref="AE78:AF78">
    <cfRule type="cellIs" dxfId="0" priority="207" operator="greaterThan">
      <formula>0.03</formula>
    </cfRule>
    <cfRule type="cellIs" dxfId="1" priority="208" stopIfTrue="1" operator="lessThan">
      <formula>-0.03</formula>
    </cfRule>
  </conditionalFormatting>
  <conditionalFormatting sqref="AE79">
    <cfRule type="cellIs" dxfId="0" priority="89" operator="greaterThan">
      <formula>0.03</formula>
    </cfRule>
    <cfRule type="cellIs" dxfId="1" priority="90" stopIfTrue="1" operator="lessThan">
      <formula>-0.03</formula>
    </cfRule>
  </conditionalFormatting>
  <conditionalFormatting sqref="AF79">
    <cfRule type="cellIs" dxfId="0" priority="87" operator="greaterThan">
      <formula>0.03</formula>
    </cfRule>
    <cfRule type="cellIs" dxfId="1" priority="88" stopIfTrue="1" operator="lessThan">
      <formula>-0.03</formula>
    </cfRule>
  </conditionalFormatting>
  <conditionalFormatting sqref="AG79">
    <cfRule type="cellIs" dxfId="0" priority="85" operator="greaterThan">
      <formula>0.03</formula>
    </cfRule>
    <cfRule type="cellIs" dxfId="1" priority="86" stopIfTrue="1" operator="lessThan">
      <formula>-0.03</formula>
    </cfRule>
  </conditionalFormatting>
  <conditionalFormatting sqref="AE82:AF82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conditionalFormatting sqref="AE83">
    <cfRule type="cellIs" dxfId="0" priority="83" operator="greaterThan">
      <formula>0.03</formula>
    </cfRule>
    <cfRule type="cellIs" dxfId="1" priority="84" stopIfTrue="1" operator="lessThan">
      <formula>-0.03</formula>
    </cfRule>
  </conditionalFormatting>
  <conditionalFormatting sqref="AF83">
    <cfRule type="cellIs" dxfId="0" priority="81" operator="greaterThan">
      <formula>0.03</formula>
    </cfRule>
    <cfRule type="cellIs" dxfId="1" priority="82" stopIfTrue="1" operator="lessThan">
      <formula>-0.03</formula>
    </cfRule>
  </conditionalFormatting>
  <conditionalFormatting sqref="AG83">
    <cfRule type="cellIs" dxfId="0" priority="79" operator="greaterThan">
      <formula>0.03</formula>
    </cfRule>
    <cfRule type="cellIs" dxfId="1" priority="80" stopIfTrue="1" operator="lessThan">
      <formula>-0.03</formula>
    </cfRule>
  </conditionalFormatting>
  <conditionalFormatting sqref="AE86:AF86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AE87">
    <cfRule type="cellIs" dxfId="0" priority="77" operator="greaterThan">
      <formula>0.03</formula>
    </cfRule>
    <cfRule type="cellIs" dxfId="1" priority="78" stopIfTrue="1" operator="lessThan">
      <formula>-0.03</formula>
    </cfRule>
  </conditionalFormatting>
  <conditionalFormatting sqref="AF87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conditionalFormatting sqref="AG87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AE90:AF90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AE91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AF91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AG91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AE94:AF94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AE95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AF95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AG95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AE98:AF98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AE99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AF99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AG99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AE102:AF102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AE103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AF103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AG103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AE106:AF106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AE107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AF107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AG107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AE110:AF110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AE111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AF111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AG111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AE114:AF114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AE115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AF115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AG115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AE118:AF118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AE119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AF119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AG119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AE122:AF122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AB124:AG124">
    <cfRule type="cellIs" dxfId="0" priority="497" operator="greaterThan">
      <formula>0.03</formula>
    </cfRule>
    <cfRule type="cellIs" dxfId="1" priority="498" stopIfTrue="1" operator="lessThan">
      <formula>-0.03</formula>
    </cfRule>
  </conditionalFormatting>
  <conditionalFormatting sqref="AB126:AG126">
    <cfRule type="cellIs" dxfId="0" priority="501" operator="greaterThan">
      <formula>0.03</formula>
    </cfRule>
    <cfRule type="cellIs" dxfId="1" priority="502" stopIfTrue="1" operator="lessThan">
      <formula>-0.03</formula>
    </cfRule>
  </conditionalFormatting>
  <conditionalFormatting sqref="AB129:AG129">
    <cfRule type="cellIs" dxfId="0" priority="499" operator="greaterThan">
      <formula>0.03</formula>
    </cfRule>
    <cfRule type="cellIs" dxfId="1" priority="500" stopIfTrue="1" operator="lessThan">
      <formula>-0.03</formula>
    </cfRule>
  </conditionalFormatting>
  <conditionalFormatting sqref="AB130:AG130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AB131:AG131">
    <cfRule type="cellIs" dxfId="0" priority="507" operator="greaterThan">
      <formula>0.03</formula>
    </cfRule>
    <cfRule type="cellIs" dxfId="1" priority="508" stopIfTrue="1" operator="lessThan">
      <formula>-0.03</formula>
    </cfRule>
  </conditionalFormatting>
  <conditionalFormatting sqref="AB3:AD14">
    <cfRule type="cellIs" dxfId="0" priority="581" operator="greaterThan">
      <formula>0.03</formula>
    </cfRule>
    <cfRule type="cellIs" dxfId="1" priority="582" stopIfTrue="1" operator="lessThan">
      <formula>-0.03</formula>
    </cfRule>
  </conditionalFormatting>
  <conditionalFormatting sqref="AB15:AD26">
    <cfRule type="cellIs" dxfId="0" priority="483" operator="greaterThan">
      <formula>0.03</formula>
    </cfRule>
    <cfRule type="cellIs" dxfId="1" priority="484" stopIfTrue="1" operator="lessThan">
      <formula>-0.03</formula>
    </cfRule>
  </conditionalFormatting>
  <conditionalFormatting sqref="AB27:AD30">
    <cfRule type="cellIs" dxfId="0" priority="409" operator="greaterThan">
      <formula>0.03</formula>
    </cfRule>
    <cfRule type="cellIs" dxfId="1" priority="410" stopIfTrue="1" operator="lessThan">
      <formula>-0.03</formula>
    </cfRule>
  </conditionalFormatting>
  <conditionalFormatting sqref="AB31:AD38">
    <cfRule type="cellIs" dxfId="0" priority="389" operator="greaterThan">
      <formula>0.03</formula>
    </cfRule>
    <cfRule type="cellIs" dxfId="1" priority="390" stopIfTrue="1" operator="lessThan">
      <formula>-0.03</formula>
    </cfRule>
  </conditionalFormatting>
  <conditionalFormatting sqref="AB39:AD46">
    <cfRule type="cellIs" dxfId="0" priority="351" operator="greaterThan">
      <formula>0.03</formula>
    </cfRule>
    <cfRule type="cellIs" dxfId="1" priority="352" stopIfTrue="1" operator="lessThan">
      <formula>-0.03</formula>
    </cfRule>
  </conditionalFormatting>
  <conditionalFormatting sqref="AB47:AD62">
    <cfRule type="cellIs" dxfId="0" priority="313" operator="greaterThan">
      <formula>0.03</formula>
    </cfRule>
    <cfRule type="cellIs" dxfId="1" priority="314" stopIfTrue="1" operator="lessThan">
      <formula>-0.03</formula>
    </cfRule>
  </conditionalFormatting>
  <conditionalFormatting sqref="AB63:AD78">
    <cfRule type="cellIs" dxfId="0" priority="239" operator="greaterThan">
      <formula>0.03</formula>
    </cfRule>
    <cfRule type="cellIs" dxfId="1" priority="240" stopIfTrue="1" operator="lessThan">
      <formula>-0.03</formula>
    </cfRule>
  </conditionalFormatting>
  <conditionalFormatting sqref="AB79:AD90">
    <cfRule type="cellIs" dxfId="0" priority="91" operator="greaterThan">
      <formula>0.03</formula>
    </cfRule>
    <cfRule type="cellIs" dxfId="1" priority="92" stopIfTrue="1" operator="lessThan">
      <formula>-0.03</formula>
    </cfRule>
  </conditionalFormatting>
  <conditionalFormatting sqref="AB91:AD106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AB107:AD122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AB123:AG123 AB125:AG125">
    <cfRule type="cellIs" dxfId="0" priority="503" operator="greaterThan">
      <formula>0.03</formula>
    </cfRule>
    <cfRule type="cellIs" dxfId="1" priority="504" stopIfTrue="1" operator="lessThan">
      <formula>-0.03</formula>
    </cfRule>
  </conditionalFormatting>
  <conditionalFormatting sqref="AB127:AG128">
    <cfRule type="cellIs" dxfId="0" priority="505" operator="greaterThan">
      <formula>0.03</formula>
    </cfRule>
    <cfRule type="cellIs" dxfId="1" priority="506" stopIfTrue="1" operator="lessThan">
      <formula>-0.03</formula>
    </cfRule>
  </conditionalFormatting>
  <pageMargins left="0.75" right="0.75" top="1" bottom="1" header="0.5" footer="0.5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G156"/>
  <sheetViews>
    <sheetView zoomScale="85" zoomScaleNormal="85" topLeftCell="A69" workbookViewId="0">
      <selection activeCell="P104" sqref="P103:P104"/>
    </sheetView>
  </sheetViews>
  <sheetFormatPr defaultColWidth="10.75" defaultRowHeight="1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10" width="8.75" style="2" customWidth="1"/>
    <col min="11" max="11" width="11.8333333333333" style="2" customWidth="1"/>
    <col min="12" max="12" width="13.0833333333333" style="3" customWidth="1"/>
    <col min="13" max="13" width="2.75" style="2" customWidth="1"/>
    <col min="14" max="14" width="9.75" style="2" customWidth="1"/>
    <col min="15" max="17" width="6.75" style="2" customWidth="1"/>
    <col min="18" max="20" width="8.75" style="2" customWidth="1"/>
    <col min="21" max="21" width="11.8333333333333" style="2" customWidth="1"/>
    <col min="22" max="22" width="11.8333333333333" style="3" customWidth="1"/>
    <col min="23" max="24" width="5.58333333333333" style="2" customWidth="1"/>
    <col min="25" max="25" width="9.83333333333333" style="2" customWidth="1"/>
    <col min="26" max="26" width="10" style="2" customWidth="1"/>
    <col min="27" max="27" width="2.75" style="2" customWidth="1"/>
    <col min="28" max="33" width="8.75" style="2" customWidth="1"/>
    <col min="34" max="16384" width="10.75" style="2"/>
  </cols>
  <sheetData>
    <row r="1" ht="12.75" customHeight="1" spans="4:33">
      <c r="D1" s="4" t="s">
        <v>95</v>
      </c>
      <c r="E1" s="5"/>
      <c r="F1" s="5"/>
      <c r="G1" s="5"/>
      <c r="H1" s="5"/>
      <c r="I1" s="5"/>
      <c r="J1" s="5"/>
      <c r="K1" s="5"/>
      <c r="L1" s="20"/>
      <c r="N1" s="4" t="s">
        <v>96</v>
      </c>
      <c r="O1" s="5"/>
      <c r="P1" s="5"/>
      <c r="Q1" s="5"/>
      <c r="R1" s="5"/>
      <c r="S1" s="5"/>
      <c r="T1" s="5"/>
      <c r="U1" s="5"/>
      <c r="V1" s="20"/>
      <c r="W1" s="33"/>
      <c r="X1" s="33"/>
      <c r="Y1" s="33"/>
      <c r="Z1" s="35"/>
      <c r="AA1" s="36"/>
      <c r="AB1" s="4" t="s">
        <v>97</v>
      </c>
      <c r="AC1" s="5"/>
      <c r="AD1" s="20"/>
      <c r="AE1" s="4" t="s">
        <v>98</v>
      </c>
      <c r="AF1" s="5"/>
      <c r="AG1" s="20"/>
    </row>
    <row r="2" ht="12.75" customHeight="1" spans="1:33">
      <c r="A2" s="6"/>
      <c r="B2" s="7"/>
      <c r="C2" s="8" t="s">
        <v>99</v>
      </c>
      <c r="D2" s="9" t="s">
        <v>59</v>
      </c>
      <c r="E2" s="10" t="s">
        <v>60</v>
      </c>
      <c r="F2" s="10" t="s">
        <v>61</v>
      </c>
      <c r="G2" s="10" t="s">
        <v>62</v>
      </c>
      <c r="H2" s="10" t="s">
        <v>100</v>
      </c>
      <c r="I2" s="10" t="s">
        <v>101</v>
      </c>
      <c r="J2" s="10" t="s">
        <v>102</v>
      </c>
      <c r="K2" s="21" t="s">
        <v>103</v>
      </c>
      <c r="L2" s="22" t="s">
        <v>104</v>
      </c>
      <c r="M2" s="23"/>
      <c r="N2" s="9" t="s">
        <v>59</v>
      </c>
      <c r="O2" s="10" t="s">
        <v>60</v>
      </c>
      <c r="P2" s="10" t="s">
        <v>61</v>
      </c>
      <c r="Q2" s="10" t="s">
        <v>62</v>
      </c>
      <c r="R2" s="10" t="s">
        <v>100</v>
      </c>
      <c r="S2" s="10" t="s">
        <v>101</v>
      </c>
      <c r="T2" s="10" t="s">
        <v>102</v>
      </c>
      <c r="U2" s="21" t="s">
        <v>103</v>
      </c>
      <c r="V2" s="22" t="s">
        <v>104</v>
      </c>
      <c r="W2" s="34" t="s">
        <v>105</v>
      </c>
      <c r="X2" s="21" t="s">
        <v>106</v>
      </c>
      <c r="Y2" s="21" t="s">
        <v>107</v>
      </c>
      <c r="Z2" s="37" t="s">
        <v>108</v>
      </c>
      <c r="AA2" s="37"/>
      <c r="AB2" s="9" t="s">
        <v>9</v>
      </c>
      <c r="AC2" s="10" t="s">
        <v>10</v>
      </c>
      <c r="AD2" s="22" t="s">
        <v>11</v>
      </c>
      <c r="AE2" s="9" t="s">
        <v>9</v>
      </c>
      <c r="AF2" s="10" t="s">
        <v>10</v>
      </c>
      <c r="AG2" s="22" t="s">
        <v>11</v>
      </c>
    </row>
    <row r="3" spans="1:33">
      <c r="A3" s="11" t="s">
        <v>19</v>
      </c>
      <c r="B3" s="11" t="s">
        <v>64</v>
      </c>
      <c r="C3" s="11">
        <v>22</v>
      </c>
      <c r="D3" s="12"/>
      <c r="E3" s="13"/>
      <c r="F3" s="13"/>
      <c r="G3" s="13"/>
      <c r="H3" s="13"/>
      <c r="I3" s="13"/>
      <c r="J3" s="13"/>
      <c r="K3" s="13"/>
      <c r="L3" s="24"/>
      <c r="N3" s="12"/>
      <c r="O3" s="13"/>
      <c r="P3" s="13"/>
      <c r="Q3" s="13"/>
      <c r="R3" s="13"/>
      <c r="S3" s="13"/>
      <c r="T3" s="13"/>
      <c r="U3" s="13"/>
      <c r="V3" s="24"/>
      <c r="W3" s="13"/>
      <c r="X3" s="13"/>
      <c r="Y3" s="13"/>
      <c r="Z3" s="24"/>
      <c r="AA3" s="38"/>
      <c r="AB3" s="39"/>
      <c r="AC3" s="40"/>
      <c r="AD3" s="41"/>
      <c r="AE3" s="39"/>
      <c r="AF3" s="40"/>
      <c r="AG3" s="41"/>
    </row>
    <row r="4" spans="1:33">
      <c r="A4" s="14" t="s">
        <v>109</v>
      </c>
      <c r="B4" s="14"/>
      <c r="C4" s="14">
        <v>27</v>
      </c>
      <c r="D4" s="15"/>
      <c r="E4" s="16"/>
      <c r="F4" s="16"/>
      <c r="G4" s="16"/>
      <c r="H4" s="16"/>
      <c r="I4" s="16"/>
      <c r="J4" s="16"/>
      <c r="K4" s="16"/>
      <c r="L4" s="25"/>
      <c r="N4" s="15"/>
      <c r="O4" s="16"/>
      <c r="P4" s="16"/>
      <c r="Q4" s="16"/>
      <c r="R4" s="16"/>
      <c r="S4" s="16"/>
      <c r="T4" s="16"/>
      <c r="U4" s="16"/>
      <c r="V4" s="25"/>
      <c r="W4" s="16"/>
      <c r="X4" s="16"/>
      <c r="Y4" s="16"/>
      <c r="Z4" s="25"/>
      <c r="AA4" s="42"/>
      <c r="AB4" s="43"/>
      <c r="AC4" s="44"/>
      <c r="AD4" s="45"/>
      <c r="AE4" s="43"/>
      <c r="AF4" s="44"/>
      <c r="AG4" s="45"/>
    </row>
    <row r="5" spans="1:33">
      <c r="A5" s="14"/>
      <c r="B5" s="14"/>
      <c r="C5" s="14">
        <v>32</v>
      </c>
      <c r="D5" s="15"/>
      <c r="E5" s="16"/>
      <c r="F5" s="16"/>
      <c r="G5" s="16"/>
      <c r="H5" s="16"/>
      <c r="I5" s="16"/>
      <c r="J5" s="16"/>
      <c r="K5" s="16"/>
      <c r="L5" s="25"/>
      <c r="N5" s="15"/>
      <c r="O5" s="16"/>
      <c r="P5" s="16"/>
      <c r="Q5" s="16"/>
      <c r="R5" s="16"/>
      <c r="S5" s="16"/>
      <c r="T5" s="16"/>
      <c r="U5" s="16"/>
      <c r="V5" s="25"/>
      <c r="W5" s="16"/>
      <c r="X5" s="16"/>
      <c r="Y5" s="16"/>
      <c r="Z5" s="25"/>
      <c r="AA5" s="42"/>
      <c r="AB5" s="43"/>
      <c r="AC5" s="44"/>
      <c r="AD5" s="45"/>
      <c r="AE5" s="43"/>
      <c r="AF5" s="44"/>
      <c r="AG5" s="45"/>
    </row>
    <row r="6" ht="12.75" customHeight="1" spans="1:33">
      <c r="A6" s="14"/>
      <c r="B6" s="17"/>
      <c r="C6" s="17">
        <v>37</v>
      </c>
      <c r="D6" s="18"/>
      <c r="E6" s="19"/>
      <c r="F6" s="19"/>
      <c r="G6" s="19"/>
      <c r="H6" s="19"/>
      <c r="I6" s="19"/>
      <c r="J6" s="19"/>
      <c r="K6" s="19"/>
      <c r="L6" s="26"/>
      <c r="N6" s="18"/>
      <c r="O6" s="19"/>
      <c r="P6" s="19"/>
      <c r="Q6" s="19"/>
      <c r="R6" s="19"/>
      <c r="S6" s="19"/>
      <c r="T6" s="19"/>
      <c r="U6" s="19"/>
      <c r="V6" s="26"/>
      <c r="W6" s="16"/>
      <c r="X6" s="16"/>
      <c r="Y6" s="16"/>
      <c r="Z6" s="25"/>
      <c r="AA6" s="42"/>
      <c r="AB6" s="46"/>
      <c r="AC6" s="47"/>
      <c r="AD6" s="48"/>
      <c r="AE6" s="46"/>
      <c r="AF6" s="47"/>
      <c r="AG6" s="48"/>
    </row>
    <row r="7" spans="1:33">
      <c r="A7" s="14"/>
      <c r="B7" s="11" t="s">
        <v>66</v>
      </c>
      <c r="C7" s="11">
        <v>22</v>
      </c>
      <c r="D7" s="12"/>
      <c r="E7" s="13"/>
      <c r="F7" s="13"/>
      <c r="G7" s="13"/>
      <c r="H7" s="13"/>
      <c r="I7" s="13"/>
      <c r="J7" s="13"/>
      <c r="K7" s="13"/>
      <c r="L7" s="24"/>
      <c r="N7" s="12"/>
      <c r="O7" s="13"/>
      <c r="P7" s="13"/>
      <c r="Q7" s="13"/>
      <c r="R7" s="13"/>
      <c r="S7" s="13"/>
      <c r="T7" s="13"/>
      <c r="U7" s="13"/>
      <c r="V7" s="24"/>
      <c r="W7" s="16"/>
      <c r="X7" s="16"/>
      <c r="Y7" s="16"/>
      <c r="Z7" s="25"/>
      <c r="AA7" s="42"/>
      <c r="AB7" s="39"/>
      <c r="AC7" s="40"/>
      <c r="AD7" s="40"/>
      <c r="AE7" s="49"/>
      <c r="AF7" s="50"/>
      <c r="AG7" s="52"/>
    </row>
    <row r="8" spans="1:33">
      <c r="A8" s="14"/>
      <c r="B8" s="14"/>
      <c r="C8" s="14">
        <v>27</v>
      </c>
      <c r="D8" s="15"/>
      <c r="E8" s="16"/>
      <c r="F8" s="16"/>
      <c r="G8" s="16"/>
      <c r="H8" s="16"/>
      <c r="I8" s="16"/>
      <c r="J8" s="16"/>
      <c r="K8" s="16"/>
      <c r="L8" s="25"/>
      <c r="N8" s="15"/>
      <c r="O8" s="16"/>
      <c r="P8" s="16"/>
      <c r="Q8" s="16"/>
      <c r="R8" s="16"/>
      <c r="S8" s="16"/>
      <c r="T8" s="16"/>
      <c r="U8" s="16"/>
      <c r="V8" s="25"/>
      <c r="W8" s="16"/>
      <c r="X8" s="16"/>
      <c r="Y8" s="16"/>
      <c r="Z8" s="25"/>
      <c r="AA8" s="42"/>
      <c r="AB8" s="43"/>
      <c r="AC8" s="44"/>
      <c r="AD8" s="44"/>
      <c r="AE8" s="43"/>
      <c r="AF8" s="44"/>
      <c r="AG8" s="45"/>
    </row>
    <row r="9" spans="1:33">
      <c r="A9" s="14"/>
      <c r="B9" s="14"/>
      <c r="C9" s="14">
        <v>32</v>
      </c>
      <c r="D9" s="15"/>
      <c r="E9" s="16"/>
      <c r="F9" s="16"/>
      <c r="G9" s="16"/>
      <c r="H9" s="16"/>
      <c r="I9" s="16"/>
      <c r="J9" s="16"/>
      <c r="K9" s="16"/>
      <c r="L9" s="25"/>
      <c r="N9" s="15"/>
      <c r="O9" s="16"/>
      <c r="P9" s="16"/>
      <c r="Q9" s="16"/>
      <c r="R9" s="16"/>
      <c r="S9" s="16"/>
      <c r="T9" s="16"/>
      <c r="U9" s="16"/>
      <c r="V9" s="25"/>
      <c r="W9" s="16"/>
      <c r="X9" s="16"/>
      <c r="Y9" s="16"/>
      <c r="Z9" s="25"/>
      <c r="AA9" s="42"/>
      <c r="AB9" s="43"/>
      <c r="AC9" s="44"/>
      <c r="AD9" s="44"/>
      <c r="AE9" s="43"/>
      <c r="AF9" s="44"/>
      <c r="AG9" s="45"/>
    </row>
    <row r="10" ht="12.75" customHeight="1" spans="1:33">
      <c r="A10" s="14"/>
      <c r="B10" s="17"/>
      <c r="C10" s="17">
        <v>37</v>
      </c>
      <c r="D10" s="18"/>
      <c r="E10" s="19"/>
      <c r="F10" s="19"/>
      <c r="G10" s="19"/>
      <c r="H10" s="19"/>
      <c r="I10" s="19"/>
      <c r="J10" s="19"/>
      <c r="K10" s="19"/>
      <c r="L10" s="26"/>
      <c r="N10" s="18"/>
      <c r="O10" s="19"/>
      <c r="P10" s="19"/>
      <c r="Q10" s="19"/>
      <c r="R10" s="19"/>
      <c r="S10" s="19"/>
      <c r="T10" s="19"/>
      <c r="U10" s="19"/>
      <c r="V10" s="26"/>
      <c r="W10" s="16"/>
      <c r="X10" s="16"/>
      <c r="Y10" s="16"/>
      <c r="Z10" s="25"/>
      <c r="AA10" s="42"/>
      <c r="AB10" s="46"/>
      <c r="AC10" s="47"/>
      <c r="AD10" s="47"/>
      <c r="AE10" s="46"/>
      <c r="AF10" s="47"/>
      <c r="AG10" s="48"/>
    </row>
    <row r="11" spans="1:33">
      <c r="A11" s="14"/>
      <c r="B11" s="11" t="s">
        <v>67</v>
      </c>
      <c r="C11" s="11">
        <v>22</v>
      </c>
      <c r="D11" s="12"/>
      <c r="E11" s="13"/>
      <c r="F11" s="13"/>
      <c r="G11" s="13"/>
      <c r="H11" s="13"/>
      <c r="I11" s="13"/>
      <c r="J11" s="13"/>
      <c r="K11" s="13"/>
      <c r="L11" s="24"/>
      <c r="N11" s="12"/>
      <c r="O11" s="13"/>
      <c r="P11" s="13"/>
      <c r="Q11" s="13"/>
      <c r="R11" s="13"/>
      <c r="S11" s="13"/>
      <c r="T11" s="13"/>
      <c r="U11" s="13"/>
      <c r="V11" s="24"/>
      <c r="W11" s="16"/>
      <c r="X11" s="16"/>
      <c r="Y11" s="16"/>
      <c r="Z11" s="25"/>
      <c r="AA11" s="42"/>
      <c r="AB11" s="39"/>
      <c r="AC11" s="40"/>
      <c r="AD11" s="40"/>
      <c r="AE11" s="49"/>
      <c r="AF11" s="50"/>
      <c r="AG11" s="52"/>
    </row>
    <row r="12" spans="1:33">
      <c r="A12" s="14"/>
      <c r="B12" s="14"/>
      <c r="C12" s="14">
        <v>27</v>
      </c>
      <c r="D12" s="15"/>
      <c r="E12" s="16"/>
      <c r="F12" s="16"/>
      <c r="G12" s="16"/>
      <c r="H12" s="16"/>
      <c r="I12" s="16"/>
      <c r="J12" s="16"/>
      <c r="K12" s="16"/>
      <c r="L12" s="25"/>
      <c r="N12" s="15"/>
      <c r="O12" s="16"/>
      <c r="P12" s="16"/>
      <c r="Q12" s="16"/>
      <c r="R12" s="16"/>
      <c r="S12" s="16"/>
      <c r="T12" s="16"/>
      <c r="U12" s="16"/>
      <c r="V12" s="25"/>
      <c r="W12" s="16"/>
      <c r="X12" s="16"/>
      <c r="Y12" s="16"/>
      <c r="Z12" s="25"/>
      <c r="AA12" s="42"/>
      <c r="AB12" s="43"/>
      <c r="AC12" s="44"/>
      <c r="AD12" s="44"/>
      <c r="AE12" s="43"/>
      <c r="AF12" s="44"/>
      <c r="AG12" s="45"/>
    </row>
    <row r="13" spans="1:33">
      <c r="A13" s="14"/>
      <c r="B13" s="14"/>
      <c r="C13" s="14">
        <v>32</v>
      </c>
      <c r="D13" s="15"/>
      <c r="E13" s="16"/>
      <c r="F13" s="16"/>
      <c r="G13" s="16"/>
      <c r="H13" s="16"/>
      <c r="I13" s="16"/>
      <c r="J13" s="16"/>
      <c r="K13" s="16"/>
      <c r="L13" s="25"/>
      <c r="N13" s="15"/>
      <c r="O13" s="16"/>
      <c r="P13" s="16"/>
      <c r="Q13" s="16"/>
      <c r="R13" s="16"/>
      <c r="S13" s="16"/>
      <c r="T13" s="16"/>
      <c r="U13" s="16"/>
      <c r="V13" s="25"/>
      <c r="W13" s="16"/>
      <c r="X13" s="16"/>
      <c r="Y13" s="16"/>
      <c r="Z13" s="25"/>
      <c r="AA13" s="42"/>
      <c r="AB13" s="43"/>
      <c r="AC13" s="44"/>
      <c r="AD13" s="44"/>
      <c r="AE13" s="43"/>
      <c r="AF13" s="44"/>
      <c r="AG13" s="45"/>
    </row>
    <row r="14" ht="12.75" customHeight="1" spans="1:33">
      <c r="A14" s="14"/>
      <c r="B14" s="17"/>
      <c r="C14" s="17">
        <v>37</v>
      </c>
      <c r="D14" s="18"/>
      <c r="E14" s="19"/>
      <c r="F14" s="19"/>
      <c r="G14" s="19"/>
      <c r="H14" s="19"/>
      <c r="I14" s="19"/>
      <c r="J14" s="19"/>
      <c r="K14" s="19"/>
      <c r="L14" s="26"/>
      <c r="N14" s="18"/>
      <c r="O14" s="19"/>
      <c r="P14" s="19"/>
      <c r="Q14" s="19"/>
      <c r="R14" s="19"/>
      <c r="S14" s="19"/>
      <c r="T14" s="19"/>
      <c r="U14" s="19"/>
      <c r="V14" s="26"/>
      <c r="W14" s="16"/>
      <c r="X14" s="16"/>
      <c r="Y14" s="16"/>
      <c r="Z14" s="25"/>
      <c r="AA14" s="42"/>
      <c r="AB14" s="46"/>
      <c r="AC14" s="47"/>
      <c r="AD14" s="47"/>
      <c r="AE14" s="46"/>
      <c r="AF14" s="47"/>
      <c r="AG14" s="48"/>
    </row>
    <row r="15" spans="1:33">
      <c r="A15" s="11" t="s">
        <v>21</v>
      </c>
      <c r="B15" s="11" t="s">
        <v>110</v>
      </c>
      <c r="C15" s="11">
        <v>22</v>
      </c>
      <c r="D15" s="12"/>
      <c r="E15" s="13"/>
      <c r="F15" s="13"/>
      <c r="G15" s="13"/>
      <c r="H15" s="13"/>
      <c r="I15" s="13"/>
      <c r="J15" s="13"/>
      <c r="K15" s="13"/>
      <c r="L15" s="24"/>
      <c r="N15" s="12"/>
      <c r="O15" s="13"/>
      <c r="P15" s="13"/>
      <c r="Q15" s="13"/>
      <c r="R15" s="13"/>
      <c r="S15" s="13"/>
      <c r="T15" s="13"/>
      <c r="U15" s="13"/>
      <c r="V15" s="24"/>
      <c r="W15" s="13"/>
      <c r="X15" s="13"/>
      <c r="Y15" s="13"/>
      <c r="Z15" s="24"/>
      <c r="AA15" s="38"/>
      <c r="AB15" s="39"/>
      <c r="AC15" s="40"/>
      <c r="AD15" s="41"/>
      <c r="AE15" s="39"/>
      <c r="AF15" s="40"/>
      <c r="AG15" s="41"/>
    </row>
    <row r="16" spans="1:33">
      <c r="A16" s="14" t="s">
        <v>109</v>
      </c>
      <c r="B16" s="14"/>
      <c r="C16" s="14">
        <v>27</v>
      </c>
      <c r="D16" s="15"/>
      <c r="E16" s="16"/>
      <c r="F16" s="16"/>
      <c r="G16" s="16"/>
      <c r="H16" s="16"/>
      <c r="I16" s="16"/>
      <c r="J16" s="16"/>
      <c r="K16" s="16"/>
      <c r="L16" s="25"/>
      <c r="N16" s="15"/>
      <c r="O16" s="16"/>
      <c r="P16" s="16"/>
      <c r="Q16" s="16"/>
      <c r="R16" s="16"/>
      <c r="S16" s="16"/>
      <c r="T16" s="16"/>
      <c r="U16" s="16"/>
      <c r="V16" s="25"/>
      <c r="W16" s="16"/>
      <c r="X16" s="16"/>
      <c r="Y16" s="16"/>
      <c r="Z16" s="25"/>
      <c r="AA16" s="42"/>
      <c r="AB16" s="43"/>
      <c r="AC16" s="44"/>
      <c r="AD16" s="45"/>
      <c r="AE16" s="43"/>
      <c r="AF16" s="44"/>
      <c r="AG16" s="45"/>
    </row>
    <row r="17" spans="1:33">
      <c r="A17" s="14"/>
      <c r="B17" s="14"/>
      <c r="C17" s="14">
        <v>32</v>
      </c>
      <c r="D17" s="15"/>
      <c r="E17" s="16"/>
      <c r="F17" s="16"/>
      <c r="G17" s="16"/>
      <c r="H17" s="16"/>
      <c r="I17" s="16"/>
      <c r="J17" s="16"/>
      <c r="K17" s="16"/>
      <c r="L17" s="25"/>
      <c r="N17" s="15"/>
      <c r="O17" s="16"/>
      <c r="P17" s="16"/>
      <c r="Q17" s="16"/>
      <c r="R17" s="16"/>
      <c r="S17" s="16"/>
      <c r="T17" s="16"/>
      <c r="U17" s="16"/>
      <c r="V17" s="25"/>
      <c r="W17" s="16"/>
      <c r="X17" s="16"/>
      <c r="Y17" s="16"/>
      <c r="Z17" s="25"/>
      <c r="AA17" s="42"/>
      <c r="AB17" s="43"/>
      <c r="AC17" s="44"/>
      <c r="AD17" s="45"/>
      <c r="AE17" s="43"/>
      <c r="AF17" s="44"/>
      <c r="AG17" s="45"/>
    </row>
    <row r="18" ht="12.75" customHeight="1" spans="1:33">
      <c r="A18" s="14"/>
      <c r="B18" s="17"/>
      <c r="C18" s="17">
        <v>37</v>
      </c>
      <c r="D18" s="18"/>
      <c r="E18" s="19"/>
      <c r="F18" s="19"/>
      <c r="G18" s="19"/>
      <c r="H18" s="19"/>
      <c r="I18" s="19"/>
      <c r="J18" s="19"/>
      <c r="K18" s="19"/>
      <c r="L18" s="26"/>
      <c r="N18" s="18"/>
      <c r="O18" s="19"/>
      <c r="P18" s="19"/>
      <c r="Q18" s="19"/>
      <c r="R18" s="19"/>
      <c r="S18" s="19"/>
      <c r="T18" s="19"/>
      <c r="U18" s="19"/>
      <c r="V18" s="26"/>
      <c r="W18" s="16"/>
      <c r="X18" s="16"/>
      <c r="Y18" s="16"/>
      <c r="Z18" s="25"/>
      <c r="AA18" s="42"/>
      <c r="AB18" s="46"/>
      <c r="AC18" s="47"/>
      <c r="AD18" s="48"/>
      <c r="AE18" s="46"/>
      <c r="AF18" s="47"/>
      <c r="AG18" s="48"/>
    </row>
    <row r="19" spans="1:33">
      <c r="A19" s="14"/>
      <c r="B19" s="14" t="s">
        <v>70</v>
      </c>
      <c r="C19" s="11">
        <v>22</v>
      </c>
      <c r="D19" s="12"/>
      <c r="E19" s="13"/>
      <c r="F19" s="13"/>
      <c r="G19" s="13"/>
      <c r="H19" s="13"/>
      <c r="I19" s="13"/>
      <c r="J19" s="13"/>
      <c r="K19" s="13"/>
      <c r="L19" s="24"/>
      <c r="N19" s="12"/>
      <c r="O19" s="13"/>
      <c r="P19" s="13"/>
      <c r="Q19" s="13"/>
      <c r="R19" s="13"/>
      <c r="S19" s="13"/>
      <c r="T19" s="13"/>
      <c r="U19" s="13"/>
      <c r="V19" s="24"/>
      <c r="W19" s="16"/>
      <c r="X19" s="16"/>
      <c r="Y19" s="16"/>
      <c r="Z19" s="25"/>
      <c r="AA19" s="42"/>
      <c r="AB19" s="39"/>
      <c r="AC19" s="40"/>
      <c r="AD19" s="40"/>
      <c r="AE19" s="49"/>
      <c r="AF19" s="50"/>
      <c r="AG19" s="52"/>
    </row>
    <row r="20" spans="1:33">
      <c r="A20" s="14"/>
      <c r="B20" s="14"/>
      <c r="C20" s="14">
        <v>27</v>
      </c>
      <c r="D20" s="15"/>
      <c r="E20" s="16"/>
      <c r="F20" s="16"/>
      <c r="G20" s="16"/>
      <c r="H20" s="16"/>
      <c r="I20" s="16"/>
      <c r="J20" s="16"/>
      <c r="K20" s="16"/>
      <c r="L20" s="25"/>
      <c r="N20" s="15"/>
      <c r="O20" s="16"/>
      <c r="P20" s="16"/>
      <c r="Q20" s="16"/>
      <c r="R20" s="16"/>
      <c r="S20" s="16"/>
      <c r="T20" s="16"/>
      <c r="U20" s="16"/>
      <c r="V20" s="25"/>
      <c r="W20" s="16"/>
      <c r="X20" s="16"/>
      <c r="Y20" s="16"/>
      <c r="Z20" s="25"/>
      <c r="AA20" s="42"/>
      <c r="AB20" s="43"/>
      <c r="AC20" s="44"/>
      <c r="AD20" s="44"/>
      <c r="AE20" s="43"/>
      <c r="AF20" s="44"/>
      <c r="AG20" s="45"/>
    </row>
    <row r="21" spans="1:33">
      <c r="A21" s="14"/>
      <c r="B21" s="14"/>
      <c r="C21" s="14">
        <v>32</v>
      </c>
      <c r="D21" s="15"/>
      <c r="E21" s="16"/>
      <c r="F21" s="16"/>
      <c r="G21" s="16"/>
      <c r="H21" s="16"/>
      <c r="I21" s="16"/>
      <c r="J21" s="16"/>
      <c r="K21" s="16"/>
      <c r="L21" s="25"/>
      <c r="N21" s="15"/>
      <c r="O21" s="16"/>
      <c r="P21" s="16"/>
      <c r="Q21" s="16"/>
      <c r="R21" s="16"/>
      <c r="S21" s="16"/>
      <c r="T21" s="16"/>
      <c r="U21" s="16"/>
      <c r="V21" s="25"/>
      <c r="W21" s="16"/>
      <c r="X21" s="16"/>
      <c r="Y21" s="16"/>
      <c r="Z21" s="25"/>
      <c r="AA21" s="42"/>
      <c r="AB21" s="43"/>
      <c r="AC21" s="44"/>
      <c r="AD21" s="44"/>
      <c r="AE21" s="43"/>
      <c r="AF21" s="44"/>
      <c r="AG21" s="45"/>
    </row>
    <row r="22" ht="12.75" customHeight="1" spans="1:33">
      <c r="A22" s="14"/>
      <c r="B22" s="17"/>
      <c r="C22" s="17">
        <v>37</v>
      </c>
      <c r="D22" s="18"/>
      <c r="E22" s="19"/>
      <c r="F22" s="19"/>
      <c r="G22" s="19"/>
      <c r="H22" s="19"/>
      <c r="I22" s="19"/>
      <c r="J22" s="19"/>
      <c r="K22" s="19"/>
      <c r="L22" s="26"/>
      <c r="N22" s="18"/>
      <c r="O22" s="19"/>
      <c r="P22" s="19"/>
      <c r="Q22" s="19"/>
      <c r="R22" s="19"/>
      <c r="S22" s="19"/>
      <c r="T22" s="19"/>
      <c r="U22" s="19"/>
      <c r="V22" s="26"/>
      <c r="W22" s="16"/>
      <c r="X22" s="16"/>
      <c r="Y22" s="16"/>
      <c r="Z22" s="25"/>
      <c r="AA22" s="42"/>
      <c r="AB22" s="46"/>
      <c r="AC22" s="47"/>
      <c r="AD22" s="47"/>
      <c r="AE22" s="46"/>
      <c r="AF22" s="47"/>
      <c r="AG22" s="48"/>
    </row>
    <row r="23" spans="1:33">
      <c r="A23" s="14"/>
      <c r="B23" s="14" t="s">
        <v>71</v>
      </c>
      <c r="C23" s="11">
        <v>22</v>
      </c>
      <c r="D23" s="12"/>
      <c r="E23" s="13"/>
      <c r="F23" s="13"/>
      <c r="G23" s="13"/>
      <c r="H23" s="13"/>
      <c r="I23" s="13"/>
      <c r="J23" s="13"/>
      <c r="K23" s="13"/>
      <c r="L23" s="24"/>
      <c r="N23" s="12"/>
      <c r="O23" s="13"/>
      <c r="P23" s="13"/>
      <c r="Q23" s="13"/>
      <c r="R23" s="13"/>
      <c r="S23" s="13"/>
      <c r="T23" s="13"/>
      <c r="U23" s="13"/>
      <c r="V23" s="24"/>
      <c r="W23" s="16"/>
      <c r="X23" s="16"/>
      <c r="Y23" s="16"/>
      <c r="Z23" s="25"/>
      <c r="AA23" s="42"/>
      <c r="AB23" s="39"/>
      <c r="AC23" s="40"/>
      <c r="AD23" s="40"/>
      <c r="AE23" s="49"/>
      <c r="AF23" s="50"/>
      <c r="AG23" s="52"/>
    </row>
    <row r="24" spans="1:33">
      <c r="A24" s="14"/>
      <c r="B24" s="14"/>
      <c r="C24" s="14">
        <v>27</v>
      </c>
      <c r="D24" s="15"/>
      <c r="E24" s="16"/>
      <c r="F24" s="16"/>
      <c r="G24" s="16"/>
      <c r="H24" s="16"/>
      <c r="I24" s="16"/>
      <c r="J24" s="16"/>
      <c r="K24" s="16"/>
      <c r="L24" s="25"/>
      <c r="N24" s="15"/>
      <c r="O24" s="16"/>
      <c r="P24" s="16"/>
      <c r="Q24" s="16"/>
      <c r="R24" s="16"/>
      <c r="S24" s="16"/>
      <c r="T24" s="16"/>
      <c r="U24" s="16"/>
      <c r="V24" s="25"/>
      <c r="W24" s="16"/>
      <c r="X24" s="16"/>
      <c r="Y24" s="16"/>
      <c r="Z24" s="25"/>
      <c r="AA24" s="42"/>
      <c r="AB24" s="43"/>
      <c r="AC24" s="44"/>
      <c r="AD24" s="44"/>
      <c r="AE24" s="43"/>
      <c r="AF24" s="44"/>
      <c r="AG24" s="45"/>
    </row>
    <row r="25" spans="1:33">
      <c r="A25" s="14"/>
      <c r="B25" s="14"/>
      <c r="C25" s="14">
        <v>32</v>
      </c>
      <c r="D25" s="15"/>
      <c r="E25" s="16"/>
      <c r="F25" s="16"/>
      <c r="G25" s="16"/>
      <c r="H25" s="16"/>
      <c r="I25" s="16"/>
      <c r="J25" s="16"/>
      <c r="K25" s="16"/>
      <c r="L25" s="25"/>
      <c r="N25" s="15"/>
      <c r="O25" s="16"/>
      <c r="P25" s="16"/>
      <c r="Q25" s="16"/>
      <c r="R25" s="16"/>
      <c r="S25" s="16"/>
      <c r="T25" s="16"/>
      <c r="U25" s="16"/>
      <c r="V25" s="25"/>
      <c r="W25" s="16"/>
      <c r="X25" s="16"/>
      <c r="Y25" s="16"/>
      <c r="Z25" s="25"/>
      <c r="AA25" s="42"/>
      <c r="AB25" s="43"/>
      <c r="AC25" s="44"/>
      <c r="AD25" s="44"/>
      <c r="AE25" s="43"/>
      <c r="AF25" s="44"/>
      <c r="AG25" s="45"/>
    </row>
    <row r="26" ht="12.75" customHeight="1" spans="1:33">
      <c r="A26" s="14"/>
      <c r="B26" s="17"/>
      <c r="C26" s="17">
        <v>37</v>
      </c>
      <c r="D26" s="18"/>
      <c r="E26" s="19"/>
      <c r="F26" s="19"/>
      <c r="G26" s="19"/>
      <c r="H26" s="19"/>
      <c r="I26" s="19"/>
      <c r="J26" s="19"/>
      <c r="K26" s="19"/>
      <c r="L26" s="26"/>
      <c r="N26" s="18"/>
      <c r="O26" s="19"/>
      <c r="P26" s="19"/>
      <c r="Q26" s="19"/>
      <c r="R26" s="19"/>
      <c r="S26" s="19"/>
      <c r="T26" s="19"/>
      <c r="U26" s="19"/>
      <c r="V26" s="26"/>
      <c r="W26" s="16"/>
      <c r="X26" s="16"/>
      <c r="Y26" s="16"/>
      <c r="Z26" s="25"/>
      <c r="AA26" s="42"/>
      <c r="AB26" s="46"/>
      <c r="AC26" s="47"/>
      <c r="AD26" s="47"/>
      <c r="AE26" s="46"/>
      <c r="AF26" s="47"/>
      <c r="AG26" s="48"/>
    </row>
    <row r="27" spans="1:33">
      <c r="A27" s="11" t="s">
        <v>22</v>
      </c>
      <c r="B27" s="11" t="s">
        <v>72</v>
      </c>
      <c r="C27" s="11">
        <v>22</v>
      </c>
      <c r="D27" s="12">
        <f>Reference!B385</f>
        <v>11212.4496</v>
      </c>
      <c r="E27" s="13">
        <f>Reference!C385</f>
        <v>40.7221</v>
      </c>
      <c r="F27" s="13">
        <f>Reference!D385</f>
        <v>44.4532</v>
      </c>
      <c r="G27" s="13">
        <f>Reference!E385</f>
        <v>45.0657</v>
      </c>
      <c r="H27" s="13">
        <f>Reference!F385</f>
        <v>86338</v>
      </c>
      <c r="I27" s="13">
        <f>Reference!G385</f>
        <v>72.707</v>
      </c>
      <c r="J27" s="13">
        <f t="shared" ref="J27:J58" si="0">H27/3600</f>
        <v>23.9827777777778</v>
      </c>
      <c r="K27" s="27">
        <f>Reference!H385</f>
        <v>3865508</v>
      </c>
      <c r="L27" s="28">
        <f>Reference!I385</f>
        <v>703304</v>
      </c>
      <c r="N27" s="12">
        <f>Test!B385</f>
        <v>0</v>
      </c>
      <c r="O27" s="13">
        <f>Test!C385</f>
        <v>0</v>
      </c>
      <c r="P27" s="13">
        <f>Test!D385</f>
        <v>0</v>
      </c>
      <c r="Q27" s="13">
        <f>Test!E385</f>
        <v>0</v>
      </c>
      <c r="R27" s="13">
        <f>Test!F385</f>
        <v>0</v>
      </c>
      <c r="S27" s="13">
        <f>Test!G385</f>
        <v>0</v>
      </c>
      <c r="T27" s="13">
        <f t="shared" ref="T27:T58" si="1">R27/3600</f>
        <v>0</v>
      </c>
      <c r="U27" s="27">
        <f>Test!H385</f>
        <v>0</v>
      </c>
      <c r="V27" s="28">
        <f>Test!I385</f>
        <v>0</v>
      </c>
      <c r="W27" s="13">
        <f t="shared" ref="W27:W58" si="2">R27/H27</f>
        <v>0</v>
      </c>
      <c r="X27" s="13">
        <f t="shared" ref="X27:X58" si="3">S27/I27</f>
        <v>0</v>
      </c>
      <c r="Y27" s="13">
        <f>U27/K27</f>
        <v>0</v>
      </c>
      <c r="Z27" s="24">
        <f>V27/L27</f>
        <v>0</v>
      </c>
      <c r="AA27" s="38"/>
      <c r="AB27" s="39" t="e">
        <f>bdrate($D27:$D30,E27:E30,$N27:$N30,O27:O30)</f>
        <v>#VALUE!</v>
      </c>
      <c r="AC27" s="40" t="e">
        <f>bdrate($D27:$D30,F27:F30,$N27:$N30,P27:P30)</f>
        <v>#VALUE!</v>
      </c>
      <c r="AD27" s="41" t="e">
        <f>bdrate($D27:$D30,G27:G30,$N27:$N30,Q27:Q30)</f>
        <v>#VALUE!</v>
      </c>
      <c r="AE27" s="39" t="e">
        <f>bdrateOld($D27:$D30,E27:E30,$N27:$N30,O27:O30)</f>
        <v>#VALUE!</v>
      </c>
      <c r="AF27" s="40" t="e">
        <f>bdrateOld($D27:$D30,F27:F30,$N27:$N30,P27:P30)</f>
        <v>#VALUE!</v>
      </c>
      <c r="AG27" s="41" t="e">
        <f>bdrateOld($D27:$D30,G27:G30,$N27:$N30,Q27:Q30)</f>
        <v>#VALUE!</v>
      </c>
    </row>
    <row r="28" spans="1:33">
      <c r="A28" s="14" t="s">
        <v>111</v>
      </c>
      <c r="B28" s="14"/>
      <c r="C28" s="14">
        <v>27</v>
      </c>
      <c r="D28" s="15">
        <f>Reference!B386</f>
        <v>3206.8848</v>
      </c>
      <c r="E28" s="16">
        <f>Reference!C386</f>
        <v>38.9199</v>
      </c>
      <c r="F28" s="16">
        <f>Reference!D386</f>
        <v>43.1302</v>
      </c>
      <c r="G28" s="16">
        <f>Reference!E386</f>
        <v>43.5069</v>
      </c>
      <c r="H28" s="16">
        <f>Reference!F386</f>
        <v>40205</v>
      </c>
      <c r="I28" s="16">
        <f>Reference!G386</f>
        <v>60.903</v>
      </c>
      <c r="J28" s="16">
        <f t="shared" si="0"/>
        <v>11.1680555555556</v>
      </c>
      <c r="K28" s="29">
        <f>Reference!H386</f>
        <v>3849372</v>
      </c>
      <c r="L28" s="30">
        <f>Reference!I386</f>
        <v>736568</v>
      </c>
      <c r="N28" s="15">
        <f>Test!B386</f>
        <v>0</v>
      </c>
      <c r="O28" s="16">
        <f>Test!C386</f>
        <v>0</v>
      </c>
      <c r="P28" s="16">
        <f>Test!D386</f>
        <v>0</v>
      </c>
      <c r="Q28" s="16">
        <f>Test!E386</f>
        <v>0</v>
      </c>
      <c r="R28" s="16">
        <f>Test!F386</f>
        <v>0</v>
      </c>
      <c r="S28" s="16">
        <f>Test!G386</f>
        <v>0</v>
      </c>
      <c r="T28" s="16">
        <f t="shared" si="1"/>
        <v>0</v>
      </c>
      <c r="U28" s="29">
        <f>Test!H386</f>
        <v>0</v>
      </c>
      <c r="V28" s="30">
        <f>Test!I386</f>
        <v>0</v>
      </c>
      <c r="W28" s="16">
        <f t="shared" si="2"/>
        <v>0</v>
      </c>
      <c r="X28" s="16">
        <f t="shared" si="3"/>
        <v>0</v>
      </c>
      <c r="Y28" s="16">
        <f t="shared" ref="Y28:Z91" si="4">U28/K28</f>
        <v>0</v>
      </c>
      <c r="Z28" s="25">
        <f t="shared" si="4"/>
        <v>0</v>
      </c>
      <c r="AA28" s="42"/>
      <c r="AB28" s="43"/>
      <c r="AC28" s="44"/>
      <c r="AD28" s="45"/>
      <c r="AE28" s="43"/>
      <c r="AF28" s="44"/>
      <c r="AG28" s="45"/>
    </row>
    <row r="29" spans="1:33">
      <c r="A29" s="14"/>
      <c r="B29" s="14"/>
      <c r="C29" s="14">
        <v>32</v>
      </c>
      <c r="D29" s="15">
        <f>Reference!B387</f>
        <v>1414.4176</v>
      </c>
      <c r="E29" s="16">
        <f>Reference!C387</f>
        <v>36.9758</v>
      </c>
      <c r="F29" s="16">
        <f>Reference!D387</f>
        <v>42.0313</v>
      </c>
      <c r="G29" s="16">
        <f>Reference!E387</f>
        <v>42.0993</v>
      </c>
      <c r="H29" s="16">
        <f>Reference!F387</f>
        <v>27017</v>
      </c>
      <c r="I29" s="16">
        <f>Reference!G387</f>
        <v>52.028</v>
      </c>
      <c r="J29" s="16">
        <f t="shared" si="0"/>
        <v>7.50472222222222</v>
      </c>
      <c r="K29" s="29">
        <f>Reference!H387</f>
        <v>4074788</v>
      </c>
      <c r="L29" s="30">
        <f>Reference!I387</f>
        <v>715828</v>
      </c>
      <c r="N29" s="15">
        <f>Test!B387</f>
        <v>0</v>
      </c>
      <c r="O29" s="16">
        <f>Test!C387</f>
        <v>0</v>
      </c>
      <c r="P29" s="16">
        <f>Test!D387</f>
        <v>0</v>
      </c>
      <c r="Q29" s="16">
        <f>Test!E387</f>
        <v>0</v>
      </c>
      <c r="R29" s="16">
        <f>Test!F387</f>
        <v>0</v>
      </c>
      <c r="S29" s="16">
        <f>Test!G387</f>
        <v>0</v>
      </c>
      <c r="T29" s="16">
        <f t="shared" si="1"/>
        <v>0</v>
      </c>
      <c r="U29" s="29">
        <f>Test!H387</f>
        <v>0</v>
      </c>
      <c r="V29" s="30">
        <f>Test!I387</f>
        <v>0</v>
      </c>
      <c r="W29" s="16">
        <f t="shared" si="2"/>
        <v>0</v>
      </c>
      <c r="X29" s="16">
        <f t="shared" si="3"/>
        <v>0</v>
      </c>
      <c r="Y29" s="16">
        <f t="shared" si="4"/>
        <v>0</v>
      </c>
      <c r="Z29" s="25">
        <f t="shared" si="4"/>
        <v>0</v>
      </c>
      <c r="AA29" s="42"/>
      <c r="AB29" s="43"/>
      <c r="AC29" s="44"/>
      <c r="AD29" s="45"/>
      <c r="AE29" s="43"/>
      <c r="AF29" s="44"/>
      <c r="AG29" s="45"/>
    </row>
    <row r="30" ht="12.75" customHeight="1" spans="1:33">
      <c r="A30" s="14"/>
      <c r="B30" s="17"/>
      <c r="C30" s="17">
        <v>37</v>
      </c>
      <c r="D30" s="18">
        <f>Reference!B388</f>
        <v>678.2512</v>
      </c>
      <c r="E30" s="19">
        <f>Reference!C388</f>
        <v>34.8654</v>
      </c>
      <c r="F30" s="19">
        <f>Reference!D388</f>
        <v>40.9048</v>
      </c>
      <c r="G30" s="19">
        <f>Reference!E388</f>
        <v>41.0431</v>
      </c>
      <c r="H30" s="19">
        <f>Reference!F388</f>
        <v>14902</v>
      </c>
      <c r="I30" s="19">
        <f>Reference!G388</f>
        <v>28.727</v>
      </c>
      <c r="J30" s="19">
        <f t="shared" si="0"/>
        <v>4.13944444444444</v>
      </c>
      <c r="K30" s="31">
        <f>Reference!H388</f>
        <v>3012804</v>
      </c>
      <c r="L30" s="32">
        <f>Reference!I388</f>
        <v>567868</v>
      </c>
      <c r="N30" s="18">
        <f>Test!B388</f>
        <v>0</v>
      </c>
      <c r="O30" s="19">
        <f>Test!C388</f>
        <v>0</v>
      </c>
      <c r="P30" s="19">
        <f>Test!D388</f>
        <v>0</v>
      </c>
      <c r="Q30" s="19">
        <f>Test!E388</f>
        <v>0</v>
      </c>
      <c r="R30" s="19">
        <f>Test!F388</f>
        <v>0</v>
      </c>
      <c r="S30" s="19">
        <f>Test!G388</f>
        <v>0</v>
      </c>
      <c r="T30" s="19">
        <f t="shared" si="1"/>
        <v>0</v>
      </c>
      <c r="U30" s="31">
        <f>Test!H388</f>
        <v>0</v>
      </c>
      <c r="V30" s="32">
        <f>Test!I388</f>
        <v>0</v>
      </c>
      <c r="W30" s="16">
        <f t="shared" si="2"/>
        <v>0</v>
      </c>
      <c r="X30" s="16">
        <f t="shared" si="3"/>
        <v>0</v>
      </c>
      <c r="Y30" s="16">
        <f t="shared" si="4"/>
        <v>0</v>
      </c>
      <c r="Z30" s="25">
        <f t="shared" si="4"/>
        <v>0</v>
      </c>
      <c r="AA30" s="42"/>
      <c r="AB30" s="46"/>
      <c r="AC30" s="47"/>
      <c r="AD30" s="48"/>
      <c r="AE30" s="46"/>
      <c r="AF30" s="47"/>
      <c r="AG30" s="48"/>
    </row>
    <row r="31" spans="1:33">
      <c r="A31" s="14"/>
      <c r="B31" s="11" t="s">
        <v>73</v>
      </c>
      <c r="C31" s="11">
        <v>22</v>
      </c>
      <c r="D31" s="12">
        <f>Reference!B389</f>
        <v>7979.184</v>
      </c>
      <c r="E31" s="13">
        <f>Reference!C389</f>
        <v>44.9493</v>
      </c>
      <c r="F31" s="13">
        <f>Reference!D389</f>
        <v>48.162</v>
      </c>
      <c r="G31" s="13">
        <f>Reference!E389</f>
        <v>48.6939</v>
      </c>
      <c r="H31" s="13">
        <f>Reference!F389</f>
        <v>50302</v>
      </c>
      <c r="I31" s="13">
        <f>Reference!G389</f>
        <v>65.922</v>
      </c>
      <c r="J31" s="13">
        <f t="shared" si="0"/>
        <v>13.9727777777778</v>
      </c>
      <c r="K31" s="27">
        <f>Reference!H389</f>
        <v>3789320</v>
      </c>
      <c r="L31" s="28">
        <f>Reference!I389</f>
        <v>684976</v>
      </c>
      <c r="N31" s="12">
        <f>Test!B389</f>
        <v>0</v>
      </c>
      <c r="O31" s="13">
        <f>Test!C389</f>
        <v>0</v>
      </c>
      <c r="P31" s="13">
        <f>Test!D389</f>
        <v>0</v>
      </c>
      <c r="Q31" s="13">
        <f>Test!E389</f>
        <v>0</v>
      </c>
      <c r="R31" s="13">
        <f>Test!F389</f>
        <v>0</v>
      </c>
      <c r="S31" s="13">
        <f>Test!G389</f>
        <v>0</v>
      </c>
      <c r="T31" s="13">
        <f t="shared" si="1"/>
        <v>0</v>
      </c>
      <c r="U31" s="27">
        <f>Test!H389</f>
        <v>0</v>
      </c>
      <c r="V31" s="28">
        <f>Test!I389</f>
        <v>0</v>
      </c>
      <c r="W31" s="16">
        <f t="shared" si="2"/>
        <v>0</v>
      </c>
      <c r="X31" s="16">
        <f t="shared" si="3"/>
        <v>0</v>
      </c>
      <c r="Y31" s="16">
        <f t="shared" si="4"/>
        <v>0</v>
      </c>
      <c r="Z31" s="25">
        <f t="shared" si="4"/>
        <v>0</v>
      </c>
      <c r="AA31" s="42"/>
      <c r="AB31" s="39" t="e">
        <f>bdrate($D31:$D34,E31:E34,$N31:$N34,O31:O34)</f>
        <v>#VALUE!</v>
      </c>
      <c r="AC31" s="40" t="e">
        <f>bdrate($D31:$D34,F31:F34,$N31:$N34,P31:P34)</f>
        <v>#VALUE!</v>
      </c>
      <c r="AD31" s="40" t="e">
        <f>bdrate($D31:$D34,G31:G34,$N31:$N34,Q31:Q34)</f>
        <v>#VALUE!</v>
      </c>
      <c r="AE31" s="49" t="e">
        <f>bdrateOld($D31:$D34,E31:E34,$N31:$N34,O31:O34)</f>
        <v>#VALUE!</v>
      </c>
      <c r="AF31" s="50" t="e">
        <f>bdrateOld($D31:$D34,F31:F34,$N31:$N34,P31:P34)</f>
        <v>#VALUE!</v>
      </c>
      <c r="AG31" s="52" t="e">
        <f>bdrateOld($D31:$D34,G31:G34,$N31:$N34,Q31:Q34)</f>
        <v>#VALUE!</v>
      </c>
    </row>
    <row r="32" spans="1:33">
      <c r="A32" s="14"/>
      <c r="B32" s="14"/>
      <c r="C32" s="14">
        <v>27</v>
      </c>
      <c r="D32" s="15">
        <f>Reference!B390</f>
        <v>3822.3408</v>
      </c>
      <c r="E32" s="16">
        <f>Reference!C390</f>
        <v>41.6249</v>
      </c>
      <c r="F32" s="16">
        <f>Reference!D390</f>
        <v>45.4581</v>
      </c>
      <c r="G32" s="16">
        <f>Reference!E390</f>
        <v>45.4741</v>
      </c>
      <c r="H32" s="16">
        <f>Reference!F390</f>
        <v>36800</v>
      </c>
      <c r="I32" s="16">
        <f>Reference!G390</f>
        <v>53.811</v>
      </c>
      <c r="J32" s="16">
        <f t="shared" si="0"/>
        <v>10.2222222222222</v>
      </c>
      <c r="K32" s="29">
        <f>Reference!H390</f>
        <v>3792632</v>
      </c>
      <c r="L32" s="30">
        <f>Reference!I390</f>
        <v>710168</v>
      </c>
      <c r="N32" s="15">
        <f>Test!B390</f>
        <v>0</v>
      </c>
      <c r="O32" s="16">
        <f>Test!C390</f>
        <v>0</v>
      </c>
      <c r="P32" s="16">
        <f>Test!D390</f>
        <v>0</v>
      </c>
      <c r="Q32" s="16">
        <f>Test!E390</f>
        <v>0</v>
      </c>
      <c r="R32" s="16">
        <f>Test!F390</f>
        <v>0</v>
      </c>
      <c r="S32" s="16">
        <f>Test!G390</f>
        <v>0</v>
      </c>
      <c r="T32" s="16">
        <f t="shared" si="1"/>
        <v>0</v>
      </c>
      <c r="U32" s="29">
        <f>Test!H390</f>
        <v>0</v>
      </c>
      <c r="V32" s="30">
        <f>Test!I390</f>
        <v>0</v>
      </c>
      <c r="W32" s="16">
        <f t="shared" si="2"/>
        <v>0</v>
      </c>
      <c r="X32" s="16">
        <f t="shared" si="3"/>
        <v>0</v>
      </c>
      <c r="Y32" s="16">
        <f t="shared" si="4"/>
        <v>0</v>
      </c>
      <c r="Z32" s="25">
        <f t="shared" si="4"/>
        <v>0</v>
      </c>
      <c r="AA32" s="42"/>
      <c r="AB32" s="43"/>
      <c r="AC32" s="44"/>
      <c r="AD32" s="44"/>
      <c r="AE32" s="43"/>
      <c r="AF32" s="44"/>
      <c r="AG32" s="45"/>
    </row>
    <row r="33" spans="1:33">
      <c r="A33" s="14"/>
      <c r="B33" s="14"/>
      <c r="C33" s="14">
        <v>32</v>
      </c>
      <c r="D33" s="15">
        <f>Reference!B391</f>
        <v>1971.1664</v>
      </c>
      <c r="E33" s="16">
        <f>Reference!C391</f>
        <v>38.3821</v>
      </c>
      <c r="F33" s="16">
        <f>Reference!D391</f>
        <v>43.7473</v>
      </c>
      <c r="G33" s="16">
        <f>Reference!E391</f>
        <v>43.5358</v>
      </c>
      <c r="H33" s="16">
        <f>Reference!F391</f>
        <v>25740</v>
      </c>
      <c r="I33" s="16">
        <f>Reference!G391</f>
        <v>38.476</v>
      </c>
      <c r="J33" s="16">
        <f t="shared" si="0"/>
        <v>7.15</v>
      </c>
      <c r="K33" s="29">
        <f>Reference!H391</f>
        <v>3717276</v>
      </c>
      <c r="L33" s="30">
        <f>Reference!I391</f>
        <v>694504</v>
      </c>
      <c r="N33" s="15">
        <f>Test!B391</f>
        <v>0</v>
      </c>
      <c r="O33" s="16">
        <f>Test!C391</f>
        <v>0</v>
      </c>
      <c r="P33" s="16">
        <f>Test!D391</f>
        <v>0</v>
      </c>
      <c r="Q33" s="16">
        <f>Test!E391</f>
        <v>0</v>
      </c>
      <c r="R33" s="16">
        <f>Test!F391</f>
        <v>0</v>
      </c>
      <c r="S33" s="16">
        <f>Test!G391</f>
        <v>0</v>
      </c>
      <c r="T33" s="16">
        <f t="shared" si="1"/>
        <v>0</v>
      </c>
      <c r="U33" s="29">
        <f>Test!H391</f>
        <v>0</v>
      </c>
      <c r="V33" s="30">
        <f>Test!I391</f>
        <v>0</v>
      </c>
      <c r="W33" s="16">
        <f t="shared" si="2"/>
        <v>0</v>
      </c>
      <c r="X33" s="16">
        <f t="shared" si="3"/>
        <v>0</v>
      </c>
      <c r="Y33" s="16">
        <f t="shared" si="4"/>
        <v>0</v>
      </c>
      <c r="Z33" s="25">
        <f t="shared" si="4"/>
        <v>0</v>
      </c>
      <c r="AA33" s="42"/>
      <c r="AB33" s="43"/>
      <c r="AC33" s="44"/>
      <c r="AD33" s="44"/>
      <c r="AE33" s="43"/>
      <c r="AF33" s="44"/>
      <c r="AG33" s="45"/>
    </row>
    <row r="34" ht="12.75" customHeight="1" spans="1:33">
      <c r="A34" s="14"/>
      <c r="B34" s="17"/>
      <c r="C34" s="17">
        <v>37</v>
      </c>
      <c r="D34" s="18">
        <f>Reference!B392</f>
        <v>1071.568</v>
      </c>
      <c r="E34" s="19">
        <f>Reference!C392</f>
        <v>35.6486</v>
      </c>
      <c r="F34" s="19">
        <f>Reference!D392</f>
        <v>42.3239</v>
      </c>
      <c r="G34" s="19">
        <f>Reference!E392</f>
        <v>42.0506</v>
      </c>
      <c r="H34" s="19">
        <f>Reference!F392</f>
        <v>16841</v>
      </c>
      <c r="I34" s="19">
        <f>Reference!G392</f>
        <v>22.836</v>
      </c>
      <c r="J34" s="19">
        <f t="shared" si="0"/>
        <v>4.67805555555556</v>
      </c>
      <c r="K34" s="31">
        <f>Reference!H392</f>
        <v>3561148</v>
      </c>
      <c r="L34" s="32">
        <f>Reference!I392</f>
        <v>677140</v>
      </c>
      <c r="N34" s="18">
        <f>Test!B392</f>
        <v>0</v>
      </c>
      <c r="O34" s="19">
        <f>Test!C392</f>
        <v>0</v>
      </c>
      <c r="P34" s="19">
        <f>Test!D392</f>
        <v>0</v>
      </c>
      <c r="Q34" s="19">
        <f>Test!E392</f>
        <v>0</v>
      </c>
      <c r="R34" s="19">
        <f>Test!F392</f>
        <v>0</v>
      </c>
      <c r="S34" s="19">
        <f>Test!G392</f>
        <v>0</v>
      </c>
      <c r="T34" s="19">
        <f t="shared" si="1"/>
        <v>0</v>
      </c>
      <c r="U34" s="31">
        <f>Test!H392</f>
        <v>0</v>
      </c>
      <c r="V34" s="32">
        <f>Test!I392</f>
        <v>0</v>
      </c>
      <c r="W34" s="16">
        <f t="shared" si="2"/>
        <v>0</v>
      </c>
      <c r="X34" s="16">
        <f t="shared" si="3"/>
        <v>0</v>
      </c>
      <c r="Y34" s="16">
        <f t="shared" si="4"/>
        <v>0</v>
      </c>
      <c r="Z34" s="25">
        <f t="shared" si="4"/>
        <v>0</v>
      </c>
      <c r="AA34" s="42"/>
      <c r="AB34" s="46"/>
      <c r="AC34" s="47"/>
      <c r="AD34" s="47"/>
      <c r="AE34" s="46"/>
      <c r="AF34" s="47"/>
      <c r="AG34" s="48"/>
    </row>
    <row r="35" spans="1:33">
      <c r="A35" s="14"/>
      <c r="B35" s="11" t="s">
        <v>74</v>
      </c>
      <c r="C35" s="11">
        <v>22</v>
      </c>
      <c r="D35" s="12">
        <f>Reference!B393</f>
        <v>12524.9104</v>
      </c>
      <c r="E35" s="13">
        <f>Reference!C393</f>
        <v>38.7191</v>
      </c>
      <c r="F35" s="13">
        <f>Reference!D393</f>
        <v>40.175</v>
      </c>
      <c r="G35" s="13">
        <f>Reference!E393</f>
        <v>43.8269</v>
      </c>
      <c r="H35" s="13">
        <f>Reference!F393</f>
        <v>60205</v>
      </c>
      <c r="I35" s="13">
        <f>Reference!G393</f>
        <v>54.628</v>
      </c>
      <c r="J35" s="13">
        <f t="shared" si="0"/>
        <v>16.7236111111111</v>
      </c>
      <c r="K35" s="27">
        <f>Reference!H393</f>
        <v>3785552</v>
      </c>
      <c r="L35" s="28">
        <f>Reference!I393</f>
        <v>732008</v>
      </c>
      <c r="N35" s="12">
        <f>Test!B393</f>
        <v>0</v>
      </c>
      <c r="O35" s="13">
        <f>Test!C393</f>
        <v>0</v>
      </c>
      <c r="P35" s="13">
        <f>Test!D393</f>
        <v>0</v>
      </c>
      <c r="Q35" s="13">
        <f>Test!E393</f>
        <v>0</v>
      </c>
      <c r="R35" s="13">
        <f>Test!F393</f>
        <v>0</v>
      </c>
      <c r="S35" s="13">
        <f>Test!G393</f>
        <v>0</v>
      </c>
      <c r="T35" s="13">
        <f t="shared" si="1"/>
        <v>0</v>
      </c>
      <c r="U35" s="27">
        <f>Test!H393</f>
        <v>0</v>
      </c>
      <c r="V35" s="28">
        <f>Test!I393</f>
        <v>0</v>
      </c>
      <c r="W35" s="16">
        <f t="shared" si="2"/>
        <v>0</v>
      </c>
      <c r="X35" s="16">
        <f t="shared" si="3"/>
        <v>0</v>
      </c>
      <c r="Y35" s="16">
        <f t="shared" si="4"/>
        <v>0</v>
      </c>
      <c r="Z35" s="25">
        <f t="shared" si="4"/>
        <v>0</v>
      </c>
      <c r="AA35" s="42"/>
      <c r="AB35" s="39" t="e">
        <f>bdrate($D35:$D38,E35:E38,$N35:$N38,O35:O38)</f>
        <v>#VALUE!</v>
      </c>
      <c r="AC35" s="40" t="e">
        <f>bdrate($D35:$D38,F35:F38,$N35:$N38,P35:P38)</f>
        <v>#VALUE!</v>
      </c>
      <c r="AD35" s="40" t="e">
        <f>bdrate($D35:$D38,G35:G38,$N35:$N38,Q35:Q38)</f>
        <v>#VALUE!</v>
      </c>
      <c r="AE35" s="49" t="e">
        <f>bdrateOld($D35:$D38,E35:E38,$N35:$N38,O35:O38)</f>
        <v>#VALUE!</v>
      </c>
      <c r="AF35" s="50" t="e">
        <f>bdrateOld($D35:$D38,F35:F38,$N35:$N38,P35:P38)</f>
        <v>#VALUE!</v>
      </c>
      <c r="AG35" s="52" t="e">
        <f>bdrateOld($D35:$D38,G35:G38,$N35:$N38,Q35:Q38)</f>
        <v>#VALUE!</v>
      </c>
    </row>
    <row r="36" spans="1:33">
      <c r="A36" s="14"/>
      <c r="B36" s="14"/>
      <c r="C36" s="14">
        <v>27</v>
      </c>
      <c r="D36" s="15">
        <f>Reference!B394</f>
        <v>3318.5296</v>
      </c>
      <c r="E36" s="16">
        <f>Reference!C394</f>
        <v>36.8552</v>
      </c>
      <c r="F36" s="16">
        <f>Reference!D394</f>
        <v>39.2508</v>
      </c>
      <c r="G36" s="16">
        <f>Reference!E394</f>
        <v>41.819</v>
      </c>
      <c r="H36" s="16">
        <f>Reference!F394</f>
        <v>33407</v>
      </c>
      <c r="I36" s="16">
        <f>Reference!G394</f>
        <v>36.853</v>
      </c>
      <c r="J36" s="16">
        <f t="shared" si="0"/>
        <v>9.27972222222222</v>
      </c>
      <c r="K36" s="29">
        <f>Reference!H394</f>
        <v>3765008</v>
      </c>
      <c r="L36" s="30">
        <f>Reference!I394</f>
        <v>706720</v>
      </c>
      <c r="N36" s="15">
        <f>Test!B394</f>
        <v>0</v>
      </c>
      <c r="O36" s="16">
        <f>Test!C394</f>
        <v>0</v>
      </c>
      <c r="P36" s="16">
        <f>Test!D394</f>
        <v>0</v>
      </c>
      <c r="Q36" s="16">
        <f>Test!E394</f>
        <v>0</v>
      </c>
      <c r="R36" s="16">
        <f>Test!F394</f>
        <v>0</v>
      </c>
      <c r="S36" s="16">
        <f>Test!G394</f>
        <v>0</v>
      </c>
      <c r="T36" s="16">
        <f t="shared" si="1"/>
        <v>0</v>
      </c>
      <c r="U36" s="29">
        <f>Test!H394</f>
        <v>0</v>
      </c>
      <c r="V36" s="30">
        <f>Test!I394</f>
        <v>0</v>
      </c>
      <c r="W36" s="16">
        <f t="shared" si="2"/>
        <v>0</v>
      </c>
      <c r="X36" s="16">
        <f t="shared" si="3"/>
        <v>0</v>
      </c>
      <c r="Y36" s="16">
        <f t="shared" si="4"/>
        <v>0</v>
      </c>
      <c r="Z36" s="25">
        <f t="shared" si="4"/>
        <v>0</v>
      </c>
      <c r="AA36" s="42"/>
      <c r="AB36" s="43"/>
      <c r="AC36" s="44"/>
      <c r="AD36" s="44"/>
      <c r="AE36" s="43"/>
      <c r="AF36" s="44"/>
      <c r="AG36" s="45"/>
    </row>
    <row r="37" spans="1:33">
      <c r="A37" s="14"/>
      <c r="B37" s="14"/>
      <c r="C37" s="14">
        <v>32</v>
      </c>
      <c r="D37" s="15">
        <f>Reference!B395</f>
        <v>1495.576</v>
      </c>
      <c r="E37" s="16">
        <f>Reference!C395</f>
        <v>34.8669</v>
      </c>
      <c r="F37" s="16">
        <f>Reference!D395</f>
        <v>38.415</v>
      </c>
      <c r="G37" s="16">
        <f>Reference!E395</f>
        <v>40.1007</v>
      </c>
      <c r="H37" s="16">
        <f>Reference!F395</f>
        <v>23603</v>
      </c>
      <c r="I37" s="16">
        <f>Reference!G395</f>
        <v>31.249</v>
      </c>
      <c r="J37" s="16">
        <f t="shared" si="0"/>
        <v>6.55638888888889</v>
      </c>
      <c r="K37" s="29">
        <f>Reference!H395</f>
        <v>3752128</v>
      </c>
      <c r="L37" s="30">
        <f>Reference!I395</f>
        <v>686924</v>
      </c>
      <c r="N37" s="15">
        <f>Test!B395</f>
        <v>0</v>
      </c>
      <c r="O37" s="16">
        <f>Test!C395</f>
        <v>0</v>
      </c>
      <c r="P37" s="16">
        <f>Test!D395</f>
        <v>0</v>
      </c>
      <c r="Q37" s="16">
        <f>Test!E395</f>
        <v>0</v>
      </c>
      <c r="R37" s="16">
        <f>Test!F395</f>
        <v>0</v>
      </c>
      <c r="S37" s="16">
        <f>Test!G395</f>
        <v>0</v>
      </c>
      <c r="T37" s="16">
        <f t="shared" si="1"/>
        <v>0</v>
      </c>
      <c r="U37" s="29">
        <f>Test!H395</f>
        <v>0</v>
      </c>
      <c r="V37" s="30">
        <f>Test!I395</f>
        <v>0</v>
      </c>
      <c r="W37" s="16">
        <f t="shared" si="2"/>
        <v>0</v>
      </c>
      <c r="X37" s="16">
        <f t="shared" si="3"/>
        <v>0</v>
      </c>
      <c r="Y37" s="16">
        <f t="shared" si="4"/>
        <v>0</v>
      </c>
      <c r="Z37" s="25">
        <f t="shared" si="4"/>
        <v>0</v>
      </c>
      <c r="AA37" s="42"/>
      <c r="AB37" s="43"/>
      <c r="AC37" s="44"/>
      <c r="AD37" s="44"/>
      <c r="AE37" s="43"/>
      <c r="AF37" s="44"/>
      <c r="AG37" s="45"/>
    </row>
    <row r="38" ht="12.75" customHeight="1" spans="1:33">
      <c r="A38" s="14"/>
      <c r="B38" s="17"/>
      <c r="C38" s="17">
        <v>37</v>
      </c>
      <c r="D38" s="18">
        <f>Reference!B396</f>
        <v>732.3808</v>
      </c>
      <c r="E38" s="19">
        <f>Reference!C396</f>
        <v>32.7028</v>
      </c>
      <c r="F38" s="19">
        <f>Reference!D396</f>
        <v>37.386</v>
      </c>
      <c r="G38" s="19">
        <f>Reference!E396</f>
        <v>38.4773</v>
      </c>
      <c r="H38" s="19">
        <f>Reference!F396</f>
        <v>17431</v>
      </c>
      <c r="I38" s="19">
        <f>Reference!G396</f>
        <v>24.593</v>
      </c>
      <c r="J38" s="19">
        <f t="shared" si="0"/>
        <v>4.84194444444444</v>
      </c>
      <c r="K38" s="31">
        <f>Reference!H396</f>
        <v>3744192</v>
      </c>
      <c r="L38" s="32">
        <f>Reference!I396</f>
        <v>646760</v>
      </c>
      <c r="N38" s="18">
        <f>Test!B396</f>
        <v>0</v>
      </c>
      <c r="O38" s="19">
        <f>Test!C396</f>
        <v>0</v>
      </c>
      <c r="P38" s="19">
        <f>Test!D396</f>
        <v>0</v>
      </c>
      <c r="Q38" s="19">
        <f>Test!E396</f>
        <v>0</v>
      </c>
      <c r="R38" s="19">
        <f>Test!F396</f>
        <v>0</v>
      </c>
      <c r="S38" s="19">
        <f>Test!G396</f>
        <v>0</v>
      </c>
      <c r="T38" s="19">
        <f t="shared" si="1"/>
        <v>0</v>
      </c>
      <c r="U38" s="31">
        <f>Test!H396</f>
        <v>0</v>
      </c>
      <c r="V38" s="32">
        <f>Test!I396</f>
        <v>0</v>
      </c>
      <c r="W38" s="16">
        <f t="shared" si="2"/>
        <v>0</v>
      </c>
      <c r="X38" s="16">
        <f t="shared" si="3"/>
        <v>0</v>
      </c>
      <c r="Y38" s="16">
        <f t="shared" si="4"/>
        <v>0</v>
      </c>
      <c r="Z38" s="25">
        <f t="shared" si="4"/>
        <v>0</v>
      </c>
      <c r="AA38" s="42"/>
      <c r="AB38" s="46"/>
      <c r="AC38" s="47"/>
      <c r="AD38" s="47"/>
      <c r="AE38" s="46"/>
      <c r="AF38" s="47"/>
      <c r="AG38" s="48"/>
    </row>
    <row r="39" spans="1:33">
      <c r="A39" s="14"/>
      <c r="B39" s="11" t="s">
        <v>79</v>
      </c>
      <c r="C39" s="11">
        <v>22</v>
      </c>
      <c r="D39" s="12">
        <f>Reference!B397</f>
        <v>15164.4144</v>
      </c>
      <c r="E39" s="13">
        <f>Reference!C397</f>
        <v>39.6766</v>
      </c>
      <c r="F39" s="13">
        <f>Reference!D397</f>
        <v>44.3176</v>
      </c>
      <c r="G39" s="13">
        <f>Reference!E397</f>
        <v>45.7191</v>
      </c>
      <c r="H39" s="13">
        <f>Reference!F397</f>
        <v>131733</v>
      </c>
      <c r="I39" s="13">
        <f>Reference!G397</f>
        <v>92.172</v>
      </c>
      <c r="J39" s="13">
        <f t="shared" si="0"/>
        <v>36.5925</v>
      </c>
      <c r="K39" s="27">
        <f>Reference!H397</f>
        <v>4085692</v>
      </c>
      <c r="L39" s="28">
        <f>Reference!I397</f>
        <v>684752</v>
      </c>
      <c r="N39" s="12">
        <f>Test!B397</f>
        <v>0</v>
      </c>
      <c r="O39" s="13">
        <f>Test!C397</f>
        <v>0</v>
      </c>
      <c r="P39" s="13">
        <f>Test!D397</f>
        <v>0</v>
      </c>
      <c r="Q39" s="13">
        <f>Test!E397</f>
        <v>0</v>
      </c>
      <c r="R39" s="13">
        <f>Test!F397</f>
        <v>0</v>
      </c>
      <c r="S39" s="13">
        <f>Test!G397</f>
        <v>0</v>
      </c>
      <c r="T39" s="13">
        <f t="shared" si="1"/>
        <v>0</v>
      </c>
      <c r="U39" s="27">
        <f>Test!H397</f>
        <v>0</v>
      </c>
      <c r="V39" s="28">
        <f>Test!I397</f>
        <v>0</v>
      </c>
      <c r="W39" s="16">
        <f t="shared" si="2"/>
        <v>0</v>
      </c>
      <c r="X39" s="16">
        <f t="shared" si="3"/>
        <v>0</v>
      </c>
      <c r="Y39" s="16">
        <f t="shared" si="4"/>
        <v>0</v>
      </c>
      <c r="Z39" s="25">
        <f t="shared" si="4"/>
        <v>0</v>
      </c>
      <c r="AA39" s="42"/>
      <c r="AB39" s="39" t="e">
        <f>bdrate($D39:$D42,E39:E42,$N39:$N42,O39:O42)</f>
        <v>#VALUE!</v>
      </c>
      <c r="AC39" s="40" t="e">
        <f>bdrate($D39:$D42,F39:F42,$N39:$N42,P39:P42)</f>
        <v>#VALUE!</v>
      </c>
      <c r="AD39" s="40" t="e">
        <f>bdrate($D39:$D42,G39:G42,$N39:$N42,Q39:Q42)</f>
        <v>#VALUE!</v>
      </c>
      <c r="AE39" s="49" t="e">
        <f>bdrateOld($D39:$D42,E39:E42,$N39:$N42,O39:O42)</f>
        <v>#VALUE!</v>
      </c>
      <c r="AF39" s="50" t="e">
        <f>bdrateOld($D39:$D42,F39:F42,$N39:$N42,P39:P42)</f>
        <v>#VALUE!</v>
      </c>
      <c r="AG39" s="52" t="e">
        <f>bdrateOld($D39:$D42,G39:G42,$N39:$N42,Q39:Q42)</f>
        <v>#VALUE!</v>
      </c>
    </row>
    <row r="40" spans="1:33">
      <c r="A40" s="14"/>
      <c r="B40" s="14"/>
      <c r="C40" s="14">
        <v>27</v>
      </c>
      <c r="D40" s="15">
        <f>Reference!B398</f>
        <v>4439.0048</v>
      </c>
      <c r="E40" s="16">
        <f>Reference!C398</f>
        <v>37.8349</v>
      </c>
      <c r="F40" s="16">
        <f>Reference!D398</f>
        <v>42.6612</v>
      </c>
      <c r="G40" s="16">
        <f>Reference!E398</f>
        <v>43.0286</v>
      </c>
      <c r="H40" s="16">
        <f>Reference!F398</f>
        <v>71816</v>
      </c>
      <c r="I40" s="16">
        <f>Reference!G398</f>
        <v>77.052</v>
      </c>
      <c r="J40" s="16">
        <f t="shared" si="0"/>
        <v>19.9488888888889</v>
      </c>
      <c r="K40" s="29">
        <f>Reference!H398</f>
        <v>3966492</v>
      </c>
      <c r="L40" s="30">
        <f>Reference!I398</f>
        <v>720864</v>
      </c>
      <c r="N40" s="15">
        <f>Test!B398</f>
        <v>0</v>
      </c>
      <c r="O40" s="16">
        <f>Test!C398</f>
        <v>0</v>
      </c>
      <c r="P40" s="16">
        <f>Test!D398</f>
        <v>0</v>
      </c>
      <c r="Q40" s="16">
        <f>Test!E398</f>
        <v>0</v>
      </c>
      <c r="R40" s="16">
        <f>Test!F398</f>
        <v>0</v>
      </c>
      <c r="S40" s="16">
        <f>Test!G398</f>
        <v>0</v>
      </c>
      <c r="T40" s="16">
        <f t="shared" si="1"/>
        <v>0</v>
      </c>
      <c r="U40" s="29">
        <f>Test!H398</f>
        <v>0</v>
      </c>
      <c r="V40" s="30">
        <f>Test!I398</f>
        <v>0</v>
      </c>
      <c r="W40" s="16">
        <f t="shared" si="2"/>
        <v>0</v>
      </c>
      <c r="X40" s="16">
        <f t="shared" si="3"/>
        <v>0</v>
      </c>
      <c r="Y40" s="16">
        <f t="shared" si="4"/>
        <v>0</v>
      </c>
      <c r="Z40" s="25">
        <f t="shared" si="4"/>
        <v>0</v>
      </c>
      <c r="AA40" s="42"/>
      <c r="AB40" s="43"/>
      <c r="AC40" s="44"/>
      <c r="AD40" s="44"/>
      <c r="AE40" s="43"/>
      <c r="AF40" s="44"/>
      <c r="AG40" s="45"/>
    </row>
    <row r="41" spans="1:33">
      <c r="A41" s="14"/>
      <c r="B41" s="14"/>
      <c r="C41" s="14">
        <v>32</v>
      </c>
      <c r="D41" s="15">
        <f>Reference!B399</f>
        <v>2088.112</v>
      </c>
      <c r="E41" s="16">
        <f>Reference!C399</f>
        <v>36.0324</v>
      </c>
      <c r="F41" s="16">
        <f>Reference!D399</f>
        <v>41.4718</v>
      </c>
      <c r="G41" s="16">
        <f>Reference!E399</f>
        <v>41.3265</v>
      </c>
      <c r="H41" s="16">
        <f>Reference!F399</f>
        <v>49106</v>
      </c>
      <c r="I41" s="16">
        <f>Reference!G399</f>
        <v>69.316</v>
      </c>
      <c r="J41" s="16">
        <f t="shared" si="0"/>
        <v>13.6405555555556</v>
      </c>
      <c r="K41" s="29">
        <f>Reference!H399</f>
        <v>3891284</v>
      </c>
      <c r="L41" s="30">
        <f>Reference!I399</f>
        <v>670024</v>
      </c>
      <c r="N41" s="15">
        <f>Test!B399</f>
        <v>0</v>
      </c>
      <c r="O41" s="16">
        <f>Test!C399</f>
        <v>0</v>
      </c>
      <c r="P41" s="16">
        <f>Test!D399</f>
        <v>0</v>
      </c>
      <c r="Q41" s="16">
        <f>Test!E399</f>
        <v>0</v>
      </c>
      <c r="R41" s="16">
        <f>Test!F399</f>
        <v>0</v>
      </c>
      <c r="S41" s="16">
        <f>Test!G399</f>
        <v>0</v>
      </c>
      <c r="T41" s="16">
        <f t="shared" si="1"/>
        <v>0</v>
      </c>
      <c r="U41" s="29">
        <f>Test!H399</f>
        <v>0</v>
      </c>
      <c r="V41" s="30">
        <f>Test!I399</f>
        <v>0</v>
      </c>
      <c r="W41" s="16">
        <f t="shared" si="2"/>
        <v>0</v>
      </c>
      <c r="X41" s="16">
        <f t="shared" si="3"/>
        <v>0</v>
      </c>
      <c r="Y41" s="16">
        <f t="shared" si="4"/>
        <v>0</v>
      </c>
      <c r="Z41" s="25">
        <f t="shared" si="4"/>
        <v>0</v>
      </c>
      <c r="AA41" s="42"/>
      <c r="AB41" s="43"/>
      <c r="AC41" s="44"/>
      <c r="AD41" s="44"/>
      <c r="AE41" s="43"/>
      <c r="AF41" s="44"/>
      <c r="AG41" s="45"/>
    </row>
    <row r="42" ht="12.75" customHeight="1" spans="1:33">
      <c r="A42" s="14"/>
      <c r="B42" s="17"/>
      <c r="C42" s="17">
        <v>37</v>
      </c>
      <c r="D42" s="18">
        <f>Reference!B400</f>
        <v>1074.312</v>
      </c>
      <c r="E42" s="19">
        <f>Reference!C400</f>
        <v>34.079</v>
      </c>
      <c r="F42" s="19">
        <f>Reference!D400</f>
        <v>40.1904</v>
      </c>
      <c r="G42" s="19">
        <f>Reference!E400</f>
        <v>39.4614</v>
      </c>
      <c r="H42" s="19">
        <f>Reference!F400</f>
        <v>35367</v>
      </c>
      <c r="I42" s="19">
        <f>Reference!G400</f>
        <v>58.713</v>
      </c>
      <c r="J42" s="19">
        <f t="shared" si="0"/>
        <v>9.82416666666667</v>
      </c>
      <c r="K42" s="31">
        <f>Reference!H400</f>
        <v>3977764</v>
      </c>
      <c r="L42" s="32">
        <f>Reference!I400</f>
        <v>668524</v>
      </c>
      <c r="N42" s="18">
        <f>Test!B400</f>
        <v>0</v>
      </c>
      <c r="O42" s="19">
        <f>Test!C400</f>
        <v>0</v>
      </c>
      <c r="P42" s="19">
        <f>Test!D400</f>
        <v>0</v>
      </c>
      <c r="Q42" s="19">
        <f>Test!E400</f>
        <v>0</v>
      </c>
      <c r="R42" s="19">
        <f>Test!F400</f>
        <v>0</v>
      </c>
      <c r="S42" s="19">
        <f>Test!G400</f>
        <v>0</v>
      </c>
      <c r="T42" s="19">
        <f t="shared" si="1"/>
        <v>0</v>
      </c>
      <c r="U42" s="31">
        <f>Test!H400</f>
        <v>0</v>
      </c>
      <c r="V42" s="32">
        <f>Test!I400</f>
        <v>0</v>
      </c>
      <c r="W42" s="16">
        <f t="shared" si="2"/>
        <v>0</v>
      </c>
      <c r="X42" s="16">
        <f t="shared" si="3"/>
        <v>0</v>
      </c>
      <c r="Y42" s="16">
        <f t="shared" si="4"/>
        <v>0</v>
      </c>
      <c r="Z42" s="25">
        <f t="shared" si="4"/>
        <v>0</v>
      </c>
      <c r="AA42" s="42"/>
      <c r="AB42" s="46"/>
      <c r="AC42" s="47"/>
      <c r="AD42" s="47"/>
      <c r="AE42" s="46"/>
      <c r="AF42" s="47"/>
      <c r="AG42" s="48"/>
    </row>
    <row r="43" spans="1:33">
      <c r="A43" s="14"/>
      <c r="B43" s="11" t="s">
        <v>80</v>
      </c>
      <c r="C43" s="11">
        <v>22</v>
      </c>
      <c r="D43" s="12">
        <f>Reference!B401</f>
        <v>38549.4912</v>
      </c>
      <c r="E43" s="13">
        <f>Reference!C401</f>
        <v>38.5661</v>
      </c>
      <c r="F43" s="13">
        <f>Reference!D401</f>
        <v>42.8844</v>
      </c>
      <c r="G43" s="13">
        <f>Reference!E401</f>
        <v>45.3144</v>
      </c>
      <c r="H43" s="13">
        <f>Reference!F401</f>
        <v>157808</v>
      </c>
      <c r="I43" s="13">
        <f>Reference!G401</f>
        <v>118.802</v>
      </c>
      <c r="J43" s="13">
        <f t="shared" si="0"/>
        <v>43.8355555555556</v>
      </c>
      <c r="K43" s="27">
        <f>Reference!H401</f>
        <v>3950740</v>
      </c>
      <c r="L43" s="28">
        <f>Reference!I401</f>
        <v>763992</v>
      </c>
      <c r="N43" s="12">
        <f>Test!B401</f>
        <v>0</v>
      </c>
      <c r="O43" s="13">
        <f>Test!C401</f>
        <v>0</v>
      </c>
      <c r="P43" s="13">
        <f>Test!D401</f>
        <v>0</v>
      </c>
      <c r="Q43" s="13">
        <f>Test!E401</f>
        <v>0</v>
      </c>
      <c r="R43" s="13">
        <f>Test!F401</f>
        <v>0</v>
      </c>
      <c r="S43" s="13">
        <f>Test!G401</f>
        <v>0</v>
      </c>
      <c r="T43" s="13">
        <f t="shared" si="1"/>
        <v>0</v>
      </c>
      <c r="U43" s="27">
        <f>Test!H401</f>
        <v>0</v>
      </c>
      <c r="V43" s="28">
        <f>Test!I401</f>
        <v>0</v>
      </c>
      <c r="W43" s="16">
        <f t="shared" si="2"/>
        <v>0</v>
      </c>
      <c r="X43" s="16">
        <f t="shared" si="3"/>
        <v>0</v>
      </c>
      <c r="Y43" s="16">
        <f t="shared" si="4"/>
        <v>0</v>
      </c>
      <c r="Z43" s="25">
        <f t="shared" si="4"/>
        <v>0</v>
      </c>
      <c r="AA43" s="42"/>
      <c r="AB43" s="39" t="e">
        <f>bdrate($D43:$D46,E43:E46,$N43:$N46,O43:O46)</f>
        <v>#VALUE!</v>
      </c>
      <c r="AC43" s="40" t="e">
        <f>bdrate($D43:$D46,F43:F46,$N43:$N46,P43:P46)</f>
        <v>#VALUE!</v>
      </c>
      <c r="AD43" s="40" t="e">
        <f>bdrate($D43:$D46,G43:G46,$N43:$N46,Q43:Q46)</f>
        <v>#VALUE!</v>
      </c>
      <c r="AE43" s="49" t="e">
        <f>bdrateOld($D43:$D46,E43:E46,$N43:$N46,O43:O46)</f>
        <v>#VALUE!</v>
      </c>
      <c r="AF43" s="50" t="e">
        <f>bdrateOld($D43:$D46,F43:F46,$N43:$N46,P43:P46)</f>
        <v>#VALUE!</v>
      </c>
      <c r="AG43" s="52" t="e">
        <f>bdrateOld($D43:$D46,G43:G46,$N43:$N46,Q43:Q46)</f>
        <v>#VALUE!</v>
      </c>
    </row>
    <row r="44" spans="1:33">
      <c r="A44" s="14"/>
      <c r="B44" s="14"/>
      <c r="C44" s="14">
        <v>27</v>
      </c>
      <c r="D44" s="15">
        <f>Reference!B402</f>
        <v>4208.0128</v>
      </c>
      <c r="E44" s="16">
        <f>Reference!C402</f>
        <v>35.8618</v>
      </c>
      <c r="F44" s="16">
        <f>Reference!D402</f>
        <v>41.8068</v>
      </c>
      <c r="G44" s="16">
        <f>Reference!E402</f>
        <v>44.2919</v>
      </c>
      <c r="H44" s="16">
        <f>Reference!F402</f>
        <v>63070</v>
      </c>
      <c r="I44" s="16">
        <f>Reference!G402</f>
        <v>68.249</v>
      </c>
      <c r="J44" s="16">
        <f t="shared" si="0"/>
        <v>17.5194444444444</v>
      </c>
      <c r="K44" s="29">
        <f>Reference!H402</f>
        <v>3904900</v>
      </c>
      <c r="L44" s="30">
        <f>Reference!I402</f>
        <v>747624</v>
      </c>
      <c r="N44" s="15">
        <f>Test!B402</f>
        <v>0</v>
      </c>
      <c r="O44" s="16">
        <f>Test!C402</f>
        <v>0</v>
      </c>
      <c r="P44" s="16">
        <f>Test!D402</f>
        <v>0</v>
      </c>
      <c r="Q44" s="16">
        <f>Test!E402</f>
        <v>0</v>
      </c>
      <c r="R44" s="16">
        <f>Test!F402</f>
        <v>0</v>
      </c>
      <c r="S44" s="16">
        <f>Test!G402</f>
        <v>0</v>
      </c>
      <c r="T44" s="16">
        <f t="shared" si="1"/>
        <v>0</v>
      </c>
      <c r="U44" s="29">
        <f>Test!H402</f>
        <v>0</v>
      </c>
      <c r="V44" s="30">
        <f>Test!I402</f>
        <v>0</v>
      </c>
      <c r="W44" s="16">
        <f t="shared" si="2"/>
        <v>0</v>
      </c>
      <c r="X44" s="16">
        <f t="shared" si="3"/>
        <v>0</v>
      </c>
      <c r="Y44" s="16">
        <f t="shared" si="4"/>
        <v>0</v>
      </c>
      <c r="Z44" s="25">
        <f t="shared" si="4"/>
        <v>0</v>
      </c>
      <c r="AA44" s="42"/>
      <c r="AB44" s="43"/>
      <c r="AC44" s="44"/>
      <c r="AD44" s="44"/>
      <c r="AE44" s="43"/>
      <c r="AF44" s="44"/>
      <c r="AG44" s="45"/>
    </row>
    <row r="45" spans="1:33">
      <c r="A45" s="14"/>
      <c r="B45" s="14"/>
      <c r="C45" s="14">
        <v>32</v>
      </c>
      <c r="D45" s="15">
        <f>Reference!B403</f>
        <v>1337.416</v>
      </c>
      <c r="E45" s="16">
        <f>Reference!C403</f>
        <v>34.3439</v>
      </c>
      <c r="F45" s="16">
        <f>Reference!D403</f>
        <v>40.6525</v>
      </c>
      <c r="G45" s="16">
        <f>Reference!E403</f>
        <v>43.1321</v>
      </c>
      <c r="H45" s="16">
        <f>Reference!F403</f>
        <v>37714</v>
      </c>
      <c r="I45" s="16">
        <f>Reference!G403</f>
        <v>58.357</v>
      </c>
      <c r="J45" s="16">
        <f t="shared" si="0"/>
        <v>10.4761111111111</v>
      </c>
      <c r="K45" s="29">
        <f>Reference!H403</f>
        <v>3977272</v>
      </c>
      <c r="L45" s="30">
        <f>Reference!I403</f>
        <v>697676</v>
      </c>
      <c r="N45" s="15">
        <f>Test!B403</f>
        <v>0</v>
      </c>
      <c r="O45" s="16">
        <f>Test!C403</f>
        <v>0</v>
      </c>
      <c r="P45" s="16">
        <f>Test!D403</f>
        <v>0</v>
      </c>
      <c r="Q45" s="16">
        <f>Test!E403</f>
        <v>0</v>
      </c>
      <c r="R45" s="16">
        <f>Test!F403</f>
        <v>0</v>
      </c>
      <c r="S45" s="16">
        <f>Test!G403</f>
        <v>0</v>
      </c>
      <c r="T45" s="16">
        <f t="shared" si="1"/>
        <v>0</v>
      </c>
      <c r="U45" s="29">
        <f>Test!H403</f>
        <v>0</v>
      </c>
      <c r="V45" s="30">
        <f>Test!I403</f>
        <v>0</v>
      </c>
      <c r="W45" s="16">
        <f t="shared" si="2"/>
        <v>0</v>
      </c>
      <c r="X45" s="16">
        <f t="shared" si="3"/>
        <v>0</v>
      </c>
      <c r="Y45" s="16">
        <f t="shared" si="4"/>
        <v>0</v>
      </c>
      <c r="Z45" s="25">
        <f t="shared" si="4"/>
        <v>0</v>
      </c>
      <c r="AA45" s="42"/>
      <c r="AB45" s="43"/>
      <c r="AC45" s="44"/>
      <c r="AD45" s="44"/>
      <c r="AE45" s="43"/>
      <c r="AF45" s="44"/>
      <c r="AG45" s="45"/>
    </row>
    <row r="46" ht="12.75" customHeight="1" spans="1:33">
      <c r="A46" s="17"/>
      <c r="B46" s="17"/>
      <c r="C46" s="17">
        <v>37</v>
      </c>
      <c r="D46" s="18">
        <f>Reference!B404</f>
        <v>534.3968</v>
      </c>
      <c r="E46" s="19">
        <f>Reference!C404</f>
        <v>32.6348</v>
      </c>
      <c r="F46" s="19">
        <f>Reference!D404</f>
        <v>39.6322</v>
      </c>
      <c r="G46" s="19">
        <f>Reference!E404</f>
        <v>42.1081</v>
      </c>
      <c r="H46" s="19">
        <f>Reference!F404</f>
        <v>26647</v>
      </c>
      <c r="I46" s="19">
        <f>Reference!G404</f>
        <v>48.737</v>
      </c>
      <c r="J46" s="19">
        <f t="shared" si="0"/>
        <v>7.40194444444444</v>
      </c>
      <c r="K46" s="31">
        <f>Reference!H404</f>
        <v>3904100</v>
      </c>
      <c r="L46" s="32">
        <f>Reference!I404</f>
        <v>696184</v>
      </c>
      <c r="N46" s="18">
        <f>Test!B404</f>
        <v>0</v>
      </c>
      <c r="O46" s="19">
        <f>Test!C404</f>
        <v>0</v>
      </c>
      <c r="P46" s="19">
        <f>Test!D404</f>
        <v>0</v>
      </c>
      <c r="Q46" s="19">
        <f>Test!E404</f>
        <v>0</v>
      </c>
      <c r="R46" s="19">
        <f>Test!F404</f>
        <v>0</v>
      </c>
      <c r="S46" s="19">
        <f>Test!G404</f>
        <v>0</v>
      </c>
      <c r="T46" s="19">
        <f t="shared" si="1"/>
        <v>0</v>
      </c>
      <c r="U46" s="31">
        <f>Test!H404</f>
        <v>0</v>
      </c>
      <c r="V46" s="32">
        <f>Test!I404</f>
        <v>0</v>
      </c>
      <c r="W46" s="16">
        <f t="shared" si="2"/>
        <v>0</v>
      </c>
      <c r="X46" s="16">
        <f t="shared" si="3"/>
        <v>0</v>
      </c>
      <c r="Y46" s="16">
        <f t="shared" si="4"/>
        <v>0</v>
      </c>
      <c r="Z46" s="25">
        <f t="shared" si="4"/>
        <v>0</v>
      </c>
      <c r="AA46" s="42"/>
      <c r="AB46" s="46"/>
      <c r="AC46" s="47"/>
      <c r="AD46" s="47"/>
      <c r="AE46" s="46"/>
      <c r="AF46" s="47"/>
      <c r="AG46" s="48"/>
    </row>
    <row r="47" spans="1:33">
      <c r="A47" s="11" t="s">
        <v>23</v>
      </c>
      <c r="B47" s="11" t="s">
        <v>81</v>
      </c>
      <c r="C47" s="11">
        <v>22</v>
      </c>
      <c r="D47" s="12">
        <f>Reference!B405</f>
        <v>2530.2896</v>
      </c>
      <c r="E47" s="13">
        <f>Reference!C405</f>
        <v>41.5125</v>
      </c>
      <c r="F47" s="13">
        <f>Reference!D405</f>
        <v>43.8574</v>
      </c>
      <c r="G47" s="13">
        <f>Reference!E405</f>
        <v>44.9125</v>
      </c>
      <c r="H47" s="13">
        <f>Reference!F405</f>
        <v>17026</v>
      </c>
      <c r="I47" s="13">
        <f>Reference!G405</f>
        <v>16.305</v>
      </c>
      <c r="J47" s="13">
        <f t="shared" si="0"/>
        <v>4.72944444444444</v>
      </c>
      <c r="K47" s="27">
        <f>Reference!H405</f>
        <v>1540712</v>
      </c>
      <c r="L47" s="28">
        <f>Reference!I405</f>
        <v>437168</v>
      </c>
      <c r="N47" s="12">
        <f>Test!B405</f>
        <v>0</v>
      </c>
      <c r="O47" s="13">
        <f>Test!C405</f>
        <v>0</v>
      </c>
      <c r="P47" s="13">
        <f>Test!D405</f>
        <v>0</v>
      </c>
      <c r="Q47" s="13">
        <f>Test!E405</f>
        <v>0</v>
      </c>
      <c r="R47" s="13">
        <f>Test!F405</f>
        <v>0</v>
      </c>
      <c r="S47" s="13">
        <f>Test!G405</f>
        <v>0</v>
      </c>
      <c r="T47" s="13">
        <f t="shared" si="1"/>
        <v>0</v>
      </c>
      <c r="U47" s="27">
        <f>Test!H405</f>
        <v>0</v>
      </c>
      <c r="V47" s="28">
        <f>Test!I405</f>
        <v>0</v>
      </c>
      <c r="W47" s="13">
        <f t="shared" si="2"/>
        <v>0</v>
      </c>
      <c r="X47" s="13">
        <f t="shared" si="3"/>
        <v>0</v>
      </c>
      <c r="Y47" s="13">
        <f t="shared" si="4"/>
        <v>0</v>
      </c>
      <c r="Z47" s="24">
        <f t="shared" si="4"/>
        <v>0</v>
      </c>
      <c r="AA47" s="38"/>
      <c r="AB47" s="39" t="e">
        <f>bdrate($D47:$D50,E47:E50,$N47:$N50,O47:O50)</f>
        <v>#VALUE!</v>
      </c>
      <c r="AC47" s="40" t="e">
        <f>bdrate($D47:$D50,F47:F50,$N47:$N50,P47:P50)</f>
        <v>#VALUE!</v>
      </c>
      <c r="AD47" s="41" t="e">
        <f>bdrate($D47:$D50,G47:G50,$N47:$N50,Q47:Q50)</f>
        <v>#VALUE!</v>
      </c>
      <c r="AE47" s="39" t="e">
        <f>bdrateOld($D47:$D50,E47:E50,$N47:$N50,O47:O50)</f>
        <v>#VALUE!</v>
      </c>
      <c r="AF47" s="40" t="e">
        <f>bdrateOld($D47:$D50,F47:F50,$N47:$N50,P47:P50)</f>
        <v>#VALUE!</v>
      </c>
      <c r="AG47" s="41" t="e">
        <f>bdrateOld($D47:$D50,G47:G50,$N47:$N50,Q47:Q50)</f>
        <v>#VALUE!</v>
      </c>
    </row>
    <row r="48" spans="1:33">
      <c r="A48" s="14" t="s">
        <v>112</v>
      </c>
      <c r="B48" s="14"/>
      <c r="C48" s="14">
        <v>27</v>
      </c>
      <c r="D48" s="15">
        <f>Reference!B406</f>
        <v>1095.6016</v>
      </c>
      <c r="E48" s="16">
        <f>Reference!C406</f>
        <v>38.3913</v>
      </c>
      <c r="F48" s="16">
        <f>Reference!D406</f>
        <v>41.204</v>
      </c>
      <c r="G48" s="16">
        <f>Reference!E406</f>
        <v>41.7047</v>
      </c>
      <c r="H48" s="16">
        <f>Reference!F406</f>
        <v>12474</v>
      </c>
      <c r="I48" s="16">
        <f>Reference!G406</f>
        <v>13.573</v>
      </c>
      <c r="J48" s="16">
        <f t="shared" si="0"/>
        <v>3.465</v>
      </c>
      <c r="K48" s="29">
        <f>Reference!H406</f>
        <v>1534016</v>
      </c>
      <c r="L48" s="30">
        <f>Reference!I406</f>
        <v>430748</v>
      </c>
      <c r="N48" s="15">
        <f>Test!B406</f>
        <v>0</v>
      </c>
      <c r="O48" s="16">
        <f>Test!C406</f>
        <v>0</v>
      </c>
      <c r="P48" s="16">
        <f>Test!D406</f>
        <v>0</v>
      </c>
      <c r="Q48" s="16">
        <f>Test!E406</f>
        <v>0</v>
      </c>
      <c r="R48" s="16">
        <f>Test!F406</f>
        <v>0</v>
      </c>
      <c r="S48" s="16">
        <f>Test!G406</f>
        <v>0</v>
      </c>
      <c r="T48" s="16">
        <f t="shared" si="1"/>
        <v>0</v>
      </c>
      <c r="U48" s="29">
        <f>Test!H406</f>
        <v>0</v>
      </c>
      <c r="V48" s="30">
        <f>Test!I406</f>
        <v>0</v>
      </c>
      <c r="W48" s="16">
        <f t="shared" si="2"/>
        <v>0</v>
      </c>
      <c r="X48" s="16">
        <f t="shared" si="3"/>
        <v>0</v>
      </c>
      <c r="Y48" s="16">
        <f t="shared" si="4"/>
        <v>0</v>
      </c>
      <c r="Z48" s="25">
        <f t="shared" si="4"/>
        <v>0</v>
      </c>
      <c r="AA48" s="42"/>
      <c r="AB48" s="43"/>
      <c r="AC48" s="44"/>
      <c r="AD48" s="45"/>
      <c r="AE48" s="43"/>
      <c r="AF48" s="44"/>
      <c r="AG48" s="45"/>
    </row>
    <row r="49" spans="1:33">
      <c r="A49" s="14"/>
      <c r="B49" s="14"/>
      <c r="C49" s="14">
        <v>32</v>
      </c>
      <c r="D49" s="15">
        <f>Reference!B407</f>
        <v>533.4016</v>
      </c>
      <c r="E49" s="16">
        <f>Reference!C407</f>
        <v>35.4229</v>
      </c>
      <c r="F49" s="16">
        <f>Reference!D407</f>
        <v>39.404</v>
      </c>
      <c r="G49" s="16">
        <f>Reference!E407</f>
        <v>39.6479</v>
      </c>
      <c r="H49" s="16">
        <f>Reference!F407</f>
        <v>9661</v>
      </c>
      <c r="I49" s="16">
        <f>Reference!G407</f>
        <v>10.732</v>
      </c>
      <c r="J49" s="16">
        <f t="shared" si="0"/>
        <v>2.68361111111111</v>
      </c>
      <c r="K49" s="29">
        <f>Reference!H407</f>
        <v>1531696</v>
      </c>
      <c r="L49" s="30">
        <f>Reference!I407</f>
        <v>425076</v>
      </c>
      <c r="N49" s="15">
        <f>Test!B407</f>
        <v>0</v>
      </c>
      <c r="O49" s="16">
        <f>Test!C407</f>
        <v>0</v>
      </c>
      <c r="P49" s="16">
        <f>Test!D407</f>
        <v>0</v>
      </c>
      <c r="Q49" s="16">
        <f>Test!E407</f>
        <v>0</v>
      </c>
      <c r="R49" s="16">
        <f>Test!F407</f>
        <v>0</v>
      </c>
      <c r="S49" s="16">
        <f>Test!G407</f>
        <v>0</v>
      </c>
      <c r="T49" s="16">
        <f t="shared" si="1"/>
        <v>0</v>
      </c>
      <c r="U49" s="29">
        <f>Test!H407</f>
        <v>0</v>
      </c>
      <c r="V49" s="30">
        <f>Test!I407</f>
        <v>0</v>
      </c>
      <c r="W49" s="16">
        <f t="shared" si="2"/>
        <v>0</v>
      </c>
      <c r="X49" s="16">
        <f t="shared" si="3"/>
        <v>0</v>
      </c>
      <c r="Y49" s="16">
        <f t="shared" si="4"/>
        <v>0</v>
      </c>
      <c r="Z49" s="25">
        <f t="shared" si="4"/>
        <v>0</v>
      </c>
      <c r="AA49" s="42"/>
      <c r="AB49" s="43"/>
      <c r="AC49" s="44"/>
      <c r="AD49" s="45"/>
      <c r="AE49" s="43"/>
      <c r="AF49" s="44"/>
      <c r="AG49" s="45"/>
    </row>
    <row r="50" ht="12.75" customHeight="1" spans="1:33">
      <c r="A50" s="14"/>
      <c r="B50" s="17"/>
      <c r="C50" s="17">
        <v>37</v>
      </c>
      <c r="D50" s="18">
        <f>Reference!B408</f>
        <v>274.7504</v>
      </c>
      <c r="E50" s="19">
        <f>Reference!C408</f>
        <v>32.8651</v>
      </c>
      <c r="F50" s="19">
        <f>Reference!D408</f>
        <v>37.6234</v>
      </c>
      <c r="G50" s="19">
        <f>Reference!E408</f>
        <v>37.5044</v>
      </c>
      <c r="H50" s="19">
        <f>Reference!F408</f>
        <v>7540</v>
      </c>
      <c r="I50" s="19">
        <f>Reference!G408</f>
        <v>9.226</v>
      </c>
      <c r="J50" s="19">
        <f t="shared" si="0"/>
        <v>2.09444444444444</v>
      </c>
      <c r="K50" s="31">
        <f>Reference!H408</f>
        <v>1526608</v>
      </c>
      <c r="L50" s="32">
        <f>Reference!I408</f>
        <v>420612</v>
      </c>
      <c r="N50" s="18">
        <f>Test!B408</f>
        <v>0</v>
      </c>
      <c r="O50" s="19">
        <f>Test!C408</f>
        <v>0</v>
      </c>
      <c r="P50" s="19">
        <f>Test!D408</f>
        <v>0</v>
      </c>
      <c r="Q50" s="19">
        <f>Test!E408</f>
        <v>0</v>
      </c>
      <c r="R50" s="19">
        <f>Test!F408</f>
        <v>0</v>
      </c>
      <c r="S50" s="19">
        <f>Test!G408</f>
        <v>0</v>
      </c>
      <c r="T50" s="19">
        <f t="shared" si="1"/>
        <v>0</v>
      </c>
      <c r="U50" s="31">
        <f>Test!H408</f>
        <v>0</v>
      </c>
      <c r="V50" s="32">
        <f>Test!I408</f>
        <v>0</v>
      </c>
      <c r="W50" s="16">
        <f t="shared" si="2"/>
        <v>0</v>
      </c>
      <c r="X50" s="16">
        <f t="shared" si="3"/>
        <v>0</v>
      </c>
      <c r="Y50" s="16">
        <f t="shared" si="4"/>
        <v>0</v>
      </c>
      <c r="Z50" s="25">
        <f t="shared" si="4"/>
        <v>0</v>
      </c>
      <c r="AA50" s="42"/>
      <c r="AB50" s="46"/>
      <c r="AC50" s="47"/>
      <c r="AD50" s="48"/>
      <c r="AE50" s="46"/>
      <c r="AF50" s="47"/>
      <c r="AG50" s="48"/>
    </row>
    <row r="51" spans="1:33">
      <c r="A51" s="14"/>
      <c r="B51" s="11" t="s">
        <v>82</v>
      </c>
      <c r="C51" s="11">
        <v>22</v>
      </c>
      <c r="D51" s="12">
        <f>Reference!B409</f>
        <v>3209.4528</v>
      </c>
      <c r="E51" s="13">
        <f>Reference!C409</f>
        <v>40.1422</v>
      </c>
      <c r="F51" s="13">
        <f>Reference!D409</f>
        <v>43.4263</v>
      </c>
      <c r="G51" s="13">
        <f>Reference!E409</f>
        <v>44.5034</v>
      </c>
      <c r="H51" s="13">
        <f>Reference!F409</f>
        <v>20871</v>
      </c>
      <c r="I51" s="13">
        <f>Reference!G409</f>
        <v>18.623</v>
      </c>
      <c r="J51" s="13">
        <f t="shared" si="0"/>
        <v>5.7975</v>
      </c>
      <c r="K51" s="27">
        <f>Reference!H409</f>
        <v>1539380</v>
      </c>
      <c r="L51" s="28">
        <f>Reference!I409</f>
        <v>451956</v>
      </c>
      <c r="N51" s="12">
        <f>Test!B409</f>
        <v>0</v>
      </c>
      <c r="O51" s="13">
        <f>Test!C409</f>
        <v>0</v>
      </c>
      <c r="P51" s="13">
        <f>Test!D409</f>
        <v>0</v>
      </c>
      <c r="Q51" s="13">
        <f>Test!E409</f>
        <v>0</v>
      </c>
      <c r="R51" s="13">
        <f>Test!F409</f>
        <v>0</v>
      </c>
      <c r="S51" s="13">
        <f>Test!G409</f>
        <v>0</v>
      </c>
      <c r="T51" s="13">
        <f t="shared" si="1"/>
        <v>0</v>
      </c>
      <c r="U51" s="27">
        <f>Test!H409</f>
        <v>0</v>
      </c>
      <c r="V51" s="28">
        <f>Test!I409</f>
        <v>0</v>
      </c>
      <c r="W51" s="16">
        <f t="shared" si="2"/>
        <v>0</v>
      </c>
      <c r="X51" s="16">
        <f t="shared" si="3"/>
        <v>0</v>
      </c>
      <c r="Y51" s="16">
        <f t="shared" si="4"/>
        <v>0</v>
      </c>
      <c r="Z51" s="25">
        <f t="shared" si="4"/>
        <v>0</v>
      </c>
      <c r="AA51" s="42"/>
      <c r="AB51" s="39" t="e">
        <f>bdrate($D51:$D54,E51:E54,$N51:$N54,O51:O54)</f>
        <v>#VALUE!</v>
      </c>
      <c r="AC51" s="40" t="e">
        <f>bdrate($D51:$D54,F51:F54,$N51:$N54,P51:P54)</f>
        <v>#VALUE!</v>
      </c>
      <c r="AD51" s="40" t="e">
        <f>bdrate($D51:$D54,G51:G54,$N51:$N54,Q51:Q54)</f>
        <v>#VALUE!</v>
      </c>
      <c r="AE51" s="49" t="e">
        <f>bdrateOld($D51:$D54,E51:E54,$N51:$N54,O51:O54)</f>
        <v>#VALUE!</v>
      </c>
      <c r="AF51" s="50" t="e">
        <f>bdrateOld($D51:$D54,F51:F54,$N51:$N54,P51:P54)</f>
        <v>#VALUE!</v>
      </c>
      <c r="AG51" s="52" t="e">
        <f>bdrateOld($D51:$D54,G51:G54,$N51:$N54,Q51:Q54)</f>
        <v>#VALUE!</v>
      </c>
    </row>
    <row r="52" spans="1:33">
      <c r="A52" s="14"/>
      <c r="B52" s="14"/>
      <c r="C52" s="14">
        <v>27</v>
      </c>
      <c r="D52" s="15">
        <f>Reference!B410</f>
        <v>1279.4976</v>
      </c>
      <c r="E52" s="16">
        <f>Reference!C410</f>
        <v>37.2097</v>
      </c>
      <c r="F52" s="16">
        <f>Reference!D410</f>
        <v>41.2177</v>
      </c>
      <c r="G52" s="16">
        <f>Reference!E410</f>
        <v>41.6189</v>
      </c>
      <c r="H52" s="16">
        <f>Reference!F410</f>
        <v>14229</v>
      </c>
      <c r="I52" s="16">
        <f>Reference!G410</f>
        <v>14.354</v>
      </c>
      <c r="J52" s="16">
        <f t="shared" si="0"/>
        <v>3.9525</v>
      </c>
      <c r="K52" s="29">
        <f>Reference!H410</f>
        <v>1535868</v>
      </c>
      <c r="L52" s="30">
        <f>Reference!I410</f>
        <v>440708</v>
      </c>
      <c r="N52" s="15">
        <f>Test!B410</f>
        <v>0</v>
      </c>
      <c r="O52" s="16">
        <f>Test!C410</f>
        <v>0</v>
      </c>
      <c r="P52" s="16">
        <f>Test!D410</f>
        <v>0</v>
      </c>
      <c r="Q52" s="16">
        <f>Test!E410</f>
        <v>0</v>
      </c>
      <c r="R52" s="16">
        <f>Test!F410</f>
        <v>0</v>
      </c>
      <c r="S52" s="16">
        <f>Test!G410</f>
        <v>0</v>
      </c>
      <c r="T52" s="16">
        <f t="shared" si="1"/>
        <v>0</v>
      </c>
      <c r="U52" s="29">
        <f>Test!H410</f>
        <v>0</v>
      </c>
      <c r="V52" s="30">
        <f>Test!I410</f>
        <v>0</v>
      </c>
      <c r="W52" s="16">
        <f t="shared" si="2"/>
        <v>0</v>
      </c>
      <c r="X52" s="16">
        <f t="shared" si="3"/>
        <v>0</v>
      </c>
      <c r="Y52" s="16">
        <f t="shared" si="4"/>
        <v>0</v>
      </c>
      <c r="Z52" s="25">
        <f t="shared" si="4"/>
        <v>0</v>
      </c>
      <c r="AA52" s="42"/>
      <c r="AB52" s="43"/>
      <c r="AC52" s="44"/>
      <c r="AD52" s="44"/>
      <c r="AE52" s="43"/>
      <c r="AF52" s="44"/>
      <c r="AG52" s="45"/>
    </row>
    <row r="53" spans="1:33">
      <c r="A53" s="14"/>
      <c r="B53" s="14"/>
      <c r="C53" s="14">
        <v>32</v>
      </c>
      <c r="D53" s="15">
        <f>Reference!B411</f>
        <v>605.1152</v>
      </c>
      <c r="E53" s="16">
        <f>Reference!C411</f>
        <v>34.3533</v>
      </c>
      <c r="F53" s="16">
        <f>Reference!D411</f>
        <v>39.4011</v>
      </c>
      <c r="G53" s="16">
        <f>Reference!E411</f>
        <v>39.6318</v>
      </c>
      <c r="H53" s="16">
        <f>Reference!F411</f>
        <v>10629</v>
      </c>
      <c r="I53" s="16">
        <f>Reference!G411</f>
        <v>11.289</v>
      </c>
      <c r="J53" s="16">
        <f t="shared" si="0"/>
        <v>2.9525</v>
      </c>
      <c r="K53" s="29">
        <f>Reference!H411</f>
        <v>1545432</v>
      </c>
      <c r="L53" s="30">
        <f>Reference!I411</f>
        <v>436860</v>
      </c>
      <c r="N53" s="15">
        <f>Test!B411</f>
        <v>0</v>
      </c>
      <c r="O53" s="16">
        <f>Test!C411</f>
        <v>0</v>
      </c>
      <c r="P53" s="16">
        <f>Test!D411</f>
        <v>0</v>
      </c>
      <c r="Q53" s="16">
        <f>Test!E411</f>
        <v>0</v>
      </c>
      <c r="R53" s="16">
        <f>Test!F411</f>
        <v>0</v>
      </c>
      <c r="S53" s="16">
        <f>Test!G411</f>
        <v>0</v>
      </c>
      <c r="T53" s="16">
        <f t="shared" si="1"/>
        <v>0</v>
      </c>
      <c r="U53" s="29">
        <f>Test!H411</f>
        <v>0</v>
      </c>
      <c r="V53" s="30">
        <f>Test!I411</f>
        <v>0</v>
      </c>
      <c r="W53" s="16">
        <f t="shared" si="2"/>
        <v>0</v>
      </c>
      <c r="X53" s="16">
        <f t="shared" si="3"/>
        <v>0</v>
      </c>
      <c r="Y53" s="16">
        <f t="shared" si="4"/>
        <v>0</v>
      </c>
      <c r="Z53" s="25">
        <f t="shared" si="4"/>
        <v>0</v>
      </c>
      <c r="AA53" s="42"/>
      <c r="AB53" s="43"/>
      <c r="AC53" s="44"/>
      <c r="AD53" s="44"/>
      <c r="AE53" s="43"/>
      <c r="AF53" s="44"/>
      <c r="AG53" s="45"/>
    </row>
    <row r="54" ht="12.75" customHeight="1" spans="1:33">
      <c r="A54" s="14"/>
      <c r="B54" s="17"/>
      <c r="C54" s="17">
        <v>37</v>
      </c>
      <c r="D54" s="18">
        <f>Reference!B412</f>
        <v>308.5056</v>
      </c>
      <c r="E54" s="19">
        <f>Reference!C412</f>
        <v>31.6266</v>
      </c>
      <c r="F54" s="19">
        <f>Reference!D412</f>
        <v>37.968</v>
      </c>
      <c r="G54" s="19">
        <f>Reference!E412</f>
        <v>37.8891</v>
      </c>
      <c r="H54" s="19">
        <f>Reference!F412</f>
        <v>8298</v>
      </c>
      <c r="I54" s="19">
        <f>Reference!G412</f>
        <v>9.11</v>
      </c>
      <c r="J54" s="19">
        <f t="shared" si="0"/>
        <v>2.305</v>
      </c>
      <c r="K54" s="31">
        <f>Reference!H412</f>
        <v>1529360</v>
      </c>
      <c r="L54" s="32">
        <f>Reference!I412</f>
        <v>433616</v>
      </c>
      <c r="N54" s="18">
        <f>Test!B412</f>
        <v>0</v>
      </c>
      <c r="O54" s="19">
        <f>Test!C412</f>
        <v>0</v>
      </c>
      <c r="P54" s="19">
        <f>Test!D412</f>
        <v>0</v>
      </c>
      <c r="Q54" s="19">
        <f>Test!E412</f>
        <v>0</v>
      </c>
      <c r="R54" s="19">
        <f>Test!F412</f>
        <v>0</v>
      </c>
      <c r="S54" s="19">
        <f>Test!G412</f>
        <v>0</v>
      </c>
      <c r="T54" s="19">
        <f t="shared" si="1"/>
        <v>0</v>
      </c>
      <c r="U54" s="31">
        <f>Test!H412</f>
        <v>0</v>
      </c>
      <c r="V54" s="32">
        <f>Test!I412</f>
        <v>0</v>
      </c>
      <c r="W54" s="16">
        <f t="shared" si="2"/>
        <v>0</v>
      </c>
      <c r="X54" s="16">
        <f t="shared" si="3"/>
        <v>0</v>
      </c>
      <c r="Y54" s="16">
        <f t="shared" si="4"/>
        <v>0</v>
      </c>
      <c r="Z54" s="25">
        <f t="shared" si="4"/>
        <v>0</v>
      </c>
      <c r="AA54" s="42"/>
      <c r="AB54" s="46"/>
      <c r="AC54" s="47"/>
      <c r="AD54" s="47"/>
      <c r="AE54" s="46"/>
      <c r="AF54" s="47"/>
      <c r="AG54" s="48"/>
    </row>
    <row r="55" spans="1:33">
      <c r="A55" s="14"/>
      <c r="B55" s="11" t="s">
        <v>113</v>
      </c>
      <c r="C55" s="11">
        <v>22</v>
      </c>
      <c r="D55" s="12">
        <f>Reference!B413</f>
        <v>7216.9344</v>
      </c>
      <c r="E55" s="13">
        <f>Reference!C413</f>
        <v>38.5498</v>
      </c>
      <c r="F55" s="13">
        <f>Reference!D413</f>
        <v>41.0784</v>
      </c>
      <c r="G55" s="13">
        <f>Reference!E413</f>
        <v>41.7818</v>
      </c>
      <c r="H55" s="13">
        <f>Reference!F413</f>
        <v>24847</v>
      </c>
      <c r="I55" s="13">
        <f>Reference!G413</f>
        <v>23.276</v>
      </c>
      <c r="J55" s="13">
        <f t="shared" si="0"/>
        <v>6.90194444444444</v>
      </c>
      <c r="K55" s="27">
        <f>Reference!H413</f>
        <v>1547340</v>
      </c>
      <c r="L55" s="28">
        <f>Reference!I413</f>
        <v>438760</v>
      </c>
      <c r="N55" s="12">
        <f>Test!B413</f>
        <v>0</v>
      </c>
      <c r="O55" s="13">
        <f>Test!C413</f>
        <v>0</v>
      </c>
      <c r="P55" s="13">
        <f>Test!D413</f>
        <v>0</v>
      </c>
      <c r="Q55" s="13">
        <f>Test!E413</f>
        <v>0</v>
      </c>
      <c r="R55" s="13">
        <f>Test!F413</f>
        <v>0</v>
      </c>
      <c r="S55" s="13">
        <f>Test!G413</f>
        <v>0</v>
      </c>
      <c r="T55" s="13">
        <f t="shared" si="1"/>
        <v>0</v>
      </c>
      <c r="U55" s="27">
        <f>Test!H413</f>
        <v>0</v>
      </c>
      <c r="V55" s="28">
        <f>Test!I413</f>
        <v>0</v>
      </c>
      <c r="W55" s="16">
        <f t="shared" si="2"/>
        <v>0</v>
      </c>
      <c r="X55" s="16">
        <f t="shared" si="3"/>
        <v>0</v>
      </c>
      <c r="Y55" s="16">
        <f t="shared" si="4"/>
        <v>0</v>
      </c>
      <c r="Z55" s="25">
        <f t="shared" si="4"/>
        <v>0</v>
      </c>
      <c r="AA55" s="42"/>
      <c r="AB55" s="39" t="e">
        <f>bdrate($D55:$D58,E55:E58,$N55:$N58,O55:O58)</f>
        <v>#VALUE!</v>
      </c>
      <c r="AC55" s="40" t="e">
        <f>bdrate($D55:$D58,F55:F58,$N55:$N58,P55:P58)</f>
        <v>#VALUE!</v>
      </c>
      <c r="AD55" s="40" t="e">
        <f>bdrate($D55:$D58,G55:G58,$N55:$N58,Q55:Q58)</f>
        <v>#VALUE!</v>
      </c>
      <c r="AE55" s="49" t="e">
        <f>bdrateOld($D55:$D58,E55:E58,$N55:$N58,O55:O58)</f>
        <v>#VALUE!</v>
      </c>
      <c r="AF55" s="50" t="e">
        <f>bdrateOld($D55:$D58,F55:F58,$N55:$N58,P55:P58)</f>
        <v>#VALUE!</v>
      </c>
      <c r="AG55" s="52" t="e">
        <f>bdrateOld($D55:$D58,G55:G58,$N55:$N58,Q55:Q58)</f>
        <v>#VALUE!</v>
      </c>
    </row>
    <row r="56" spans="1:33">
      <c r="A56" s="14"/>
      <c r="B56" s="14"/>
      <c r="C56" s="14">
        <v>27</v>
      </c>
      <c r="D56" s="15">
        <f>Reference!B414</f>
        <v>2788.8848</v>
      </c>
      <c r="E56" s="16">
        <f>Reference!C414</f>
        <v>34.5572</v>
      </c>
      <c r="F56" s="16">
        <f>Reference!D414</f>
        <v>38.0845</v>
      </c>
      <c r="G56" s="16">
        <f>Reference!E414</f>
        <v>38.553</v>
      </c>
      <c r="H56" s="16">
        <f>Reference!F414</f>
        <v>17260</v>
      </c>
      <c r="I56" s="16">
        <f>Reference!G414</f>
        <v>18.614</v>
      </c>
      <c r="J56" s="16">
        <f t="shared" si="0"/>
        <v>4.79444444444444</v>
      </c>
      <c r="K56" s="29">
        <f>Reference!H414</f>
        <v>1544704</v>
      </c>
      <c r="L56" s="30">
        <f>Reference!I414</f>
        <v>437588</v>
      </c>
      <c r="N56" s="15">
        <f>Test!B414</f>
        <v>0</v>
      </c>
      <c r="O56" s="16">
        <f>Test!C414</f>
        <v>0</v>
      </c>
      <c r="P56" s="16">
        <f>Test!D414</f>
        <v>0</v>
      </c>
      <c r="Q56" s="16">
        <f>Test!E414</f>
        <v>0</v>
      </c>
      <c r="R56" s="16">
        <f>Test!F414</f>
        <v>0</v>
      </c>
      <c r="S56" s="16">
        <f>Test!G414</f>
        <v>0</v>
      </c>
      <c r="T56" s="16">
        <f t="shared" si="1"/>
        <v>0</v>
      </c>
      <c r="U56" s="29">
        <f>Test!H414</f>
        <v>0</v>
      </c>
      <c r="V56" s="30">
        <f>Test!I414</f>
        <v>0</v>
      </c>
      <c r="W56" s="16">
        <f t="shared" si="2"/>
        <v>0</v>
      </c>
      <c r="X56" s="16">
        <f t="shared" si="3"/>
        <v>0</v>
      </c>
      <c r="Y56" s="16">
        <f t="shared" si="4"/>
        <v>0</v>
      </c>
      <c r="Z56" s="25">
        <f t="shared" si="4"/>
        <v>0</v>
      </c>
      <c r="AA56" s="42"/>
      <c r="AB56" s="43"/>
      <c r="AC56" s="44"/>
      <c r="AD56" s="44"/>
      <c r="AE56" s="43"/>
      <c r="AF56" s="44"/>
      <c r="AG56" s="45"/>
    </row>
    <row r="57" spans="1:33">
      <c r="A57" s="14"/>
      <c r="B57" s="14"/>
      <c r="C57" s="14">
        <v>32</v>
      </c>
      <c r="D57" s="15">
        <f>Reference!B415</f>
        <v>1230.7136</v>
      </c>
      <c r="E57" s="16">
        <f>Reference!C415</f>
        <v>31.1623</v>
      </c>
      <c r="F57" s="16">
        <f>Reference!D415</f>
        <v>36.2249</v>
      </c>
      <c r="G57" s="16">
        <f>Reference!E415</f>
        <v>36.5584</v>
      </c>
      <c r="H57" s="16">
        <f>Reference!F415</f>
        <v>13290</v>
      </c>
      <c r="I57" s="16">
        <f>Reference!G415</f>
        <v>15.192</v>
      </c>
      <c r="J57" s="16">
        <f t="shared" si="0"/>
        <v>3.69166666666667</v>
      </c>
      <c r="K57" s="29">
        <f>Reference!H415</f>
        <v>1540420</v>
      </c>
      <c r="L57" s="30">
        <f>Reference!I415</f>
        <v>431072</v>
      </c>
      <c r="N57" s="15">
        <f>Test!B415</f>
        <v>0</v>
      </c>
      <c r="O57" s="16">
        <f>Test!C415</f>
        <v>0</v>
      </c>
      <c r="P57" s="16">
        <f>Test!D415</f>
        <v>0</v>
      </c>
      <c r="Q57" s="16">
        <f>Test!E415</f>
        <v>0</v>
      </c>
      <c r="R57" s="16">
        <f>Test!F415</f>
        <v>0</v>
      </c>
      <c r="S57" s="16">
        <f>Test!G415</f>
        <v>0</v>
      </c>
      <c r="T57" s="16">
        <f t="shared" si="1"/>
        <v>0</v>
      </c>
      <c r="U57" s="29">
        <f>Test!H415</f>
        <v>0</v>
      </c>
      <c r="V57" s="30">
        <f>Test!I415</f>
        <v>0</v>
      </c>
      <c r="W57" s="16">
        <f t="shared" si="2"/>
        <v>0</v>
      </c>
      <c r="X57" s="16">
        <f t="shared" si="3"/>
        <v>0</v>
      </c>
      <c r="Y57" s="16">
        <f t="shared" si="4"/>
        <v>0</v>
      </c>
      <c r="Z57" s="25">
        <f t="shared" si="4"/>
        <v>0</v>
      </c>
      <c r="AA57" s="42"/>
      <c r="AB57" s="43"/>
      <c r="AC57" s="44"/>
      <c r="AD57" s="44"/>
      <c r="AE57" s="43"/>
      <c r="AF57" s="44"/>
      <c r="AG57" s="45"/>
    </row>
    <row r="58" ht="12.75" customHeight="1" spans="1:33">
      <c r="A58" s="14"/>
      <c r="B58" s="17"/>
      <c r="C58" s="17">
        <v>37</v>
      </c>
      <c r="D58" s="18">
        <f>Reference!B416</f>
        <v>559.8208</v>
      </c>
      <c r="E58" s="19">
        <f>Reference!C416</f>
        <v>28.1832</v>
      </c>
      <c r="F58" s="19">
        <f>Reference!D416</f>
        <v>34.7681</v>
      </c>
      <c r="G58" s="19">
        <f>Reference!E416</f>
        <v>34.9645</v>
      </c>
      <c r="H58" s="19">
        <f>Reference!F416</f>
        <v>10063</v>
      </c>
      <c r="I58" s="19">
        <f>Reference!G416</f>
        <v>12.634</v>
      </c>
      <c r="J58" s="19">
        <f t="shared" si="0"/>
        <v>2.79527777777778</v>
      </c>
      <c r="K58" s="31">
        <f>Reference!H416</f>
        <v>1535492</v>
      </c>
      <c r="L58" s="32">
        <f>Reference!I416</f>
        <v>423380</v>
      </c>
      <c r="N58" s="18">
        <f>Test!B416</f>
        <v>0</v>
      </c>
      <c r="O58" s="19">
        <f>Test!C416</f>
        <v>0</v>
      </c>
      <c r="P58" s="19">
        <f>Test!D416</f>
        <v>0</v>
      </c>
      <c r="Q58" s="19">
        <f>Test!E416</f>
        <v>0</v>
      </c>
      <c r="R58" s="19">
        <f>Test!F416</f>
        <v>0</v>
      </c>
      <c r="S58" s="19">
        <f>Test!G416</f>
        <v>0</v>
      </c>
      <c r="T58" s="19">
        <f t="shared" si="1"/>
        <v>0</v>
      </c>
      <c r="U58" s="31">
        <f>Test!H416</f>
        <v>0</v>
      </c>
      <c r="V58" s="32">
        <f>Test!I416</f>
        <v>0</v>
      </c>
      <c r="W58" s="16">
        <f t="shared" si="2"/>
        <v>0</v>
      </c>
      <c r="X58" s="16">
        <f t="shared" si="3"/>
        <v>0</v>
      </c>
      <c r="Y58" s="16">
        <f t="shared" si="4"/>
        <v>0</v>
      </c>
      <c r="Z58" s="25">
        <f t="shared" si="4"/>
        <v>0</v>
      </c>
      <c r="AA58" s="42"/>
      <c r="AB58" s="46"/>
      <c r="AC58" s="47"/>
      <c r="AD58" s="47"/>
      <c r="AE58" s="46"/>
      <c r="AF58" s="47"/>
      <c r="AG58" s="48"/>
    </row>
    <row r="59" spans="1:33">
      <c r="A59" s="14"/>
      <c r="B59" s="11" t="s">
        <v>87</v>
      </c>
      <c r="C59" s="11">
        <v>22</v>
      </c>
      <c r="D59" s="12">
        <f>Reference!B417</f>
        <v>6233.464</v>
      </c>
      <c r="E59" s="13">
        <f>Reference!C417</f>
        <v>39.6891</v>
      </c>
      <c r="F59" s="13">
        <f>Reference!D417</f>
        <v>40.4263</v>
      </c>
      <c r="G59" s="13">
        <f>Reference!E417</f>
        <v>42.1163</v>
      </c>
      <c r="H59" s="13">
        <f>Reference!F417</f>
        <v>19659</v>
      </c>
      <c r="I59" s="13">
        <f>Reference!G417</f>
        <v>15.804</v>
      </c>
      <c r="J59" s="13">
        <f t="shared" ref="J59:J90" si="5">H59/3600</f>
        <v>5.46083333333333</v>
      </c>
      <c r="K59" s="27">
        <f>Reference!H417</f>
        <v>1537684</v>
      </c>
      <c r="L59" s="28">
        <f>Reference!I417</f>
        <v>397108</v>
      </c>
      <c r="N59" s="12">
        <f>Test!B417</f>
        <v>0</v>
      </c>
      <c r="O59" s="13">
        <f>Test!C417</f>
        <v>0</v>
      </c>
      <c r="P59" s="13">
        <f>Test!D417</f>
        <v>0</v>
      </c>
      <c r="Q59" s="13">
        <f>Test!E417</f>
        <v>0</v>
      </c>
      <c r="R59" s="13">
        <f>Test!F417</f>
        <v>0</v>
      </c>
      <c r="S59" s="13">
        <f>Test!G417</f>
        <v>0</v>
      </c>
      <c r="T59" s="13">
        <f t="shared" ref="T59:T90" si="6">R59/3600</f>
        <v>0</v>
      </c>
      <c r="U59" s="27">
        <f>Test!H417</f>
        <v>0</v>
      </c>
      <c r="V59" s="28">
        <f>Test!I417</f>
        <v>0</v>
      </c>
      <c r="W59" s="16">
        <f t="shared" ref="W59:W90" si="7">R59/H59</f>
        <v>0</v>
      </c>
      <c r="X59" s="16">
        <f t="shared" ref="X59:X90" si="8">S59/I59</f>
        <v>0</v>
      </c>
      <c r="Y59" s="16">
        <f t="shared" si="4"/>
        <v>0</v>
      </c>
      <c r="Z59" s="25">
        <f t="shared" si="4"/>
        <v>0</v>
      </c>
      <c r="AA59" s="42"/>
      <c r="AB59" s="39" t="e">
        <f>bdrate($D59:$D62,E59:E62,$N59:$N62,O59:O62)</f>
        <v>#VALUE!</v>
      </c>
      <c r="AC59" s="40" t="e">
        <f>bdrate($D59:$D62,F59:F62,$N59:$N62,P59:P62)</f>
        <v>#VALUE!</v>
      </c>
      <c r="AD59" s="40" t="e">
        <f>bdrate($D59:$D62,G59:G62,$N59:$N62,Q59:Q62)</f>
        <v>#VALUE!</v>
      </c>
      <c r="AE59" s="49" t="e">
        <f>bdrateOld($D59:$D62,E59:E62,$N59:$N62,O59:O62)</f>
        <v>#VALUE!</v>
      </c>
      <c r="AF59" s="50" t="e">
        <f>bdrateOld($D59:$D62,F59:F62,$N59:$N62,P59:P62)</f>
        <v>#VALUE!</v>
      </c>
      <c r="AG59" s="52" t="e">
        <f>bdrateOld($D59:$D62,G59:G62,$N59:$N62,Q59:Q62)</f>
        <v>#VALUE!</v>
      </c>
    </row>
    <row r="60" spans="1:33">
      <c r="A60" s="14"/>
      <c r="B60" s="14"/>
      <c r="C60" s="14">
        <v>27</v>
      </c>
      <c r="D60" s="15">
        <f>Reference!B418</f>
        <v>1912.6672</v>
      </c>
      <c r="E60" s="16">
        <f>Reference!C418</f>
        <v>34.9335</v>
      </c>
      <c r="F60" s="16">
        <f>Reference!D418</f>
        <v>37.3902</v>
      </c>
      <c r="G60" s="16">
        <f>Reference!E418</f>
        <v>39.4097</v>
      </c>
      <c r="H60" s="16">
        <f>Reference!F418</f>
        <v>13028</v>
      </c>
      <c r="I60" s="16">
        <f>Reference!G418</f>
        <v>12.453</v>
      </c>
      <c r="J60" s="16">
        <f t="shared" si="5"/>
        <v>3.61888888888889</v>
      </c>
      <c r="K60" s="29">
        <f>Reference!H418</f>
        <v>1536388</v>
      </c>
      <c r="L60" s="30">
        <f>Reference!I418</f>
        <v>395948</v>
      </c>
      <c r="N60" s="15">
        <f>Test!B418</f>
        <v>0</v>
      </c>
      <c r="O60" s="16">
        <f>Test!C418</f>
        <v>0</v>
      </c>
      <c r="P60" s="16">
        <f>Test!D418</f>
        <v>0</v>
      </c>
      <c r="Q60" s="16">
        <f>Test!E418</f>
        <v>0</v>
      </c>
      <c r="R60" s="16">
        <f>Test!F418</f>
        <v>0</v>
      </c>
      <c r="S60" s="16">
        <f>Test!G418</f>
        <v>0</v>
      </c>
      <c r="T60" s="16">
        <f t="shared" si="6"/>
        <v>0</v>
      </c>
      <c r="U60" s="29">
        <f>Test!H418</f>
        <v>0</v>
      </c>
      <c r="V60" s="30">
        <f>Test!I418</f>
        <v>0</v>
      </c>
      <c r="W60" s="16">
        <f t="shared" si="7"/>
        <v>0</v>
      </c>
      <c r="X60" s="16">
        <f t="shared" si="8"/>
        <v>0</v>
      </c>
      <c r="Y60" s="16">
        <f t="shared" si="4"/>
        <v>0</v>
      </c>
      <c r="Z60" s="25">
        <f t="shared" si="4"/>
        <v>0</v>
      </c>
      <c r="AA60" s="42"/>
      <c r="AB60" s="43"/>
      <c r="AC60" s="44"/>
      <c r="AD60" s="44"/>
      <c r="AE60" s="43"/>
      <c r="AF60" s="44"/>
      <c r="AG60" s="45"/>
    </row>
    <row r="61" spans="1:33">
      <c r="A61" s="14"/>
      <c r="B61" s="14"/>
      <c r="C61" s="14">
        <v>32</v>
      </c>
      <c r="D61" s="15">
        <f>Reference!B419</f>
        <v>763.064</v>
      </c>
      <c r="E61" s="16">
        <f>Reference!C419</f>
        <v>31.5822</v>
      </c>
      <c r="F61" s="16">
        <f>Reference!D419</f>
        <v>36.0259</v>
      </c>
      <c r="G61" s="16">
        <f>Reference!E419</f>
        <v>38.0209</v>
      </c>
      <c r="H61" s="16">
        <f>Reference!F419</f>
        <v>9587</v>
      </c>
      <c r="I61" s="16">
        <f>Reference!G419</f>
        <v>9.859</v>
      </c>
      <c r="J61" s="16">
        <f t="shared" si="5"/>
        <v>2.66305555555556</v>
      </c>
      <c r="K61" s="29">
        <f>Reference!H419</f>
        <v>1531572</v>
      </c>
      <c r="L61" s="30">
        <f>Reference!I419</f>
        <v>392248</v>
      </c>
      <c r="N61" s="15">
        <f>Test!B419</f>
        <v>0</v>
      </c>
      <c r="O61" s="16">
        <f>Test!C419</f>
        <v>0</v>
      </c>
      <c r="P61" s="16">
        <f>Test!D419</f>
        <v>0</v>
      </c>
      <c r="Q61" s="16">
        <f>Test!E419</f>
        <v>0</v>
      </c>
      <c r="R61" s="16">
        <f>Test!F419</f>
        <v>0</v>
      </c>
      <c r="S61" s="16">
        <f>Test!G419</f>
        <v>0</v>
      </c>
      <c r="T61" s="16">
        <f t="shared" si="6"/>
        <v>0</v>
      </c>
      <c r="U61" s="29">
        <f>Test!H419</f>
        <v>0</v>
      </c>
      <c r="V61" s="30">
        <f>Test!I419</f>
        <v>0</v>
      </c>
      <c r="W61" s="16">
        <f t="shared" si="7"/>
        <v>0</v>
      </c>
      <c r="X61" s="16">
        <f t="shared" si="8"/>
        <v>0</v>
      </c>
      <c r="Y61" s="16">
        <f t="shared" si="4"/>
        <v>0</v>
      </c>
      <c r="Z61" s="25">
        <f t="shared" si="4"/>
        <v>0</v>
      </c>
      <c r="AA61" s="42"/>
      <c r="AB61" s="43"/>
      <c r="AC61" s="44"/>
      <c r="AD61" s="44"/>
      <c r="AE61" s="43"/>
      <c r="AF61" s="44"/>
      <c r="AG61" s="45"/>
    </row>
    <row r="62" ht="12.75" customHeight="1" spans="1:33">
      <c r="A62" s="17"/>
      <c r="B62" s="17"/>
      <c r="C62" s="17">
        <v>37</v>
      </c>
      <c r="D62" s="18">
        <f>Reference!B420</f>
        <v>327.008</v>
      </c>
      <c r="E62" s="19">
        <f>Reference!C420</f>
        <v>28.7446</v>
      </c>
      <c r="F62" s="19">
        <f>Reference!D420</f>
        <v>34.9722</v>
      </c>
      <c r="G62" s="19">
        <f>Reference!E420</f>
        <v>36.5257</v>
      </c>
      <c r="H62" s="19">
        <f>Reference!F420</f>
        <v>6983</v>
      </c>
      <c r="I62" s="19">
        <f>Reference!G420</f>
        <v>8.085</v>
      </c>
      <c r="J62" s="19">
        <f t="shared" si="5"/>
        <v>1.93972222222222</v>
      </c>
      <c r="K62" s="31">
        <f>Reference!H420</f>
        <v>1528940</v>
      </c>
      <c r="L62" s="32">
        <f>Reference!I420</f>
        <v>393192</v>
      </c>
      <c r="N62" s="18">
        <f>Test!B420</f>
        <v>0</v>
      </c>
      <c r="O62" s="19">
        <f>Test!C420</f>
        <v>0</v>
      </c>
      <c r="P62" s="19">
        <f>Test!D420</f>
        <v>0</v>
      </c>
      <c r="Q62" s="19">
        <f>Test!E420</f>
        <v>0</v>
      </c>
      <c r="R62" s="19">
        <f>Test!F420</f>
        <v>0</v>
      </c>
      <c r="S62" s="19">
        <f>Test!G420</f>
        <v>0</v>
      </c>
      <c r="T62" s="19">
        <f t="shared" si="6"/>
        <v>0</v>
      </c>
      <c r="U62" s="31">
        <f>Test!H420</f>
        <v>0</v>
      </c>
      <c r="V62" s="32">
        <f>Test!I420</f>
        <v>0</v>
      </c>
      <c r="W62" s="19">
        <f t="shared" si="7"/>
        <v>0</v>
      </c>
      <c r="X62" s="19">
        <f t="shared" si="8"/>
        <v>0</v>
      </c>
      <c r="Y62" s="19">
        <f t="shared" si="4"/>
        <v>0</v>
      </c>
      <c r="Z62" s="26">
        <f t="shared" si="4"/>
        <v>0</v>
      </c>
      <c r="AA62" s="51"/>
      <c r="AB62" s="46"/>
      <c r="AC62" s="47"/>
      <c r="AD62" s="47"/>
      <c r="AE62" s="46"/>
      <c r="AF62" s="47"/>
      <c r="AG62" s="48"/>
    </row>
    <row r="63" spans="1:33">
      <c r="A63" s="11" t="s">
        <v>27</v>
      </c>
      <c r="B63" s="11" t="s">
        <v>85</v>
      </c>
      <c r="C63" s="11">
        <f>C59</f>
        <v>22</v>
      </c>
      <c r="D63" s="12">
        <f>Reference!B421</f>
        <v>1133.4048</v>
      </c>
      <c r="E63" s="13">
        <f>Reference!C421</f>
        <v>41.3474</v>
      </c>
      <c r="F63" s="13">
        <f>Reference!D421</f>
        <v>43.9172</v>
      </c>
      <c r="G63" s="13">
        <f>Reference!E421</f>
        <v>43.4961</v>
      </c>
      <c r="H63" s="13">
        <f>Reference!F421</f>
        <v>4273</v>
      </c>
      <c r="I63" s="13">
        <f>Reference!G421</f>
        <v>4.456</v>
      </c>
      <c r="J63" s="13">
        <f t="shared" si="5"/>
        <v>1.18694444444444</v>
      </c>
      <c r="K63" s="27">
        <f>Reference!H421</f>
        <v>1105396</v>
      </c>
      <c r="L63" s="28">
        <f>Reference!I421</f>
        <v>361432</v>
      </c>
      <c r="N63" s="12">
        <f>Test!B421</f>
        <v>0</v>
      </c>
      <c r="O63" s="13">
        <f>Test!C421</f>
        <v>0</v>
      </c>
      <c r="P63" s="13">
        <f>Test!D421</f>
        <v>0</v>
      </c>
      <c r="Q63" s="13">
        <f>Test!E421</f>
        <v>0</v>
      </c>
      <c r="R63" s="13">
        <f>Test!F421</f>
        <v>0</v>
      </c>
      <c r="S63" s="13">
        <f>Test!G421</f>
        <v>0</v>
      </c>
      <c r="T63" s="13">
        <f t="shared" si="6"/>
        <v>0</v>
      </c>
      <c r="U63" s="27">
        <f>Test!H421</f>
        <v>0</v>
      </c>
      <c r="V63" s="28">
        <f>Test!I421</f>
        <v>0</v>
      </c>
      <c r="W63" s="13">
        <f t="shared" si="7"/>
        <v>0</v>
      </c>
      <c r="X63" s="13">
        <f t="shared" si="8"/>
        <v>0</v>
      </c>
      <c r="Y63" s="13">
        <f t="shared" si="4"/>
        <v>0</v>
      </c>
      <c r="Z63" s="24">
        <f t="shared" si="4"/>
        <v>0</v>
      </c>
      <c r="AA63" s="38"/>
      <c r="AB63" s="39" t="e">
        <f>bdrate($D63:$D66,E63:E66,$N63:$N66,O63:O66)</f>
        <v>#VALUE!</v>
      </c>
      <c r="AC63" s="40" t="e">
        <f>bdrate($D63:$D66,F63:F66,$N63:$N66,P63:P66)</f>
        <v>#VALUE!</v>
      </c>
      <c r="AD63" s="41" t="e">
        <f>bdrate($D63:$D66,G63:G66,$N63:$N66,Q63:Q66)</f>
        <v>#VALUE!</v>
      </c>
      <c r="AE63" s="39" t="e">
        <f>bdrateOld($D63:$D66,E63:E66,$N63:$N66,O63:O66)</f>
        <v>#VALUE!</v>
      </c>
      <c r="AF63" s="40" t="e">
        <f>bdrateOld($D63:$D66,F63:F66,$N63:$N66,P63:P66)</f>
        <v>#VALUE!</v>
      </c>
      <c r="AG63" s="41" t="e">
        <f>bdrateOld($D63:$D66,G63:G66,$N63:$N66,Q63:Q66)</f>
        <v>#VALUE!</v>
      </c>
    </row>
    <row r="64" spans="1:33">
      <c r="A64" s="14" t="s">
        <v>114</v>
      </c>
      <c r="B64" s="14"/>
      <c r="C64" s="14">
        <f>C60</f>
        <v>27</v>
      </c>
      <c r="D64" s="15">
        <f>Reference!B422</f>
        <v>500.6304</v>
      </c>
      <c r="E64" s="16">
        <f>Reference!C422</f>
        <v>37.2176</v>
      </c>
      <c r="F64" s="16">
        <f>Reference!D422</f>
        <v>40.7046</v>
      </c>
      <c r="G64" s="16">
        <f>Reference!E422</f>
        <v>39.5851</v>
      </c>
      <c r="H64" s="16">
        <f>Reference!F422</f>
        <v>3517</v>
      </c>
      <c r="I64" s="16">
        <f>Reference!G422</f>
        <v>3.766</v>
      </c>
      <c r="J64" s="16">
        <f t="shared" si="5"/>
        <v>0.976944444444444</v>
      </c>
      <c r="K64" s="29">
        <f>Reference!H422</f>
        <v>1104268</v>
      </c>
      <c r="L64" s="30">
        <f>Reference!I422</f>
        <v>359596</v>
      </c>
      <c r="N64" s="15">
        <f>Test!B422</f>
        <v>0</v>
      </c>
      <c r="O64" s="16">
        <f>Test!C422</f>
        <v>0</v>
      </c>
      <c r="P64" s="16">
        <f>Test!D422</f>
        <v>0</v>
      </c>
      <c r="Q64" s="16">
        <f>Test!E422</f>
        <v>0</v>
      </c>
      <c r="R64" s="16">
        <f>Test!F422</f>
        <v>0</v>
      </c>
      <c r="S64" s="16">
        <f>Test!G422</f>
        <v>0</v>
      </c>
      <c r="T64" s="16">
        <f t="shared" si="6"/>
        <v>0</v>
      </c>
      <c r="U64" s="29">
        <f>Test!H422</f>
        <v>0</v>
      </c>
      <c r="V64" s="30">
        <f>Test!I422</f>
        <v>0</v>
      </c>
      <c r="W64" s="16">
        <f t="shared" si="7"/>
        <v>0</v>
      </c>
      <c r="X64" s="16">
        <f t="shared" si="8"/>
        <v>0</v>
      </c>
      <c r="Y64" s="16">
        <f t="shared" si="4"/>
        <v>0</v>
      </c>
      <c r="Z64" s="25">
        <f t="shared" si="4"/>
        <v>0</v>
      </c>
      <c r="AA64" s="42"/>
      <c r="AB64" s="43"/>
      <c r="AC64" s="44"/>
      <c r="AD64" s="45"/>
      <c r="AE64" s="43"/>
      <c r="AF64" s="44"/>
      <c r="AG64" s="45"/>
    </row>
    <row r="65" spans="1:33">
      <c r="A65" s="14"/>
      <c r="B65" s="14"/>
      <c r="C65" s="14">
        <f>C61</f>
        <v>32</v>
      </c>
      <c r="D65" s="15">
        <f>Reference!B423</f>
        <v>237.3216</v>
      </c>
      <c r="E65" s="16">
        <f>Reference!C423</f>
        <v>33.7416</v>
      </c>
      <c r="F65" s="16">
        <f>Reference!D423</f>
        <v>38.5559</v>
      </c>
      <c r="G65" s="16">
        <f>Reference!E423</f>
        <v>37.362</v>
      </c>
      <c r="H65" s="16">
        <f>Reference!F423</f>
        <v>2814</v>
      </c>
      <c r="I65" s="16">
        <f>Reference!G423</f>
        <v>3.066</v>
      </c>
      <c r="J65" s="16">
        <f t="shared" si="5"/>
        <v>0.781666666666667</v>
      </c>
      <c r="K65" s="29">
        <f>Reference!H423</f>
        <v>1103432</v>
      </c>
      <c r="L65" s="30">
        <f>Reference!I423</f>
        <v>358732</v>
      </c>
      <c r="N65" s="15">
        <f>Test!B423</f>
        <v>0</v>
      </c>
      <c r="O65" s="16">
        <f>Test!C423</f>
        <v>0</v>
      </c>
      <c r="P65" s="16">
        <f>Test!D423</f>
        <v>0</v>
      </c>
      <c r="Q65" s="16">
        <f>Test!E423</f>
        <v>0</v>
      </c>
      <c r="R65" s="16">
        <f>Test!F423</f>
        <v>0</v>
      </c>
      <c r="S65" s="16">
        <f>Test!G423</f>
        <v>0</v>
      </c>
      <c r="T65" s="16">
        <f t="shared" si="6"/>
        <v>0</v>
      </c>
      <c r="U65" s="29">
        <f>Test!H423</f>
        <v>0</v>
      </c>
      <c r="V65" s="30">
        <f>Test!I423</f>
        <v>0</v>
      </c>
      <c r="W65" s="16">
        <f t="shared" si="7"/>
        <v>0</v>
      </c>
      <c r="X65" s="16">
        <f t="shared" si="8"/>
        <v>0</v>
      </c>
      <c r="Y65" s="16">
        <f t="shared" si="4"/>
        <v>0</v>
      </c>
      <c r="Z65" s="25">
        <f t="shared" si="4"/>
        <v>0</v>
      </c>
      <c r="AA65" s="42"/>
      <c r="AB65" s="43"/>
      <c r="AC65" s="44"/>
      <c r="AD65" s="45"/>
      <c r="AE65" s="43"/>
      <c r="AF65" s="44"/>
      <c r="AG65" s="45"/>
    </row>
    <row r="66" ht="12.75" customHeight="1" spans="1:33">
      <c r="A66" s="14"/>
      <c r="B66" s="17"/>
      <c r="C66" s="17">
        <f>C62</f>
        <v>37</v>
      </c>
      <c r="D66" s="18">
        <f>Reference!B424</f>
        <v>119.4912</v>
      </c>
      <c r="E66" s="19">
        <f>Reference!C424</f>
        <v>30.854</v>
      </c>
      <c r="F66" s="19">
        <f>Reference!D424</f>
        <v>36.9977</v>
      </c>
      <c r="G66" s="19">
        <f>Reference!E424</f>
        <v>35.4958</v>
      </c>
      <c r="H66" s="19">
        <f>Reference!F424</f>
        <v>2193</v>
      </c>
      <c r="I66" s="19">
        <f>Reference!G424</f>
        <v>2.563</v>
      </c>
      <c r="J66" s="19">
        <f t="shared" si="5"/>
        <v>0.609166666666667</v>
      </c>
      <c r="K66" s="31">
        <f>Reference!H424</f>
        <v>1102796</v>
      </c>
      <c r="L66" s="32">
        <f>Reference!I424</f>
        <v>357696</v>
      </c>
      <c r="N66" s="18">
        <f>Test!B424</f>
        <v>0</v>
      </c>
      <c r="O66" s="19">
        <f>Test!C424</f>
        <v>0</v>
      </c>
      <c r="P66" s="19">
        <f>Test!D424</f>
        <v>0</v>
      </c>
      <c r="Q66" s="19">
        <f>Test!E424</f>
        <v>0</v>
      </c>
      <c r="R66" s="19">
        <f>Test!F424</f>
        <v>0</v>
      </c>
      <c r="S66" s="19">
        <f>Test!G424</f>
        <v>0</v>
      </c>
      <c r="T66" s="19">
        <f t="shared" si="6"/>
        <v>0</v>
      </c>
      <c r="U66" s="31">
        <f>Test!H424</f>
        <v>0</v>
      </c>
      <c r="V66" s="32">
        <f>Test!I424</f>
        <v>0</v>
      </c>
      <c r="W66" s="16">
        <f t="shared" si="7"/>
        <v>0</v>
      </c>
      <c r="X66" s="16">
        <f t="shared" si="8"/>
        <v>0</v>
      </c>
      <c r="Y66" s="16">
        <f t="shared" si="4"/>
        <v>0</v>
      </c>
      <c r="Z66" s="25">
        <f t="shared" si="4"/>
        <v>0</v>
      </c>
      <c r="AA66" s="42"/>
      <c r="AB66" s="46"/>
      <c r="AC66" s="47"/>
      <c r="AD66" s="48"/>
      <c r="AE66" s="46"/>
      <c r="AF66" s="47"/>
      <c r="AG66" s="48"/>
    </row>
    <row r="67" spans="1:33">
      <c r="A67" s="14"/>
      <c r="B67" s="11" t="s">
        <v>86</v>
      </c>
      <c r="C67" s="11">
        <v>22</v>
      </c>
      <c r="D67" s="12">
        <f>Reference!B425</f>
        <v>1667.296</v>
      </c>
      <c r="E67" s="13">
        <f>Reference!C425</f>
        <v>39.0718</v>
      </c>
      <c r="F67" s="13">
        <f>Reference!D425</f>
        <v>43.4219</v>
      </c>
      <c r="G67" s="13">
        <f>Reference!E425</f>
        <v>44.4358</v>
      </c>
      <c r="H67" s="13">
        <f>Reference!F425</f>
        <v>5212</v>
      </c>
      <c r="I67" s="13">
        <f>Reference!G425</f>
        <v>6.598</v>
      </c>
      <c r="J67" s="13">
        <f t="shared" si="5"/>
        <v>1.44777777777778</v>
      </c>
      <c r="K67" s="27">
        <f>Reference!H425</f>
        <v>1112240</v>
      </c>
      <c r="L67" s="28">
        <f>Reference!I425</f>
        <v>373916</v>
      </c>
      <c r="N67" s="12">
        <f>Test!B425</f>
        <v>0</v>
      </c>
      <c r="O67" s="13">
        <f>Test!C425</f>
        <v>0</v>
      </c>
      <c r="P67" s="13">
        <f>Test!D425</f>
        <v>0</v>
      </c>
      <c r="Q67" s="13">
        <f>Test!E425</f>
        <v>0</v>
      </c>
      <c r="R67" s="13">
        <f>Test!F425</f>
        <v>0</v>
      </c>
      <c r="S67" s="13">
        <f>Test!G425</f>
        <v>0</v>
      </c>
      <c r="T67" s="13">
        <f t="shared" si="6"/>
        <v>0</v>
      </c>
      <c r="U67" s="27">
        <f>Test!H425</f>
        <v>0</v>
      </c>
      <c r="V67" s="28">
        <f>Test!I425</f>
        <v>0</v>
      </c>
      <c r="W67" s="16">
        <f t="shared" si="7"/>
        <v>0</v>
      </c>
      <c r="X67" s="16">
        <f t="shared" si="8"/>
        <v>0</v>
      </c>
      <c r="Y67" s="16">
        <f t="shared" si="4"/>
        <v>0</v>
      </c>
      <c r="Z67" s="25">
        <f t="shared" si="4"/>
        <v>0</v>
      </c>
      <c r="AA67" s="42"/>
      <c r="AB67" s="39" t="e">
        <f>bdrate($D67:$D70,E67:E70,$N67:$N70,O67:O70)</f>
        <v>#VALUE!</v>
      </c>
      <c r="AC67" s="40" t="e">
        <f>bdrate($D67:$D70,F67:F70,$N67:$N70,P67:P70)</f>
        <v>#VALUE!</v>
      </c>
      <c r="AD67" s="40" t="e">
        <f>bdrate($D67:$D70,G67:G70,$N67:$N70,Q67:Q70)</f>
        <v>#VALUE!</v>
      </c>
      <c r="AE67" s="49" t="e">
        <f>bdrateOld($D67:$D70,E67:E70,$N67:$N70,O67:O70)</f>
        <v>#VALUE!</v>
      </c>
      <c r="AF67" s="50" t="e">
        <f>bdrateOld($D67:$D70,F67:F70,$N67:$N70,P67:P70)</f>
        <v>#VALUE!</v>
      </c>
      <c r="AG67" s="52" t="e">
        <f>bdrateOld($D67:$D70,G67:G70,$N67:$N70,Q67:Q70)</f>
        <v>#VALUE!</v>
      </c>
    </row>
    <row r="68" spans="1:33">
      <c r="A68" s="14"/>
      <c r="B68" s="14"/>
      <c r="C68" s="14">
        <v>27</v>
      </c>
      <c r="D68" s="15">
        <f>Reference!B426</f>
        <v>512.4688</v>
      </c>
      <c r="E68" s="16">
        <f>Reference!C426</f>
        <v>35.1419</v>
      </c>
      <c r="F68" s="16">
        <f>Reference!D426</f>
        <v>41.3103</v>
      </c>
      <c r="G68" s="16">
        <f>Reference!E426</f>
        <v>42.1831</v>
      </c>
      <c r="H68" s="16">
        <f>Reference!F426</f>
        <v>3471</v>
      </c>
      <c r="I68" s="16">
        <f>Reference!G426</f>
        <v>5.298</v>
      </c>
      <c r="J68" s="16">
        <f t="shared" si="5"/>
        <v>0.964166666666667</v>
      </c>
      <c r="K68" s="29">
        <f>Reference!H426</f>
        <v>1112300</v>
      </c>
      <c r="L68" s="30">
        <f>Reference!I426</f>
        <v>373056</v>
      </c>
      <c r="N68" s="15">
        <f>Test!B426</f>
        <v>0</v>
      </c>
      <c r="O68" s="16">
        <f>Test!C426</f>
        <v>0</v>
      </c>
      <c r="P68" s="16">
        <f>Test!D426</f>
        <v>0</v>
      </c>
      <c r="Q68" s="16">
        <f>Test!E426</f>
        <v>0</v>
      </c>
      <c r="R68" s="16">
        <f>Test!F426</f>
        <v>0</v>
      </c>
      <c r="S68" s="16">
        <f>Test!G426</f>
        <v>0</v>
      </c>
      <c r="T68" s="16">
        <f t="shared" si="6"/>
        <v>0</v>
      </c>
      <c r="U68" s="29">
        <f>Test!H426</f>
        <v>0</v>
      </c>
      <c r="V68" s="30">
        <f>Test!I426</f>
        <v>0</v>
      </c>
      <c r="W68" s="16">
        <f t="shared" si="7"/>
        <v>0</v>
      </c>
      <c r="X68" s="16">
        <f t="shared" si="8"/>
        <v>0</v>
      </c>
      <c r="Y68" s="16">
        <f t="shared" si="4"/>
        <v>0</v>
      </c>
      <c r="Z68" s="25">
        <f t="shared" si="4"/>
        <v>0</v>
      </c>
      <c r="AA68" s="42"/>
      <c r="AB68" s="43"/>
      <c r="AC68" s="44"/>
      <c r="AD68" s="44"/>
      <c r="AE68" s="43"/>
      <c r="AF68" s="44"/>
      <c r="AG68" s="45"/>
    </row>
    <row r="69" spans="1:33">
      <c r="A69" s="14"/>
      <c r="B69" s="14"/>
      <c r="C69" s="14">
        <v>32</v>
      </c>
      <c r="D69" s="15">
        <f>Reference!B427</f>
        <v>208.1632</v>
      </c>
      <c r="E69" s="16">
        <f>Reference!C427</f>
        <v>31.9327</v>
      </c>
      <c r="F69" s="16">
        <f>Reference!D427</f>
        <v>39.3132</v>
      </c>
      <c r="G69" s="16">
        <f>Reference!E427</f>
        <v>40.0908</v>
      </c>
      <c r="H69" s="16">
        <f>Reference!F427</f>
        <v>2463</v>
      </c>
      <c r="I69" s="16">
        <f>Reference!G427</f>
        <v>4.507</v>
      </c>
      <c r="J69" s="16">
        <f t="shared" si="5"/>
        <v>0.684166666666667</v>
      </c>
      <c r="K69" s="29">
        <f>Reference!H427</f>
        <v>1112076</v>
      </c>
      <c r="L69" s="30">
        <f>Reference!I427</f>
        <v>372352</v>
      </c>
      <c r="N69" s="15">
        <f>Test!B427</f>
        <v>0</v>
      </c>
      <c r="O69" s="16">
        <f>Test!C427</f>
        <v>0</v>
      </c>
      <c r="P69" s="16">
        <f>Test!D427</f>
        <v>0</v>
      </c>
      <c r="Q69" s="16">
        <f>Test!E427</f>
        <v>0</v>
      </c>
      <c r="R69" s="16">
        <f>Test!F427</f>
        <v>0</v>
      </c>
      <c r="S69" s="16">
        <f>Test!G427</f>
        <v>0</v>
      </c>
      <c r="T69" s="16">
        <f t="shared" si="6"/>
        <v>0</v>
      </c>
      <c r="U69" s="29">
        <f>Test!H427</f>
        <v>0</v>
      </c>
      <c r="V69" s="30">
        <f>Test!I427</f>
        <v>0</v>
      </c>
      <c r="W69" s="16">
        <f t="shared" si="7"/>
        <v>0</v>
      </c>
      <c r="X69" s="16">
        <f t="shared" si="8"/>
        <v>0</v>
      </c>
      <c r="Y69" s="16">
        <f t="shared" si="4"/>
        <v>0</v>
      </c>
      <c r="Z69" s="25">
        <f t="shared" si="4"/>
        <v>0</v>
      </c>
      <c r="AA69" s="42"/>
      <c r="AB69" s="43"/>
      <c r="AC69" s="44"/>
      <c r="AD69" s="44"/>
      <c r="AE69" s="43"/>
      <c r="AF69" s="44"/>
      <c r="AG69" s="45"/>
    </row>
    <row r="70" ht="12.75" customHeight="1" spans="1:33">
      <c r="A70" s="14"/>
      <c r="B70" s="17"/>
      <c r="C70" s="17">
        <v>37</v>
      </c>
      <c r="D70" s="18">
        <f>Reference!B428</f>
        <v>97.92</v>
      </c>
      <c r="E70" s="19">
        <f>Reference!C428</f>
        <v>29.0399</v>
      </c>
      <c r="F70" s="19">
        <f>Reference!D428</f>
        <v>37.92</v>
      </c>
      <c r="G70" s="19">
        <f>Reference!E428</f>
        <v>38.3425</v>
      </c>
      <c r="H70" s="19">
        <f>Reference!F428</f>
        <v>1808</v>
      </c>
      <c r="I70" s="19">
        <f>Reference!G428</f>
        <v>3.882</v>
      </c>
      <c r="J70" s="19">
        <f t="shared" si="5"/>
        <v>0.502222222222222</v>
      </c>
      <c r="K70" s="31">
        <f>Reference!H428</f>
        <v>1110424</v>
      </c>
      <c r="L70" s="32">
        <f>Reference!I428</f>
        <v>371284</v>
      </c>
      <c r="N70" s="18">
        <f>Test!B428</f>
        <v>0</v>
      </c>
      <c r="O70" s="19">
        <f>Test!C428</f>
        <v>0</v>
      </c>
      <c r="P70" s="19">
        <f>Test!D428</f>
        <v>0</v>
      </c>
      <c r="Q70" s="19">
        <f>Test!E428</f>
        <v>0</v>
      </c>
      <c r="R70" s="19">
        <f>Test!F428</f>
        <v>0</v>
      </c>
      <c r="S70" s="19">
        <f>Test!G428</f>
        <v>0</v>
      </c>
      <c r="T70" s="19">
        <f t="shared" si="6"/>
        <v>0</v>
      </c>
      <c r="U70" s="31">
        <f>Test!H428</f>
        <v>0</v>
      </c>
      <c r="V70" s="32">
        <f>Test!I428</f>
        <v>0</v>
      </c>
      <c r="W70" s="16">
        <f t="shared" si="7"/>
        <v>0</v>
      </c>
      <c r="X70" s="16">
        <f t="shared" si="8"/>
        <v>0</v>
      </c>
      <c r="Y70" s="16">
        <f t="shared" si="4"/>
        <v>0</v>
      </c>
      <c r="Z70" s="25">
        <f t="shared" si="4"/>
        <v>0</v>
      </c>
      <c r="AA70" s="42"/>
      <c r="AB70" s="46"/>
      <c r="AC70" s="47"/>
      <c r="AD70" s="47"/>
      <c r="AE70" s="46"/>
      <c r="AF70" s="47"/>
      <c r="AG70" s="48"/>
    </row>
    <row r="71" spans="1:33">
      <c r="A71" s="14"/>
      <c r="B71" s="11" t="s">
        <v>58</v>
      </c>
      <c r="C71" s="11">
        <v>22</v>
      </c>
      <c r="D71" s="12">
        <f>Reference!B429</f>
        <v>1390.3088</v>
      </c>
      <c r="E71" s="13">
        <f>Reference!C429</f>
        <v>38.5011</v>
      </c>
      <c r="F71" s="13">
        <f>Reference!D429</f>
        <v>40.9909</v>
      </c>
      <c r="G71" s="13">
        <f>Reference!E429</f>
        <v>41.907</v>
      </c>
      <c r="H71" s="13">
        <f>Reference!F429</f>
        <v>5472</v>
      </c>
      <c r="I71" s="13">
        <f>Reference!G429</f>
        <v>5.33</v>
      </c>
      <c r="J71" s="13">
        <f t="shared" si="5"/>
        <v>1.52</v>
      </c>
      <c r="K71" s="27">
        <f>Reference!H429</f>
        <v>1110064</v>
      </c>
      <c r="L71" s="28">
        <f>Reference!I429</f>
        <v>361124</v>
      </c>
      <c r="N71" s="12">
        <f>Test!B429</f>
        <v>0</v>
      </c>
      <c r="O71" s="13">
        <f>Test!C429</f>
        <v>0</v>
      </c>
      <c r="P71" s="13">
        <f>Test!D429</f>
        <v>0</v>
      </c>
      <c r="Q71" s="13">
        <f>Test!E429</f>
        <v>0</v>
      </c>
      <c r="R71" s="13">
        <f>Test!F429</f>
        <v>0</v>
      </c>
      <c r="S71" s="13">
        <f>Test!G429</f>
        <v>0</v>
      </c>
      <c r="T71" s="13">
        <f t="shared" si="6"/>
        <v>0</v>
      </c>
      <c r="U71" s="27">
        <f>Test!H429</f>
        <v>0</v>
      </c>
      <c r="V71" s="28">
        <f>Test!I429</f>
        <v>0</v>
      </c>
      <c r="W71" s="16">
        <f t="shared" si="7"/>
        <v>0</v>
      </c>
      <c r="X71" s="16">
        <f t="shared" si="8"/>
        <v>0</v>
      </c>
      <c r="Y71" s="16">
        <f t="shared" si="4"/>
        <v>0</v>
      </c>
      <c r="Z71" s="25">
        <f t="shared" si="4"/>
        <v>0</v>
      </c>
      <c r="AA71" s="42"/>
      <c r="AB71" s="39" t="e">
        <f>bdrate($D71:$D74,E71:E74,$N71:$N74,O71:O74)</f>
        <v>#VALUE!</v>
      </c>
      <c r="AC71" s="40" t="e">
        <f>bdrate($D71:$D74,F71:F74,$N71:$N74,P71:P74)</f>
        <v>#VALUE!</v>
      </c>
      <c r="AD71" s="40" t="e">
        <f>bdrate($D71:$D74,G71:G74,$N71:$N74,Q71:Q74)</f>
        <v>#VALUE!</v>
      </c>
      <c r="AE71" s="49" t="e">
        <f>bdrateOld($D71:$D74,E71:E74,$N71:$N74,O71:O74)</f>
        <v>#VALUE!</v>
      </c>
      <c r="AF71" s="50" t="e">
        <f>bdrateOld($D71:$D74,F71:F74,$N71:$N74,P71:P74)</f>
        <v>#VALUE!</v>
      </c>
      <c r="AG71" s="52" t="e">
        <f>bdrateOld($D71:$D74,G71:G74,$N71:$N74,Q71:Q74)</f>
        <v>#VALUE!</v>
      </c>
    </row>
    <row r="72" spans="1:33">
      <c r="A72" s="14"/>
      <c r="B72" s="14"/>
      <c r="C72" s="14">
        <v>27</v>
      </c>
      <c r="D72" s="15">
        <f>Reference!B430</f>
        <v>531.2608</v>
      </c>
      <c r="E72" s="16">
        <f>Reference!C430</f>
        <v>34.7452</v>
      </c>
      <c r="F72" s="16">
        <f>Reference!D430</f>
        <v>38.0178</v>
      </c>
      <c r="G72" s="16">
        <f>Reference!E430</f>
        <v>38.8199</v>
      </c>
      <c r="H72" s="16">
        <f>Reference!F430</f>
        <v>3778</v>
      </c>
      <c r="I72" s="16">
        <f>Reference!G430</f>
        <v>4.086</v>
      </c>
      <c r="J72" s="16">
        <f t="shared" si="5"/>
        <v>1.04944444444444</v>
      </c>
      <c r="K72" s="29">
        <f>Reference!H430</f>
        <v>1106836</v>
      </c>
      <c r="L72" s="30">
        <f>Reference!I430</f>
        <v>360472</v>
      </c>
      <c r="N72" s="15">
        <f>Test!B430</f>
        <v>0</v>
      </c>
      <c r="O72" s="16">
        <f>Test!C430</f>
        <v>0</v>
      </c>
      <c r="P72" s="16">
        <f>Test!D430</f>
        <v>0</v>
      </c>
      <c r="Q72" s="16">
        <f>Test!E430</f>
        <v>0</v>
      </c>
      <c r="R72" s="16">
        <f>Test!F430</f>
        <v>0</v>
      </c>
      <c r="S72" s="16">
        <f>Test!G430</f>
        <v>0</v>
      </c>
      <c r="T72" s="16">
        <f t="shared" si="6"/>
        <v>0</v>
      </c>
      <c r="U72" s="29">
        <f>Test!H430</f>
        <v>0</v>
      </c>
      <c r="V72" s="30">
        <f>Test!I430</f>
        <v>0</v>
      </c>
      <c r="W72" s="16">
        <f t="shared" si="7"/>
        <v>0</v>
      </c>
      <c r="X72" s="16">
        <f t="shared" si="8"/>
        <v>0</v>
      </c>
      <c r="Y72" s="16">
        <f t="shared" si="4"/>
        <v>0</v>
      </c>
      <c r="Z72" s="25">
        <f t="shared" si="4"/>
        <v>0</v>
      </c>
      <c r="AA72" s="42"/>
      <c r="AB72" s="43"/>
      <c r="AC72" s="44"/>
      <c r="AD72" s="44"/>
      <c r="AE72" s="43"/>
      <c r="AF72" s="44"/>
      <c r="AG72" s="45"/>
    </row>
    <row r="73" spans="1:33">
      <c r="A73" s="14"/>
      <c r="B73" s="14"/>
      <c r="C73" s="14">
        <v>32</v>
      </c>
      <c r="D73" s="15">
        <f>Reference!B431</f>
        <v>238.7488</v>
      </c>
      <c r="E73" s="16">
        <f>Reference!C431</f>
        <v>31.5931</v>
      </c>
      <c r="F73" s="16">
        <f>Reference!D431</f>
        <v>35.98</v>
      </c>
      <c r="G73" s="16">
        <f>Reference!E431</f>
        <v>36.6241</v>
      </c>
      <c r="H73" s="16">
        <f>Reference!F431</f>
        <v>2733</v>
      </c>
      <c r="I73" s="16">
        <f>Reference!G431</f>
        <v>2.785</v>
      </c>
      <c r="J73" s="16">
        <f t="shared" si="5"/>
        <v>0.759166666666667</v>
      </c>
      <c r="K73" s="29">
        <f>Reference!H431</f>
        <v>1105268</v>
      </c>
      <c r="L73" s="30">
        <f>Reference!I431</f>
        <v>359076</v>
      </c>
      <c r="N73" s="15">
        <f>Test!B431</f>
        <v>0</v>
      </c>
      <c r="O73" s="16">
        <f>Test!C431</f>
        <v>0</v>
      </c>
      <c r="P73" s="16">
        <f>Test!D431</f>
        <v>0</v>
      </c>
      <c r="Q73" s="16">
        <f>Test!E431</f>
        <v>0</v>
      </c>
      <c r="R73" s="16">
        <f>Test!F431</f>
        <v>0</v>
      </c>
      <c r="S73" s="16">
        <f>Test!G431</f>
        <v>0</v>
      </c>
      <c r="T73" s="16">
        <f t="shared" si="6"/>
        <v>0</v>
      </c>
      <c r="U73" s="29">
        <f>Test!H431</f>
        <v>0</v>
      </c>
      <c r="V73" s="30">
        <f>Test!I431</f>
        <v>0</v>
      </c>
      <c r="W73" s="16">
        <f t="shared" si="7"/>
        <v>0</v>
      </c>
      <c r="X73" s="16">
        <f t="shared" si="8"/>
        <v>0</v>
      </c>
      <c r="Y73" s="16">
        <f t="shared" si="4"/>
        <v>0</v>
      </c>
      <c r="Z73" s="25">
        <f t="shared" si="4"/>
        <v>0</v>
      </c>
      <c r="AA73" s="42"/>
      <c r="AB73" s="43"/>
      <c r="AC73" s="44"/>
      <c r="AD73" s="44"/>
      <c r="AE73" s="43"/>
      <c r="AF73" s="44"/>
      <c r="AG73" s="45"/>
    </row>
    <row r="74" ht="12.75" customHeight="1" spans="1:33">
      <c r="A74" s="14"/>
      <c r="B74" s="17"/>
      <c r="C74" s="17">
        <v>37</v>
      </c>
      <c r="D74" s="18">
        <f>Reference!B432</f>
        <v>110.7376</v>
      </c>
      <c r="E74" s="19">
        <f>Reference!C432</f>
        <v>28.8114</v>
      </c>
      <c r="F74" s="19">
        <f>Reference!D432</f>
        <v>34.5605</v>
      </c>
      <c r="G74" s="19">
        <f>Reference!E432</f>
        <v>35.1623</v>
      </c>
      <c r="H74" s="19">
        <f>Reference!F432</f>
        <v>2106</v>
      </c>
      <c r="I74" s="19">
        <f>Reference!G432</f>
        <v>1.945</v>
      </c>
      <c r="J74" s="19">
        <f t="shared" si="5"/>
        <v>0.585</v>
      </c>
      <c r="K74" s="31">
        <f>Reference!H432</f>
        <v>1103776</v>
      </c>
      <c r="L74" s="32">
        <f>Reference!I432</f>
        <v>358956</v>
      </c>
      <c r="N74" s="18">
        <f>Test!B432</f>
        <v>0</v>
      </c>
      <c r="O74" s="19">
        <f>Test!C432</f>
        <v>0</v>
      </c>
      <c r="P74" s="19">
        <f>Test!D432</f>
        <v>0</v>
      </c>
      <c r="Q74" s="19">
        <f>Test!E432</f>
        <v>0</v>
      </c>
      <c r="R74" s="19">
        <f>Test!F432</f>
        <v>0</v>
      </c>
      <c r="S74" s="19">
        <f>Test!G432</f>
        <v>0</v>
      </c>
      <c r="T74" s="19">
        <f t="shared" si="6"/>
        <v>0</v>
      </c>
      <c r="U74" s="31">
        <f>Test!H432</f>
        <v>0</v>
      </c>
      <c r="V74" s="32">
        <f>Test!I432</f>
        <v>0</v>
      </c>
      <c r="W74" s="16">
        <f t="shared" si="7"/>
        <v>0</v>
      </c>
      <c r="X74" s="16">
        <f t="shared" si="8"/>
        <v>0</v>
      </c>
      <c r="Y74" s="16">
        <f t="shared" si="4"/>
        <v>0</v>
      </c>
      <c r="Z74" s="25">
        <f t="shared" si="4"/>
        <v>0</v>
      </c>
      <c r="AA74" s="42"/>
      <c r="AB74" s="46"/>
      <c r="AC74" s="47"/>
      <c r="AD74" s="47"/>
      <c r="AE74" s="46"/>
      <c r="AF74" s="47"/>
      <c r="AG74" s="48"/>
    </row>
    <row r="75" spans="1:33">
      <c r="A75" s="14"/>
      <c r="B75" s="11" t="s">
        <v>87</v>
      </c>
      <c r="C75" s="11">
        <v>22</v>
      </c>
      <c r="D75" s="12">
        <f>Reference!B433</f>
        <v>1025.5424</v>
      </c>
      <c r="E75" s="13">
        <f>Reference!C433</f>
        <v>39.2981</v>
      </c>
      <c r="F75" s="13">
        <f>Reference!D433</f>
        <v>40.481</v>
      </c>
      <c r="G75" s="13">
        <f>Reference!E433</f>
        <v>41.8494</v>
      </c>
      <c r="H75" s="13">
        <f>Reference!F433</f>
        <v>4089</v>
      </c>
      <c r="I75" s="13">
        <f>Reference!G433</f>
        <v>3.461</v>
      </c>
      <c r="J75" s="13">
        <f t="shared" si="5"/>
        <v>1.13583333333333</v>
      </c>
      <c r="K75" s="27">
        <f>Reference!H433</f>
        <v>1105716</v>
      </c>
      <c r="L75" s="28">
        <f>Reference!I433</f>
        <v>333672</v>
      </c>
      <c r="N75" s="12">
        <f>Test!B433</f>
        <v>0</v>
      </c>
      <c r="O75" s="13">
        <f>Test!C433</f>
        <v>0</v>
      </c>
      <c r="P75" s="13">
        <f>Test!D433</f>
        <v>0</v>
      </c>
      <c r="Q75" s="13">
        <f>Test!E433</f>
        <v>0</v>
      </c>
      <c r="R75" s="13">
        <f>Test!F433</f>
        <v>0</v>
      </c>
      <c r="S75" s="13">
        <f>Test!G433</f>
        <v>0</v>
      </c>
      <c r="T75" s="13">
        <f t="shared" si="6"/>
        <v>0</v>
      </c>
      <c r="U75" s="27">
        <f>Test!H433</f>
        <v>0</v>
      </c>
      <c r="V75" s="28">
        <f>Test!I433</f>
        <v>0</v>
      </c>
      <c r="W75" s="16">
        <f t="shared" si="7"/>
        <v>0</v>
      </c>
      <c r="X75" s="16">
        <f t="shared" si="8"/>
        <v>0</v>
      </c>
      <c r="Y75" s="16">
        <f t="shared" si="4"/>
        <v>0</v>
      </c>
      <c r="Z75" s="25">
        <f t="shared" si="4"/>
        <v>0</v>
      </c>
      <c r="AA75" s="42"/>
      <c r="AB75" s="39" t="e">
        <f>bdrate($D75:$D78,E75:E78,$N75:$N78,O75:O78)</f>
        <v>#VALUE!</v>
      </c>
      <c r="AC75" s="40" t="e">
        <f>bdrate($D75:$D78,F75:F78,$N75:$N78,P75:P78)</f>
        <v>#VALUE!</v>
      </c>
      <c r="AD75" s="40" t="e">
        <f>bdrate($D75:$D78,G75:G78,$N75:$N78,Q75:Q78)</f>
        <v>#VALUE!</v>
      </c>
      <c r="AE75" s="49" t="e">
        <f>bdrateOld($D75:$D78,E75:E78,$N75:$N78,O75:O78)</f>
        <v>#VALUE!</v>
      </c>
      <c r="AF75" s="50" t="e">
        <f>bdrateOld($D75:$D78,F75:F78,$N75:$N78,P75:P78)</f>
        <v>#VALUE!</v>
      </c>
      <c r="AG75" s="52" t="e">
        <f>bdrateOld($D75:$D78,G75:G78,$N75:$N78,Q75:Q78)</f>
        <v>#VALUE!</v>
      </c>
    </row>
    <row r="76" spans="1:33">
      <c r="A76" s="14"/>
      <c r="B76" s="14"/>
      <c r="C76" s="14">
        <v>27</v>
      </c>
      <c r="D76" s="15">
        <f>Reference!B434</f>
        <v>434.5744</v>
      </c>
      <c r="E76" s="16">
        <f>Reference!C434</f>
        <v>34.7752</v>
      </c>
      <c r="F76" s="16">
        <f>Reference!D434</f>
        <v>37.5286</v>
      </c>
      <c r="G76" s="16">
        <f>Reference!E434</f>
        <v>38.5636</v>
      </c>
      <c r="H76" s="16">
        <f>Reference!F434</f>
        <v>3151</v>
      </c>
      <c r="I76" s="16">
        <f>Reference!G434</f>
        <v>2.921</v>
      </c>
      <c r="J76" s="16">
        <f t="shared" si="5"/>
        <v>0.875277777777778</v>
      </c>
      <c r="K76" s="29">
        <f>Reference!H434</f>
        <v>1104292</v>
      </c>
      <c r="L76" s="30">
        <f>Reference!I434</f>
        <v>333444</v>
      </c>
      <c r="N76" s="15">
        <f>Test!B434</f>
        <v>0</v>
      </c>
      <c r="O76" s="16">
        <f>Test!C434</f>
        <v>0</v>
      </c>
      <c r="P76" s="16">
        <f>Test!D434</f>
        <v>0</v>
      </c>
      <c r="Q76" s="16">
        <f>Test!E434</f>
        <v>0</v>
      </c>
      <c r="R76" s="16">
        <f>Test!F434</f>
        <v>0</v>
      </c>
      <c r="S76" s="16">
        <f>Test!G434</f>
        <v>0</v>
      </c>
      <c r="T76" s="16">
        <f t="shared" si="6"/>
        <v>0</v>
      </c>
      <c r="U76" s="29">
        <f>Test!H434</f>
        <v>0</v>
      </c>
      <c r="V76" s="30">
        <f>Test!I434</f>
        <v>0</v>
      </c>
      <c r="W76" s="16">
        <f t="shared" si="7"/>
        <v>0</v>
      </c>
      <c r="X76" s="16">
        <f t="shared" si="8"/>
        <v>0</v>
      </c>
      <c r="Y76" s="16">
        <f t="shared" si="4"/>
        <v>0</v>
      </c>
      <c r="Z76" s="25">
        <f t="shared" si="4"/>
        <v>0</v>
      </c>
      <c r="AA76" s="42"/>
      <c r="AB76" s="43"/>
      <c r="AC76" s="44"/>
      <c r="AD76" s="44"/>
      <c r="AE76" s="43"/>
      <c r="AF76" s="44"/>
      <c r="AG76" s="45"/>
    </row>
    <row r="77" spans="1:33">
      <c r="A77" s="14"/>
      <c r="B77" s="14"/>
      <c r="C77" s="14">
        <v>32</v>
      </c>
      <c r="D77" s="15">
        <f>Reference!B435</f>
        <v>192.9088</v>
      </c>
      <c r="E77" s="16">
        <f>Reference!C435</f>
        <v>31.1109</v>
      </c>
      <c r="F77" s="16">
        <f>Reference!D435</f>
        <v>35.9412</v>
      </c>
      <c r="G77" s="16">
        <f>Reference!E435</f>
        <v>36.691</v>
      </c>
      <c r="H77" s="16">
        <f>Reference!F435</f>
        <v>2348</v>
      </c>
      <c r="I77" s="16">
        <f>Reference!G435</f>
        <v>2.485</v>
      </c>
      <c r="J77" s="16">
        <f t="shared" si="5"/>
        <v>0.652222222222222</v>
      </c>
      <c r="K77" s="29">
        <f>Reference!H435</f>
        <v>1104004</v>
      </c>
      <c r="L77" s="30">
        <f>Reference!I435</f>
        <v>332532</v>
      </c>
      <c r="N77" s="15">
        <f>Test!B435</f>
        <v>0</v>
      </c>
      <c r="O77" s="16">
        <f>Test!C435</f>
        <v>0</v>
      </c>
      <c r="P77" s="16">
        <f>Test!D435</f>
        <v>0</v>
      </c>
      <c r="Q77" s="16">
        <f>Test!E435</f>
        <v>0</v>
      </c>
      <c r="R77" s="16">
        <f>Test!F435</f>
        <v>0</v>
      </c>
      <c r="S77" s="16">
        <f>Test!G435</f>
        <v>0</v>
      </c>
      <c r="T77" s="16">
        <f t="shared" si="6"/>
        <v>0</v>
      </c>
      <c r="U77" s="29">
        <f>Test!H435</f>
        <v>0</v>
      </c>
      <c r="V77" s="30">
        <f>Test!I435</f>
        <v>0</v>
      </c>
      <c r="W77" s="16">
        <f t="shared" si="7"/>
        <v>0</v>
      </c>
      <c r="X77" s="16">
        <f t="shared" si="8"/>
        <v>0</v>
      </c>
      <c r="Y77" s="16">
        <f t="shared" si="4"/>
        <v>0</v>
      </c>
      <c r="Z77" s="25">
        <f t="shared" si="4"/>
        <v>0</v>
      </c>
      <c r="AA77" s="42"/>
      <c r="AB77" s="43"/>
      <c r="AC77" s="44"/>
      <c r="AD77" s="44"/>
      <c r="AE77" s="43"/>
      <c r="AF77" s="44"/>
      <c r="AG77" s="45"/>
    </row>
    <row r="78" ht="12.75" customHeight="1" spans="1:33">
      <c r="A78" s="17"/>
      <c r="B78" s="17"/>
      <c r="C78" s="17">
        <v>37</v>
      </c>
      <c r="D78" s="18">
        <f>Reference!B436</f>
        <v>91.3344</v>
      </c>
      <c r="E78" s="19">
        <f>Reference!C436</f>
        <v>28.5474</v>
      </c>
      <c r="F78" s="19">
        <f>Reference!D436</f>
        <v>34.4499</v>
      </c>
      <c r="G78" s="19">
        <f>Reference!E436</f>
        <v>34.8772</v>
      </c>
      <c r="H78" s="19">
        <f>Reference!F436</f>
        <v>1686</v>
      </c>
      <c r="I78" s="19">
        <f>Reference!G436</f>
        <v>2.068</v>
      </c>
      <c r="J78" s="19">
        <f t="shared" si="5"/>
        <v>0.468333333333333</v>
      </c>
      <c r="K78" s="31">
        <f>Reference!H436</f>
        <v>1103312</v>
      </c>
      <c r="L78" s="32">
        <f>Reference!I436</f>
        <v>331704</v>
      </c>
      <c r="N78" s="18">
        <f>Test!B436</f>
        <v>0</v>
      </c>
      <c r="O78" s="19">
        <f>Test!C436</f>
        <v>0</v>
      </c>
      <c r="P78" s="19">
        <f>Test!D436</f>
        <v>0</v>
      </c>
      <c r="Q78" s="19">
        <f>Test!E436</f>
        <v>0</v>
      </c>
      <c r="R78" s="19">
        <f>Test!F436</f>
        <v>0</v>
      </c>
      <c r="S78" s="19">
        <f>Test!G436</f>
        <v>0</v>
      </c>
      <c r="T78" s="19">
        <f t="shared" si="6"/>
        <v>0</v>
      </c>
      <c r="U78" s="31">
        <f>Test!H436</f>
        <v>0</v>
      </c>
      <c r="V78" s="32">
        <f>Test!I436</f>
        <v>0</v>
      </c>
      <c r="W78" s="19">
        <f t="shared" si="7"/>
        <v>0</v>
      </c>
      <c r="X78" s="19">
        <f t="shared" si="8"/>
        <v>0</v>
      </c>
      <c r="Y78" s="19">
        <f t="shared" si="4"/>
        <v>0</v>
      </c>
      <c r="Z78" s="26">
        <f t="shared" si="4"/>
        <v>0</v>
      </c>
      <c r="AA78" s="51"/>
      <c r="AB78" s="46"/>
      <c r="AC78" s="47"/>
      <c r="AD78" s="47"/>
      <c r="AE78" s="46"/>
      <c r="AF78" s="47"/>
      <c r="AG78" s="48"/>
    </row>
    <row r="79" spans="1:33">
      <c r="A79" s="11" t="s">
        <v>24</v>
      </c>
      <c r="B79" s="11" t="s">
        <v>88</v>
      </c>
      <c r="C79" s="11">
        <v>22</v>
      </c>
      <c r="D79" s="12">
        <f>Reference!B437</f>
        <v>1924.52</v>
      </c>
      <c r="E79" s="13">
        <f>Reference!C437</f>
        <v>42.9847</v>
      </c>
      <c r="F79" s="13">
        <f>Reference!D437</f>
        <v>47.2162</v>
      </c>
      <c r="G79" s="13">
        <f>Reference!E437</f>
        <v>48.4685</v>
      </c>
      <c r="H79" s="13">
        <f>Reference!F437</f>
        <v>22406</v>
      </c>
      <c r="I79" s="13">
        <f>Reference!G437</f>
        <v>26.443</v>
      </c>
      <c r="J79" s="13">
        <f t="shared" si="5"/>
        <v>6.22388888888889</v>
      </c>
      <c r="K79" s="27">
        <f>Reference!H437</f>
        <v>2210332</v>
      </c>
      <c r="L79" s="28">
        <f>Reference!I437</f>
        <v>508460</v>
      </c>
      <c r="N79" s="12">
        <f>Test!B437</f>
        <v>0</v>
      </c>
      <c r="O79" s="13">
        <f>Test!C437</f>
        <v>0</v>
      </c>
      <c r="P79" s="13">
        <f>Test!D437</f>
        <v>0</v>
      </c>
      <c r="Q79" s="13">
        <f>Test!E437</f>
        <v>0</v>
      </c>
      <c r="R79" s="13">
        <f>Test!F437</f>
        <v>0</v>
      </c>
      <c r="S79" s="13">
        <f>Test!G437</f>
        <v>0</v>
      </c>
      <c r="T79" s="13">
        <f t="shared" si="6"/>
        <v>0</v>
      </c>
      <c r="U79" s="27">
        <f>Test!H437</f>
        <v>0</v>
      </c>
      <c r="V79" s="28">
        <f>Test!I437</f>
        <v>0</v>
      </c>
      <c r="W79" s="13">
        <f t="shared" si="7"/>
        <v>0</v>
      </c>
      <c r="X79" s="13">
        <f t="shared" si="8"/>
        <v>0</v>
      </c>
      <c r="Y79" s="13">
        <f t="shared" si="4"/>
        <v>0</v>
      </c>
      <c r="Z79" s="24">
        <f t="shared" si="4"/>
        <v>0</v>
      </c>
      <c r="AA79" s="38"/>
      <c r="AB79" s="39" t="e">
        <f>bdrate($D79:$D82,E79:E82,$N79:$N82,O79:O82)</f>
        <v>#VALUE!</v>
      </c>
      <c r="AC79" s="40" t="e">
        <f>bdrate($D79:$D82,F79:F82,$N79:$N82,P79:P82)</f>
        <v>#VALUE!</v>
      </c>
      <c r="AD79" s="41" t="e">
        <f>bdrate($D79:$D82,G79:G82,$N79:$N82,Q79:Q82)</f>
        <v>#VALUE!</v>
      </c>
      <c r="AE79" s="39" t="e">
        <f>bdrateOld($D79:$D82,E79:E82,$N79:$N82,O79:O82)</f>
        <v>#VALUE!</v>
      </c>
      <c r="AF79" s="40" t="e">
        <f>bdrateOld($D79:$D82,F79:F82,$N79:$N82,P79:P82)</f>
        <v>#VALUE!</v>
      </c>
      <c r="AG79" s="41" t="e">
        <f>bdrateOld($D79:$D82,G79:G82,$N79:$N82,Q79:Q82)</f>
        <v>#VALUE!</v>
      </c>
    </row>
    <row r="80" spans="1:33">
      <c r="A80" s="14" t="s">
        <v>115</v>
      </c>
      <c r="B80" s="14"/>
      <c r="C80" s="14">
        <v>27</v>
      </c>
      <c r="D80" s="15">
        <f>Reference!B438</f>
        <v>704.3968</v>
      </c>
      <c r="E80" s="16">
        <f>Reference!C438</f>
        <v>40.872</v>
      </c>
      <c r="F80" s="16">
        <f>Reference!D438</f>
        <v>45.4615</v>
      </c>
      <c r="G80" s="16">
        <f>Reference!E438</f>
        <v>46.4813</v>
      </c>
      <c r="H80" s="16">
        <f>Reference!F438</f>
        <v>15207</v>
      </c>
      <c r="I80" s="16">
        <f>Reference!G438</f>
        <v>16.418</v>
      </c>
      <c r="J80" s="16">
        <f t="shared" si="5"/>
        <v>4.22416666666667</v>
      </c>
      <c r="K80" s="29">
        <f>Reference!H438</f>
        <v>2209768</v>
      </c>
      <c r="L80" s="30">
        <f>Reference!I438</f>
        <v>504756</v>
      </c>
      <c r="N80" s="15">
        <f>Test!B438</f>
        <v>0</v>
      </c>
      <c r="O80" s="16">
        <f>Test!C438</f>
        <v>0</v>
      </c>
      <c r="P80" s="16">
        <f>Test!D438</f>
        <v>0</v>
      </c>
      <c r="Q80" s="16">
        <f>Test!E438</f>
        <v>0</v>
      </c>
      <c r="R80" s="16">
        <f>Test!F438</f>
        <v>0</v>
      </c>
      <c r="S80" s="16">
        <f>Test!G438</f>
        <v>0</v>
      </c>
      <c r="T80" s="16">
        <f t="shared" si="6"/>
        <v>0</v>
      </c>
      <c r="U80" s="29">
        <f>Test!H438</f>
        <v>0</v>
      </c>
      <c r="V80" s="30">
        <f>Test!I438</f>
        <v>0</v>
      </c>
      <c r="W80" s="16">
        <f t="shared" si="7"/>
        <v>0</v>
      </c>
      <c r="X80" s="16">
        <f t="shared" si="8"/>
        <v>0</v>
      </c>
      <c r="Y80" s="16">
        <f t="shared" si="4"/>
        <v>0</v>
      </c>
      <c r="Z80" s="25">
        <f t="shared" si="4"/>
        <v>0</v>
      </c>
      <c r="AA80" s="42"/>
      <c r="AB80" s="43"/>
      <c r="AC80" s="44"/>
      <c r="AD80" s="45"/>
      <c r="AE80" s="43"/>
      <c r="AF80" s="44"/>
      <c r="AG80" s="45"/>
    </row>
    <row r="81" spans="1:33">
      <c r="A81" s="14"/>
      <c r="B81" s="14"/>
      <c r="C81" s="14">
        <v>32</v>
      </c>
      <c r="D81" s="15">
        <f>Reference!B439</f>
        <v>353.3504</v>
      </c>
      <c r="E81" s="16">
        <f>Reference!C439</f>
        <v>38.4564</v>
      </c>
      <c r="F81" s="16">
        <f>Reference!D439</f>
        <v>43.5661</v>
      </c>
      <c r="G81" s="16">
        <f>Reference!E439</f>
        <v>44.3387</v>
      </c>
      <c r="H81" s="16">
        <f>Reference!F439</f>
        <v>11691</v>
      </c>
      <c r="I81" s="16">
        <f>Reference!G439</f>
        <v>12.164</v>
      </c>
      <c r="J81" s="16">
        <f t="shared" si="5"/>
        <v>3.2475</v>
      </c>
      <c r="K81" s="29">
        <f>Reference!H439</f>
        <v>2203488</v>
      </c>
      <c r="L81" s="30">
        <f>Reference!I439</f>
        <v>498668</v>
      </c>
      <c r="N81" s="15">
        <f>Test!B439</f>
        <v>0</v>
      </c>
      <c r="O81" s="16">
        <f>Test!C439</f>
        <v>0</v>
      </c>
      <c r="P81" s="16">
        <f>Test!D439</f>
        <v>0</v>
      </c>
      <c r="Q81" s="16">
        <f>Test!E439</f>
        <v>0</v>
      </c>
      <c r="R81" s="16">
        <f>Test!F439</f>
        <v>0</v>
      </c>
      <c r="S81" s="16">
        <f>Test!G439</f>
        <v>0</v>
      </c>
      <c r="T81" s="16">
        <f t="shared" si="6"/>
        <v>0</v>
      </c>
      <c r="U81" s="29">
        <f>Test!H439</f>
        <v>0</v>
      </c>
      <c r="V81" s="30">
        <f>Test!I439</f>
        <v>0</v>
      </c>
      <c r="W81" s="16">
        <f t="shared" si="7"/>
        <v>0</v>
      </c>
      <c r="X81" s="16">
        <f t="shared" si="8"/>
        <v>0</v>
      </c>
      <c r="Y81" s="16">
        <f t="shared" si="4"/>
        <v>0</v>
      </c>
      <c r="Z81" s="25">
        <f t="shared" si="4"/>
        <v>0</v>
      </c>
      <c r="AA81" s="42"/>
      <c r="AB81" s="43"/>
      <c r="AC81" s="44"/>
      <c r="AD81" s="45"/>
      <c r="AE81" s="43"/>
      <c r="AF81" s="44"/>
      <c r="AG81" s="45"/>
    </row>
    <row r="82" ht="12.75" customHeight="1" spans="1:33">
      <c r="A82" s="14"/>
      <c r="B82" s="17"/>
      <c r="C82" s="17">
        <v>37</v>
      </c>
      <c r="D82" s="18">
        <f>Reference!B440</f>
        <v>191.864</v>
      </c>
      <c r="E82" s="19">
        <f>Reference!C440</f>
        <v>35.762</v>
      </c>
      <c r="F82" s="19">
        <f>Reference!D440</f>
        <v>41.936</v>
      </c>
      <c r="G82" s="19">
        <f>Reference!E440</f>
        <v>42.6676</v>
      </c>
      <c r="H82" s="19">
        <f>Reference!F440</f>
        <v>9898</v>
      </c>
      <c r="I82" s="19">
        <f>Reference!G440</f>
        <v>8.4</v>
      </c>
      <c r="J82" s="19">
        <f t="shared" si="5"/>
        <v>2.74944444444444</v>
      </c>
      <c r="K82" s="31">
        <f>Reference!H440</f>
        <v>2196408</v>
      </c>
      <c r="L82" s="32">
        <f>Reference!I440</f>
        <v>496828</v>
      </c>
      <c r="N82" s="18">
        <f>Test!B440</f>
        <v>0</v>
      </c>
      <c r="O82" s="19">
        <f>Test!C440</f>
        <v>0</v>
      </c>
      <c r="P82" s="19">
        <f>Test!D440</f>
        <v>0</v>
      </c>
      <c r="Q82" s="19">
        <f>Test!E440</f>
        <v>0</v>
      </c>
      <c r="R82" s="19">
        <f>Test!F440</f>
        <v>0</v>
      </c>
      <c r="S82" s="19">
        <f>Test!G440</f>
        <v>0</v>
      </c>
      <c r="T82" s="19">
        <f t="shared" si="6"/>
        <v>0</v>
      </c>
      <c r="U82" s="31">
        <f>Test!H440</f>
        <v>0</v>
      </c>
      <c r="V82" s="32">
        <f>Test!I440</f>
        <v>0</v>
      </c>
      <c r="W82" s="16">
        <f t="shared" si="7"/>
        <v>0</v>
      </c>
      <c r="X82" s="16">
        <f t="shared" si="8"/>
        <v>0</v>
      </c>
      <c r="Y82" s="16">
        <f t="shared" si="4"/>
        <v>0</v>
      </c>
      <c r="Z82" s="25">
        <f t="shared" si="4"/>
        <v>0</v>
      </c>
      <c r="AA82" s="42"/>
      <c r="AB82" s="46"/>
      <c r="AC82" s="47"/>
      <c r="AD82" s="48"/>
      <c r="AE82" s="46"/>
      <c r="AF82" s="47"/>
      <c r="AG82" s="48"/>
    </row>
    <row r="83" spans="1:33">
      <c r="A83" s="14"/>
      <c r="B83" s="11" t="s">
        <v>89</v>
      </c>
      <c r="C83" s="11">
        <v>22</v>
      </c>
      <c r="D83" s="12">
        <f>Reference!B441</f>
        <v>1406.2288</v>
      </c>
      <c r="E83" s="13">
        <f>Reference!C441</f>
        <v>43.2251</v>
      </c>
      <c r="F83" s="13">
        <f>Reference!D441</f>
        <v>48.6875</v>
      </c>
      <c r="G83" s="13">
        <f>Reference!E441</f>
        <v>49.3039</v>
      </c>
      <c r="H83" s="13">
        <f>Reference!F441</f>
        <v>21593</v>
      </c>
      <c r="I83" s="13">
        <f>Reference!G441</f>
        <v>21.342</v>
      </c>
      <c r="J83" s="13">
        <f t="shared" si="5"/>
        <v>5.99805555555556</v>
      </c>
      <c r="K83" s="27">
        <f>Reference!H441</f>
        <v>2200956</v>
      </c>
      <c r="L83" s="28">
        <f>Reference!I441</f>
        <v>499064</v>
      </c>
      <c r="N83" s="12">
        <f>Test!B441</f>
        <v>0</v>
      </c>
      <c r="O83" s="13">
        <f>Test!C441</f>
        <v>0</v>
      </c>
      <c r="P83" s="13">
        <f>Test!D441</f>
        <v>0</v>
      </c>
      <c r="Q83" s="13">
        <f>Test!E441</f>
        <v>0</v>
      </c>
      <c r="R83" s="13">
        <f>Test!F441</f>
        <v>0</v>
      </c>
      <c r="S83" s="13">
        <f>Test!G441</f>
        <v>0</v>
      </c>
      <c r="T83" s="13">
        <f t="shared" si="6"/>
        <v>0</v>
      </c>
      <c r="U83" s="27">
        <f>Test!H441</f>
        <v>0</v>
      </c>
      <c r="V83" s="28">
        <f>Test!I441</f>
        <v>0</v>
      </c>
      <c r="W83" s="16">
        <f t="shared" si="7"/>
        <v>0</v>
      </c>
      <c r="X83" s="16">
        <f t="shared" si="8"/>
        <v>0</v>
      </c>
      <c r="Y83" s="16">
        <f t="shared" si="4"/>
        <v>0</v>
      </c>
      <c r="Z83" s="25">
        <f t="shared" si="4"/>
        <v>0</v>
      </c>
      <c r="AA83" s="42"/>
      <c r="AB83" s="39" t="e">
        <f>bdrate($D83:$D86,E83:E86,$N83:$N86,O83:O86)</f>
        <v>#VALUE!</v>
      </c>
      <c r="AC83" s="40" t="e">
        <f>bdrate($D83:$D86,F83:F86,$N83:$N86,P83:P86)</f>
        <v>#VALUE!</v>
      </c>
      <c r="AD83" s="40" t="e">
        <f>bdrate($D83:$D86,G83:G86,$N83:$N86,Q83:Q86)</f>
        <v>#VALUE!</v>
      </c>
      <c r="AE83" s="49" t="e">
        <f>bdrateOld($D83:$D86,E83:E86,$N83:$N86,O83:O86)</f>
        <v>#VALUE!</v>
      </c>
      <c r="AF83" s="50" t="e">
        <f>bdrateOld($D83:$D86,F83:F86,$N83:$N86,P83:P86)</f>
        <v>#VALUE!</v>
      </c>
      <c r="AG83" s="52" t="e">
        <f>bdrateOld($D83:$D86,G83:G86,$N83:$N86,Q83:Q86)</f>
        <v>#VALUE!</v>
      </c>
    </row>
    <row r="84" spans="1:33">
      <c r="A84" s="14"/>
      <c r="B84" s="14"/>
      <c r="C84" s="14">
        <v>27</v>
      </c>
      <c r="D84" s="15">
        <f>Reference!B442</f>
        <v>369.7408</v>
      </c>
      <c r="E84" s="16">
        <f>Reference!C442</f>
        <v>41.705</v>
      </c>
      <c r="F84" s="16">
        <f>Reference!D442</f>
        <v>47.4439</v>
      </c>
      <c r="G84" s="16">
        <f>Reference!E442</f>
        <v>47.9041</v>
      </c>
      <c r="H84" s="16">
        <f>Reference!F442</f>
        <v>12989</v>
      </c>
      <c r="I84" s="16">
        <f>Reference!G442</f>
        <v>13.925</v>
      </c>
      <c r="J84" s="16">
        <f t="shared" si="5"/>
        <v>3.60805555555556</v>
      </c>
      <c r="K84" s="29">
        <f>Reference!H442</f>
        <v>2197052</v>
      </c>
      <c r="L84" s="30">
        <f>Reference!I442</f>
        <v>494488</v>
      </c>
      <c r="N84" s="15">
        <f>Test!B442</f>
        <v>0</v>
      </c>
      <c r="O84" s="16">
        <f>Test!C442</f>
        <v>0</v>
      </c>
      <c r="P84" s="16">
        <f>Test!D442</f>
        <v>0</v>
      </c>
      <c r="Q84" s="16">
        <f>Test!E442</f>
        <v>0</v>
      </c>
      <c r="R84" s="16">
        <f>Test!F442</f>
        <v>0</v>
      </c>
      <c r="S84" s="16">
        <f>Test!G442</f>
        <v>0</v>
      </c>
      <c r="T84" s="16">
        <f t="shared" si="6"/>
        <v>0</v>
      </c>
      <c r="U84" s="29">
        <f>Test!H442</f>
        <v>0</v>
      </c>
      <c r="V84" s="30">
        <f>Test!I442</f>
        <v>0</v>
      </c>
      <c r="W84" s="16">
        <f t="shared" si="7"/>
        <v>0</v>
      </c>
      <c r="X84" s="16">
        <f t="shared" si="8"/>
        <v>0</v>
      </c>
      <c r="Y84" s="16">
        <f t="shared" si="4"/>
        <v>0</v>
      </c>
      <c r="Z84" s="25">
        <f t="shared" si="4"/>
        <v>0</v>
      </c>
      <c r="AA84" s="42"/>
      <c r="AB84" s="43"/>
      <c r="AC84" s="44"/>
      <c r="AD84" s="44"/>
      <c r="AE84" s="43"/>
      <c r="AF84" s="44"/>
      <c r="AG84" s="45"/>
    </row>
    <row r="85" spans="1:33">
      <c r="A85" s="14"/>
      <c r="B85" s="14"/>
      <c r="C85" s="14">
        <v>32</v>
      </c>
      <c r="D85" s="15">
        <f>Reference!B443</f>
        <v>167.9568</v>
      </c>
      <c r="E85" s="16">
        <f>Reference!C443</f>
        <v>39.9165</v>
      </c>
      <c r="F85" s="16">
        <f>Reference!D443</f>
        <v>45.7243</v>
      </c>
      <c r="G85" s="16">
        <f>Reference!E443</f>
        <v>46.0956</v>
      </c>
      <c r="H85" s="16">
        <f>Reference!F443</f>
        <v>9916</v>
      </c>
      <c r="I85" s="16">
        <f>Reference!G443</f>
        <v>9.642</v>
      </c>
      <c r="J85" s="16">
        <f t="shared" si="5"/>
        <v>2.75444444444444</v>
      </c>
      <c r="K85" s="29">
        <f>Reference!H443</f>
        <v>2194016</v>
      </c>
      <c r="L85" s="30">
        <f>Reference!I443</f>
        <v>491800</v>
      </c>
      <c r="N85" s="15">
        <f>Test!B443</f>
        <v>0</v>
      </c>
      <c r="O85" s="16">
        <f>Test!C443</f>
        <v>0</v>
      </c>
      <c r="P85" s="16">
        <f>Test!D443</f>
        <v>0</v>
      </c>
      <c r="Q85" s="16">
        <f>Test!E443</f>
        <v>0</v>
      </c>
      <c r="R85" s="16">
        <f>Test!F443</f>
        <v>0</v>
      </c>
      <c r="S85" s="16">
        <f>Test!G443</f>
        <v>0</v>
      </c>
      <c r="T85" s="16">
        <f t="shared" si="6"/>
        <v>0</v>
      </c>
      <c r="U85" s="29">
        <f>Test!H443</f>
        <v>0</v>
      </c>
      <c r="V85" s="30">
        <f>Test!I443</f>
        <v>0</v>
      </c>
      <c r="W85" s="16">
        <f t="shared" si="7"/>
        <v>0</v>
      </c>
      <c r="X85" s="16">
        <f t="shared" si="8"/>
        <v>0</v>
      </c>
      <c r="Y85" s="16">
        <f t="shared" si="4"/>
        <v>0</v>
      </c>
      <c r="Z85" s="25">
        <f t="shared" si="4"/>
        <v>0</v>
      </c>
      <c r="AA85" s="42"/>
      <c r="AB85" s="43"/>
      <c r="AC85" s="44"/>
      <c r="AD85" s="44"/>
      <c r="AE85" s="43"/>
      <c r="AF85" s="44"/>
      <c r="AG85" s="45"/>
    </row>
    <row r="86" ht="12.75" customHeight="1" spans="1:33">
      <c r="A86" s="14"/>
      <c r="B86" s="17"/>
      <c r="C86" s="17">
        <v>37</v>
      </c>
      <c r="D86" s="18">
        <f>Reference!B444</f>
        <v>92.1056</v>
      </c>
      <c r="E86" s="19">
        <f>Reference!C444</f>
        <v>37.7695</v>
      </c>
      <c r="F86" s="19">
        <f>Reference!D444</f>
        <v>44.1901</v>
      </c>
      <c r="G86" s="19">
        <f>Reference!E444</f>
        <v>44.4702</v>
      </c>
      <c r="H86" s="19">
        <f>Reference!F444</f>
        <v>8232</v>
      </c>
      <c r="I86" s="19">
        <f>Reference!G444</f>
        <v>7.86</v>
      </c>
      <c r="J86" s="19">
        <f t="shared" si="5"/>
        <v>2.28666666666667</v>
      </c>
      <c r="K86" s="31">
        <f>Reference!H444</f>
        <v>2191784</v>
      </c>
      <c r="L86" s="32">
        <f>Reference!I444</f>
        <v>490460</v>
      </c>
      <c r="N86" s="18">
        <f>Test!B444</f>
        <v>0</v>
      </c>
      <c r="O86" s="19">
        <f>Test!C444</f>
        <v>0</v>
      </c>
      <c r="P86" s="19">
        <f>Test!D444</f>
        <v>0</v>
      </c>
      <c r="Q86" s="19">
        <f>Test!E444</f>
        <v>0</v>
      </c>
      <c r="R86" s="19">
        <f>Test!F444</f>
        <v>0</v>
      </c>
      <c r="S86" s="19">
        <f>Test!G444</f>
        <v>0</v>
      </c>
      <c r="T86" s="19">
        <f t="shared" si="6"/>
        <v>0</v>
      </c>
      <c r="U86" s="31">
        <f>Test!H444</f>
        <v>0</v>
      </c>
      <c r="V86" s="32">
        <f>Test!I444</f>
        <v>0</v>
      </c>
      <c r="W86" s="16">
        <f t="shared" si="7"/>
        <v>0</v>
      </c>
      <c r="X86" s="16">
        <f t="shared" si="8"/>
        <v>0</v>
      </c>
      <c r="Y86" s="16">
        <f t="shared" si="4"/>
        <v>0</v>
      </c>
      <c r="Z86" s="25">
        <f t="shared" si="4"/>
        <v>0</v>
      </c>
      <c r="AA86" s="42"/>
      <c r="AB86" s="46"/>
      <c r="AC86" s="47"/>
      <c r="AD86" s="47"/>
      <c r="AE86" s="46"/>
      <c r="AF86" s="47"/>
      <c r="AG86" s="48"/>
    </row>
    <row r="87" spans="1:33">
      <c r="A87" s="14"/>
      <c r="B87" s="11" t="s">
        <v>90</v>
      </c>
      <c r="C87" s="11">
        <v>22</v>
      </c>
      <c r="D87" s="12">
        <f>Reference!B445</f>
        <v>1552.7456</v>
      </c>
      <c r="E87" s="13">
        <f>Reference!C445</f>
        <v>43.7237</v>
      </c>
      <c r="F87" s="13">
        <f>Reference!D445</f>
        <v>47.9729</v>
      </c>
      <c r="G87" s="13">
        <f>Reference!E445</f>
        <v>48.9429</v>
      </c>
      <c r="H87" s="13">
        <f>Reference!F445</f>
        <v>23768</v>
      </c>
      <c r="I87" s="13">
        <f>Reference!G445</f>
        <v>27.248</v>
      </c>
      <c r="J87" s="13">
        <f t="shared" si="5"/>
        <v>6.60222222222222</v>
      </c>
      <c r="K87" s="27">
        <f>Reference!H445</f>
        <v>2206952</v>
      </c>
      <c r="L87" s="28">
        <f>Reference!I445</f>
        <v>504528</v>
      </c>
      <c r="N87" s="12">
        <f>Test!B445</f>
        <v>0</v>
      </c>
      <c r="O87" s="13">
        <f>Test!C445</f>
        <v>0</v>
      </c>
      <c r="P87" s="13">
        <f>Test!D445</f>
        <v>0</v>
      </c>
      <c r="Q87" s="13">
        <f>Test!E445</f>
        <v>0</v>
      </c>
      <c r="R87" s="13">
        <f>Test!F445</f>
        <v>0</v>
      </c>
      <c r="S87" s="13">
        <f>Test!G445</f>
        <v>0</v>
      </c>
      <c r="T87" s="13">
        <f t="shared" si="6"/>
        <v>0</v>
      </c>
      <c r="U87" s="27">
        <f>Test!H445</f>
        <v>0</v>
      </c>
      <c r="V87" s="28">
        <f>Test!I445</f>
        <v>0</v>
      </c>
      <c r="W87" s="16">
        <f t="shared" si="7"/>
        <v>0</v>
      </c>
      <c r="X87" s="16">
        <f t="shared" si="8"/>
        <v>0</v>
      </c>
      <c r="Y87" s="16">
        <f t="shared" si="4"/>
        <v>0</v>
      </c>
      <c r="Z87" s="25">
        <f t="shared" si="4"/>
        <v>0</v>
      </c>
      <c r="AA87" s="42"/>
      <c r="AB87" s="39" t="e">
        <f>bdrate($D87:$D90,E87:E90,$N87:$N90,O87:O90)</f>
        <v>#VALUE!</v>
      </c>
      <c r="AC87" s="40" t="e">
        <f>bdrate($D87:$D90,F87:F90,$N87:$N90,P87:P90)</f>
        <v>#VALUE!</v>
      </c>
      <c r="AD87" s="40" t="e">
        <f>bdrate($D87:$D90,G87:G90,$N87:$N90,Q87:Q90)</f>
        <v>#VALUE!</v>
      </c>
      <c r="AE87" s="49" t="e">
        <f>bdrateOld($D87:$D90,E87:E90,$N87:$N90,O87:O90)</f>
        <v>#VALUE!</v>
      </c>
      <c r="AF87" s="50" t="e">
        <f>bdrateOld($D87:$D90,F87:F90,$N87:$N90,P87:P90)</f>
        <v>#VALUE!</v>
      </c>
      <c r="AG87" s="52" t="e">
        <f>bdrateOld($D87:$D90,G87:G90,$N87:$N90,Q87:Q90)</f>
        <v>#VALUE!</v>
      </c>
    </row>
    <row r="88" spans="1:33">
      <c r="A88" s="14"/>
      <c r="B88" s="14"/>
      <c r="C88" s="14">
        <v>27</v>
      </c>
      <c r="D88" s="15">
        <f>Reference!B446</f>
        <v>522.5472</v>
      </c>
      <c r="E88" s="16">
        <f>Reference!C446</f>
        <v>41.8167</v>
      </c>
      <c r="F88" s="16">
        <f>Reference!D446</f>
        <v>46.4154</v>
      </c>
      <c r="G88" s="16">
        <f>Reference!E446</f>
        <v>47.1906</v>
      </c>
      <c r="H88" s="16">
        <f>Reference!F446</f>
        <v>14986</v>
      </c>
      <c r="I88" s="16">
        <f>Reference!G446</f>
        <v>17.957</v>
      </c>
      <c r="J88" s="16">
        <f t="shared" si="5"/>
        <v>4.16277777777778</v>
      </c>
      <c r="K88" s="29">
        <f>Reference!H446</f>
        <v>2200048</v>
      </c>
      <c r="L88" s="30">
        <f>Reference!I446</f>
        <v>497616</v>
      </c>
      <c r="N88" s="15">
        <f>Test!B446</f>
        <v>0</v>
      </c>
      <c r="O88" s="16">
        <f>Test!C446</f>
        <v>0</v>
      </c>
      <c r="P88" s="16">
        <f>Test!D446</f>
        <v>0</v>
      </c>
      <c r="Q88" s="16">
        <f>Test!E446</f>
        <v>0</v>
      </c>
      <c r="R88" s="16">
        <f>Test!F446</f>
        <v>0</v>
      </c>
      <c r="S88" s="16">
        <f>Test!G446</f>
        <v>0</v>
      </c>
      <c r="T88" s="16">
        <f t="shared" si="6"/>
        <v>0</v>
      </c>
      <c r="U88" s="29">
        <f>Test!H446</f>
        <v>0</v>
      </c>
      <c r="V88" s="30">
        <f>Test!I446</f>
        <v>0</v>
      </c>
      <c r="W88" s="16">
        <f t="shared" si="7"/>
        <v>0</v>
      </c>
      <c r="X88" s="16">
        <f t="shared" si="8"/>
        <v>0</v>
      </c>
      <c r="Y88" s="16">
        <f t="shared" si="4"/>
        <v>0</v>
      </c>
      <c r="Z88" s="25">
        <f t="shared" si="4"/>
        <v>0</v>
      </c>
      <c r="AA88" s="42"/>
      <c r="AB88" s="43"/>
      <c r="AC88" s="44"/>
      <c r="AD88" s="44"/>
      <c r="AE88" s="43"/>
      <c r="AF88" s="44"/>
      <c r="AG88" s="45"/>
    </row>
    <row r="89" spans="1:33">
      <c r="A89" s="14"/>
      <c r="B89" s="14"/>
      <c r="C89" s="14">
        <v>32</v>
      </c>
      <c r="D89" s="15">
        <f>Reference!B447</f>
        <v>241.2736</v>
      </c>
      <c r="E89" s="16">
        <f>Reference!C447</f>
        <v>39.6174</v>
      </c>
      <c r="F89" s="16">
        <f>Reference!D447</f>
        <v>44.6741</v>
      </c>
      <c r="G89" s="16">
        <f>Reference!E447</f>
        <v>45.2622</v>
      </c>
      <c r="H89" s="16">
        <f>Reference!F447</f>
        <v>11258</v>
      </c>
      <c r="I89" s="16">
        <f>Reference!G447</f>
        <v>13.159</v>
      </c>
      <c r="J89" s="16">
        <f t="shared" si="5"/>
        <v>3.12722222222222</v>
      </c>
      <c r="K89" s="29">
        <f>Reference!H447</f>
        <v>2195768</v>
      </c>
      <c r="L89" s="30">
        <f>Reference!I447</f>
        <v>495360</v>
      </c>
      <c r="N89" s="15">
        <f>Test!B447</f>
        <v>0</v>
      </c>
      <c r="O89" s="16">
        <f>Test!C447</f>
        <v>0</v>
      </c>
      <c r="P89" s="16">
        <f>Test!D447</f>
        <v>0</v>
      </c>
      <c r="Q89" s="16">
        <f>Test!E447</f>
        <v>0</v>
      </c>
      <c r="R89" s="16">
        <f>Test!F447</f>
        <v>0</v>
      </c>
      <c r="S89" s="16">
        <f>Test!G447</f>
        <v>0</v>
      </c>
      <c r="T89" s="16">
        <f t="shared" si="6"/>
        <v>0</v>
      </c>
      <c r="U89" s="29">
        <f>Test!H447</f>
        <v>0</v>
      </c>
      <c r="V89" s="30">
        <f>Test!I447</f>
        <v>0</v>
      </c>
      <c r="W89" s="16">
        <f t="shared" si="7"/>
        <v>0</v>
      </c>
      <c r="X89" s="16">
        <f t="shared" si="8"/>
        <v>0</v>
      </c>
      <c r="Y89" s="16">
        <f t="shared" si="4"/>
        <v>0</v>
      </c>
      <c r="Z89" s="25">
        <f t="shared" si="4"/>
        <v>0</v>
      </c>
      <c r="AA89" s="42"/>
      <c r="AB89" s="43"/>
      <c r="AC89" s="44"/>
      <c r="AD89" s="44"/>
      <c r="AE89" s="43"/>
      <c r="AF89" s="44"/>
      <c r="AG89" s="45"/>
    </row>
    <row r="90" ht="12.75" customHeight="1" spans="1:33">
      <c r="A90" s="17"/>
      <c r="B90" s="17"/>
      <c r="C90" s="17">
        <v>37</v>
      </c>
      <c r="D90" s="18">
        <f>Reference!B448</f>
        <v>127.336</v>
      </c>
      <c r="E90" s="19">
        <f>Reference!C448</f>
        <v>37.2112</v>
      </c>
      <c r="F90" s="19">
        <f>Reference!D448</f>
        <v>42.9692</v>
      </c>
      <c r="G90" s="19">
        <f>Reference!E448</f>
        <v>43.5923</v>
      </c>
      <c r="H90" s="19">
        <f>Reference!F448</f>
        <v>9046</v>
      </c>
      <c r="I90" s="19">
        <f>Reference!G448</f>
        <v>9.488</v>
      </c>
      <c r="J90" s="19">
        <f t="shared" si="5"/>
        <v>2.51277777777778</v>
      </c>
      <c r="K90" s="31">
        <f>Reference!H448</f>
        <v>2194888</v>
      </c>
      <c r="L90" s="32">
        <f>Reference!I448</f>
        <v>493632</v>
      </c>
      <c r="N90" s="18">
        <f>Test!B448</f>
        <v>0</v>
      </c>
      <c r="O90" s="19">
        <f>Test!C448</f>
        <v>0</v>
      </c>
      <c r="P90" s="19">
        <f>Test!D448</f>
        <v>0</v>
      </c>
      <c r="Q90" s="19">
        <f>Test!E448</f>
        <v>0</v>
      </c>
      <c r="R90" s="19">
        <f>Test!F448</f>
        <v>0</v>
      </c>
      <c r="S90" s="19">
        <f>Test!G448</f>
        <v>0</v>
      </c>
      <c r="T90" s="19">
        <f t="shared" si="6"/>
        <v>0</v>
      </c>
      <c r="U90" s="31">
        <f>Test!H448</f>
        <v>0</v>
      </c>
      <c r="V90" s="32">
        <f>Test!I448</f>
        <v>0</v>
      </c>
      <c r="W90" s="16">
        <f t="shared" si="7"/>
        <v>0</v>
      </c>
      <c r="X90" s="16">
        <f t="shared" si="8"/>
        <v>0</v>
      </c>
      <c r="Y90" s="16">
        <f t="shared" si="4"/>
        <v>0</v>
      </c>
      <c r="Z90" s="25">
        <f t="shared" si="4"/>
        <v>0</v>
      </c>
      <c r="AA90" s="42"/>
      <c r="AB90" s="46"/>
      <c r="AC90" s="47"/>
      <c r="AD90" s="47"/>
      <c r="AE90" s="46"/>
      <c r="AF90" s="47"/>
      <c r="AG90" s="48"/>
    </row>
    <row r="91" spans="1:33">
      <c r="A91" s="11" t="s">
        <v>28</v>
      </c>
      <c r="B91" s="11" t="s">
        <v>91</v>
      </c>
      <c r="C91" s="11">
        <v>22</v>
      </c>
      <c r="D91" s="12">
        <f>Reference!B449</f>
        <v>2498.6864</v>
      </c>
      <c r="E91" s="13">
        <f>Reference!C449</f>
        <v>41.5615</v>
      </c>
      <c r="F91" s="13">
        <f>Reference!D449</f>
        <v>43.8623</v>
      </c>
      <c r="G91" s="13">
        <f>Reference!E449</f>
        <v>44.8334</v>
      </c>
      <c r="H91" s="13">
        <f>Reference!F449</f>
        <v>23979</v>
      </c>
      <c r="I91" s="13">
        <f>Reference!G449</f>
        <v>17.08</v>
      </c>
      <c r="J91" s="13">
        <f t="shared" ref="J91:J122" si="9">H91/3600</f>
        <v>6.66083333333333</v>
      </c>
      <c r="K91" s="27">
        <f>Reference!H449</f>
        <v>1652068</v>
      </c>
      <c r="L91" s="28">
        <f>Reference!I449</f>
        <v>435212</v>
      </c>
      <c r="N91" s="12">
        <f>Test!B449</f>
        <v>0</v>
      </c>
      <c r="O91" s="13">
        <f>Test!C449</f>
        <v>0</v>
      </c>
      <c r="P91" s="13">
        <f>Test!D449</f>
        <v>0</v>
      </c>
      <c r="Q91" s="13">
        <f>Test!E449</f>
        <v>0</v>
      </c>
      <c r="R91" s="13">
        <f>Test!F449</f>
        <v>0</v>
      </c>
      <c r="S91" s="13">
        <f>Test!G449</f>
        <v>0</v>
      </c>
      <c r="T91" s="13">
        <f t="shared" ref="T91:T122" si="10">R91/3600</f>
        <v>0</v>
      </c>
      <c r="U91" s="27">
        <f>Test!H449</f>
        <v>0</v>
      </c>
      <c r="V91" s="28">
        <f>Test!I449</f>
        <v>0</v>
      </c>
      <c r="W91" s="13">
        <f t="shared" ref="W91:W122" si="11">R91/H91</f>
        <v>0</v>
      </c>
      <c r="X91" s="13">
        <f t="shared" ref="X91:X122" si="12">S91/I91</f>
        <v>0</v>
      </c>
      <c r="Y91" s="13">
        <f t="shared" si="4"/>
        <v>0</v>
      </c>
      <c r="Z91" s="24">
        <f t="shared" si="4"/>
        <v>0</v>
      </c>
      <c r="AA91" s="38"/>
      <c r="AB91" s="39" t="e">
        <f>bdrate($D91:$D94,E91:E94,$N91:$N94,O91:O94)</f>
        <v>#VALUE!</v>
      </c>
      <c r="AC91" s="40" t="e">
        <f>bdrate($D91:$D94,F91:F94,$N91:$N94,P91:P94)</f>
        <v>#VALUE!</v>
      </c>
      <c r="AD91" s="41" t="e">
        <f>bdrate($D91:$D94,G91:G94,$N91:$N94,Q91:Q94)</f>
        <v>#VALUE!</v>
      </c>
      <c r="AE91" s="39" t="e">
        <f>bdrateOld($D91:$D94,E91:E94,$N91:$N94,O91:O94)</f>
        <v>#VALUE!</v>
      </c>
      <c r="AF91" s="40" t="e">
        <f>bdrateOld($D91:$D94,F91:F94,$N91:$N94,P91:P94)</f>
        <v>#VALUE!</v>
      </c>
      <c r="AG91" s="41" t="e">
        <f>bdrateOld($D91:$D94,G91:G94,$N91:$N94,Q91:Q94)</f>
        <v>#VALUE!</v>
      </c>
    </row>
    <row r="92" spans="1:33">
      <c r="A92" s="14"/>
      <c r="C92" s="14">
        <v>27</v>
      </c>
      <c r="D92" s="15">
        <f>Reference!B450</f>
        <v>1080.3184</v>
      </c>
      <c r="E92" s="16">
        <f>Reference!C450</f>
        <v>38.3096</v>
      </c>
      <c r="F92" s="16">
        <f>Reference!D450</f>
        <v>41.0482</v>
      </c>
      <c r="G92" s="16">
        <f>Reference!E450</f>
        <v>41.4818</v>
      </c>
      <c r="H92" s="16">
        <f>Reference!F450</f>
        <v>16624</v>
      </c>
      <c r="I92" s="16">
        <f>Reference!G450</f>
        <v>12.375</v>
      </c>
      <c r="J92" s="16">
        <f t="shared" si="9"/>
        <v>4.61777777777778</v>
      </c>
      <c r="K92" s="29">
        <f>Reference!H450</f>
        <v>1648112</v>
      </c>
      <c r="L92" s="30">
        <f>Reference!I450</f>
        <v>427740</v>
      </c>
      <c r="N92" s="15">
        <f>Test!B450</f>
        <v>0</v>
      </c>
      <c r="O92" s="16">
        <f>Test!C450</f>
        <v>0</v>
      </c>
      <c r="P92" s="16">
        <f>Test!D450</f>
        <v>0</v>
      </c>
      <c r="Q92" s="16">
        <f>Test!E450</f>
        <v>0</v>
      </c>
      <c r="R92" s="16">
        <f>Test!F450</f>
        <v>0</v>
      </c>
      <c r="S92" s="16">
        <f>Test!G450</f>
        <v>0</v>
      </c>
      <c r="T92" s="16">
        <f t="shared" si="10"/>
        <v>0</v>
      </c>
      <c r="U92" s="29">
        <f>Test!H450</f>
        <v>0</v>
      </c>
      <c r="V92" s="30">
        <f>Test!I450</f>
        <v>0</v>
      </c>
      <c r="W92" s="16">
        <f t="shared" si="11"/>
        <v>0</v>
      </c>
      <c r="X92" s="16">
        <f t="shared" si="12"/>
        <v>0</v>
      </c>
      <c r="Y92" s="16">
        <f t="shared" ref="Y92:Z122" si="13">U92/K92</f>
        <v>0</v>
      </c>
      <c r="Z92" s="25">
        <f t="shared" si="13"/>
        <v>0</v>
      </c>
      <c r="AA92" s="42"/>
      <c r="AB92" s="43"/>
      <c r="AC92" s="44"/>
      <c r="AD92" s="45"/>
      <c r="AE92" s="43"/>
      <c r="AF92" s="44"/>
      <c r="AG92" s="45"/>
    </row>
    <row r="93" spans="1:33">
      <c r="A93" s="14"/>
      <c r="B93" s="14"/>
      <c r="C93" s="14">
        <v>32</v>
      </c>
      <c r="D93" s="15">
        <f>Reference!B451</f>
        <v>532.1632</v>
      </c>
      <c r="E93" s="16">
        <f>Reference!C451</f>
        <v>35.2879</v>
      </c>
      <c r="F93" s="16">
        <f>Reference!D451</f>
        <v>39.083</v>
      </c>
      <c r="G93" s="16">
        <f>Reference!E451</f>
        <v>39.2991</v>
      </c>
      <c r="H93" s="16">
        <f>Reference!F451</f>
        <v>11852</v>
      </c>
      <c r="I93" s="16">
        <f>Reference!G451</f>
        <v>10.578</v>
      </c>
      <c r="J93" s="16">
        <f t="shared" si="9"/>
        <v>3.29222222222222</v>
      </c>
      <c r="K93" s="29">
        <f>Reference!H451</f>
        <v>1643224</v>
      </c>
      <c r="L93" s="30">
        <f>Reference!I451</f>
        <v>425604</v>
      </c>
      <c r="N93" s="15">
        <f>Test!B451</f>
        <v>0</v>
      </c>
      <c r="O93" s="16">
        <f>Test!C451</f>
        <v>0</v>
      </c>
      <c r="P93" s="16">
        <f>Test!D451</f>
        <v>0</v>
      </c>
      <c r="Q93" s="16">
        <f>Test!E451</f>
        <v>0</v>
      </c>
      <c r="R93" s="16">
        <f>Test!F451</f>
        <v>0</v>
      </c>
      <c r="S93" s="16">
        <f>Test!G451</f>
        <v>0</v>
      </c>
      <c r="T93" s="16">
        <f t="shared" si="10"/>
        <v>0</v>
      </c>
      <c r="U93" s="29">
        <f>Test!H451</f>
        <v>0</v>
      </c>
      <c r="V93" s="30">
        <f>Test!I451</f>
        <v>0</v>
      </c>
      <c r="W93" s="16">
        <f t="shared" si="11"/>
        <v>0</v>
      </c>
      <c r="X93" s="16">
        <f t="shared" si="12"/>
        <v>0</v>
      </c>
      <c r="Y93" s="16">
        <f t="shared" si="13"/>
        <v>0</v>
      </c>
      <c r="Z93" s="25">
        <f t="shared" si="13"/>
        <v>0</v>
      </c>
      <c r="AA93" s="42"/>
      <c r="AB93" s="43"/>
      <c r="AC93" s="44"/>
      <c r="AD93" s="45"/>
      <c r="AE93" s="43"/>
      <c r="AF93" s="44"/>
      <c r="AG93" s="45"/>
    </row>
    <row r="94" ht="12.75" customHeight="1" spans="1:33">
      <c r="A94" s="14"/>
      <c r="B94" s="17"/>
      <c r="C94" s="17">
        <v>37</v>
      </c>
      <c r="D94" s="18">
        <f>Reference!B452</f>
        <v>277.9024</v>
      </c>
      <c r="E94" s="19">
        <f>Reference!C452</f>
        <v>32.6398</v>
      </c>
      <c r="F94" s="19">
        <f>Reference!D452</f>
        <v>37.1821</v>
      </c>
      <c r="G94" s="19">
        <f>Reference!E452</f>
        <v>37.2155</v>
      </c>
      <c r="H94" s="19">
        <f>Reference!F452</f>
        <v>8620</v>
      </c>
      <c r="I94" s="19">
        <f>Reference!G452</f>
        <v>9.071</v>
      </c>
      <c r="J94" s="19">
        <f t="shared" si="9"/>
        <v>2.39444444444444</v>
      </c>
      <c r="K94" s="31">
        <f>Reference!H452</f>
        <v>1640676</v>
      </c>
      <c r="L94" s="32">
        <f>Reference!I452</f>
        <v>420960</v>
      </c>
      <c r="N94" s="18">
        <f>Test!B452</f>
        <v>0</v>
      </c>
      <c r="O94" s="19">
        <f>Test!C452</f>
        <v>0</v>
      </c>
      <c r="P94" s="19">
        <f>Test!D452</f>
        <v>0</v>
      </c>
      <c r="Q94" s="19">
        <f>Test!E452</f>
        <v>0</v>
      </c>
      <c r="R94" s="19">
        <f>Test!F452</f>
        <v>0</v>
      </c>
      <c r="S94" s="19">
        <f>Test!G452</f>
        <v>0</v>
      </c>
      <c r="T94" s="19">
        <f t="shared" si="10"/>
        <v>0</v>
      </c>
      <c r="U94" s="31">
        <f>Test!H452</f>
        <v>0</v>
      </c>
      <c r="V94" s="32">
        <f>Test!I452</f>
        <v>0</v>
      </c>
      <c r="W94" s="16">
        <f t="shared" si="11"/>
        <v>0</v>
      </c>
      <c r="X94" s="16">
        <f t="shared" si="12"/>
        <v>0</v>
      </c>
      <c r="Y94" s="16">
        <f t="shared" si="13"/>
        <v>0</v>
      </c>
      <c r="Z94" s="25">
        <f t="shared" si="13"/>
        <v>0</v>
      </c>
      <c r="AA94" s="42"/>
      <c r="AB94" s="46"/>
      <c r="AC94" s="47"/>
      <c r="AD94" s="48"/>
      <c r="AE94" s="46"/>
      <c r="AF94" s="47"/>
      <c r="AG94" s="48"/>
    </row>
    <row r="95" spans="1:33">
      <c r="A95" s="14"/>
      <c r="B95" s="11" t="s">
        <v>116</v>
      </c>
      <c r="C95" s="11">
        <v>22</v>
      </c>
      <c r="D95" s="12">
        <f>Reference!B453</f>
        <v>13777.9712</v>
      </c>
      <c r="E95" s="13">
        <f>Reference!C453</f>
        <v>43.2045</v>
      </c>
      <c r="F95" s="13">
        <f>Reference!D453</f>
        <v>44.3614</v>
      </c>
      <c r="G95" s="13">
        <f>Reference!E453</f>
        <v>44.8388</v>
      </c>
      <c r="H95" s="13">
        <f>Reference!F453</f>
        <v>120916</v>
      </c>
      <c r="I95" s="13">
        <f>Reference!G453</f>
        <v>98.781</v>
      </c>
      <c r="J95" s="13">
        <f t="shared" si="9"/>
        <v>33.5877777777778</v>
      </c>
      <c r="K95" s="27">
        <f>Reference!H453</f>
        <v>3911292</v>
      </c>
      <c r="L95" s="28">
        <f>Reference!I453</f>
        <v>775264</v>
      </c>
      <c r="N95" s="12">
        <f>Test!B453</f>
        <v>0</v>
      </c>
      <c r="O95" s="13">
        <f>Test!C453</f>
        <v>0</v>
      </c>
      <c r="P95" s="13">
        <f>Test!D453</f>
        <v>0</v>
      </c>
      <c r="Q95" s="13">
        <f>Test!E453</f>
        <v>0</v>
      </c>
      <c r="R95" s="13">
        <f>Test!F453</f>
        <v>0</v>
      </c>
      <c r="S95" s="13">
        <f>Test!G453</f>
        <v>0</v>
      </c>
      <c r="T95" s="13">
        <f t="shared" si="10"/>
        <v>0</v>
      </c>
      <c r="U95" s="27">
        <f>Test!H453</f>
        <v>0</v>
      </c>
      <c r="V95" s="28">
        <f>Test!I453</f>
        <v>0</v>
      </c>
      <c r="W95" s="16">
        <f t="shared" si="11"/>
        <v>0</v>
      </c>
      <c r="X95" s="16">
        <f t="shared" si="12"/>
        <v>0</v>
      </c>
      <c r="Y95" s="16">
        <f t="shared" si="13"/>
        <v>0</v>
      </c>
      <c r="Z95" s="25">
        <f t="shared" si="13"/>
        <v>0</v>
      </c>
      <c r="AA95" s="42"/>
      <c r="AB95" s="39" t="e">
        <f>bdrate($D95:$D98,E95:E98,$N95:$N98,O95:O98)</f>
        <v>#VALUE!</v>
      </c>
      <c r="AC95" s="40" t="e">
        <f>bdrate($D95:$D98,F95:F98,$N95:$N98,P95:P98)</f>
        <v>#VALUE!</v>
      </c>
      <c r="AD95" s="40" t="e">
        <f>bdrate($D95:$D98,G95:G98,$N95:$N98,Q95:Q98)</f>
        <v>#VALUE!</v>
      </c>
      <c r="AE95" s="49" t="e">
        <f>bdrateOld($D95:$D98,E95:E98,$N95:$N98,O95:O98)</f>
        <v>#VALUE!</v>
      </c>
      <c r="AF95" s="50" t="e">
        <f>bdrateOld($D95:$D98,F95:F98,$N95:$N98,P95:P98)</f>
        <v>#VALUE!</v>
      </c>
      <c r="AG95" s="52" t="e">
        <f>bdrateOld($D95:$D98,G95:G98,$N95:$N98,Q95:Q98)</f>
        <v>#VALUE!</v>
      </c>
    </row>
    <row r="96" spans="1:33">
      <c r="A96" s="14"/>
      <c r="B96" s="14"/>
      <c r="C96" s="14">
        <v>27</v>
      </c>
      <c r="D96" s="15">
        <f>Reference!B454</f>
        <v>5124.9664</v>
      </c>
      <c r="E96" s="16">
        <f>Reference!C454</f>
        <v>39.5299</v>
      </c>
      <c r="F96" s="16">
        <f>Reference!D454</f>
        <v>41.1643</v>
      </c>
      <c r="G96" s="16">
        <f>Reference!E454</f>
        <v>41.3973</v>
      </c>
      <c r="H96" s="16">
        <f>Reference!F454</f>
        <v>76988</v>
      </c>
      <c r="I96" s="16">
        <f>Reference!G454</f>
        <v>77.797</v>
      </c>
      <c r="J96" s="16">
        <f t="shared" si="9"/>
        <v>21.3855555555556</v>
      </c>
      <c r="K96" s="29">
        <f>Reference!H454</f>
        <v>3877092</v>
      </c>
      <c r="L96" s="30">
        <f>Reference!I454</f>
        <v>735200</v>
      </c>
      <c r="N96" s="15">
        <f>Test!B454</f>
        <v>0</v>
      </c>
      <c r="O96" s="16">
        <f>Test!C454</f>
        <v>0</v>
      </c>
      <c r="P96" s="16">
        <f>Test!D454</f>
        <v>0</v>
      </c>
      <c r="Q96" s="16">
        <f>Test!E454</f>
        <v>0</v>
      </c>
      <c r="R96" s="16">
        <f>Test!F454</f>
        <v>0</v>
      </c>
      <c r="S96" s="16">
        <f>Test!G454</f>
        <v>0</v>
      </c>
      <c r="T96" s="16">
        <f t="shared" si="10"/>
        <v>0</v>
      </c>
      <c r="U96" s="29">
        <f>Test!H454</f>
        <v>0</v>
      </c>
      <c r="V96" s="30">
        <f>Test!I454</f>
        <v>0</v>
      </c>
      <c r="W96" s="16">
        <f t="shared" si="11"/>
        <v>0</v>
      </c>
      <c r="X96" s="16">
        <f t="shared" si="12"/>
        <v>0</v>
      </c>
      <c r="Y96" s="16">
        <f t="shared" si="13"/>
        <v>0</v>
      </c>
      <c r="Z96" s="25">
        <f t="shared" si="13"/>
        <v>0</v>
      </c>
      <c r="AA96" s="42"/>
      <c r="AB96" s="43"/>
      <c r="AC96" s="44"/>
      <c r="AD96" s="44"/>
      <c r="AE96" s="43"/>
      <c r="AF96" s="44"/>
      <c r="AG96" s="45"/>
    </row>
    <row r="97" spans="1:33">
      <c r="A97" s="14"/>
      <c r="B97" s="14"/>
      <c r="C97" s="14">
        <v>32</v>
      </c>
      <c r="D97" s="15">
        <f>Reference!B455</f>
        <v>2192.5408</v>
      </c>
      <c r="E97" s="16">
        <f>Reference!C455</f>
        <v>36.4125</v>
      </c>
      <c r="F97" s="16">
        <f>Reference!D455</f>
        <v>39.0669</v>
      </c>
      <c r="G97" s="16">
        <f>Reference!E455</f>
        <v>39.1361</v>
      </c>
      <c r="H97" s="16">
        <f>Reference!F455</f>
        <v>53103</v>
      </c>
      <c r="I97" s="16">
        <f>Reference!G455</f>
        <v>52.778</v>
      </c>
      <c r="J97" s="16">
        <f t="shared" si="9"/>
        <v>14.7508333333333</v>
      </c>
      <c r="K97" s="29">
        <f>Reference!H455</f>
        <v>3868408</v>
      </c>
      <c r="L97" s="30">
        <f>Reference!I455</f>
        <v>717016</v>
      </c>
      <c r="N97" s="15">
        <f>Test!B455</f>
        <v>0</v>
      </c>
      <c r="O97" s="16">
        <f>Test!C455</f>
        <v>0</v>
      </c>
      <c r="P97" s="16">
        <f>Test!D455</f>
        <v>0</v>
      </c>
      <c r="Q97" s="16">
        <f>Test!E455</f>
        <v>0</v>
      </c>
      <c r="R97" s="16">
        <f>Test!F455</f>
        <v>0</v>
      </c>
      <c r="S97" s="16">
        <f>Test!G455</f>
        <v>0</v>
      </c>
      <c r="T97" s="16">
        <f t="shared" si="10"/>
        <v>0</v>
      </c>
      <c r="U97" s="29">
        <f>Test!H455</f>
        <v>0</v>
      </c>
      <c r="V97" s="30">
        <f>Test!I455</f>
        <v>0</v>
      </c>
      <c r="W97" s="16">
        <f t="shared" si="11"/>
        <v>0</v>
      </c>
      <c r="X97" s="16">
        <f t="shared" si="12"/>
        <v>0</v>
      </c>
      <c r="Y97" s="16">
        <f t="shared" si="13"/>
        <v>0</v>
      </c>
      <c r="Z97" s="25">
        <f t="shared" si="13"/>
        <v>0</v>
      </c>
      <c r="AA97" s="42"/>
      <c r="AB97" s="43"/>
      <c r="AC97" s="44"/>
      <c r="AD97" s="44"/>
      <c r="AE97" s="43"/>
      <c r="AF97" s="44"/>
      <c r="AG97" s="45"/>
    </row>
    <row r="98" ht="12.75" customHeight="1" spans="1:33">
      <c r="A98" s="14"/>
      <c r="B98" s="17"/>
      <c r="C98" s="17">
        <v>37</v>
      </c>
      <c r="D98" s="18">
        <f>Reference!B456</f>
        <v>1053.0096</v>
      </c>
      <c r="E98" s="19">
        <f>Reference!C456</f>
        <v>33.6997</v>
      </c>
      <c r="F98" s="19">
        <f>Reference!D456</f>
        <v>37.3347</v>
      </c>
      <c r="G98" s="19">
        <f>Reference!E456</f>
        <v>37.2469</v>
      </c>
      <c r="H98" s="19">
        <f>Reference!F456</f>
        <v>37251</v>
      </c>
      <c r="I98" s="19">
        <f>Reference!G456</f>
        <v>39.88</v>
      </c>
      <c r="J98" s="19">
        <f t="shared" si="9"/>
        <v>10.3475</v>
      </c>
      <c r="K98" s="31">
        <f>Reference!H456</f>
        <v>3837152</v>
      </c>
      <c r="L98" s="32">
        <f>Reference!I456</f>
        <v>671080</v>
      </c>
      <c r="N98" s="18">
        <f>Test!B456</f>
        <v>0</v>
      </c>
      <c r="O98" s="19">
        <f>Test!C456</f>
        <v>0</v>
      </c>
      <c r="P98" s="19">
        <f>Test!D456</f>
        <v>0</v>
      </c>
      <c r="Q98" s="19">
        <f>Test!E456</f>
        <v>0</v>
      </c>
      <c r="R98" s="19">
        <f>Test!F456</f>
        <v>0</v>
      </c>
      <c r="S98" s="19">
        <f>Test!G456</f>
        <v>0</v>
      </c>
      <c r="T98" s="19">
        <f t="shared" si="10"/>
        <v>0</v>
      </c>
      <c r="U98" s="31">
        <f>Test!H456</f>
        <v>0</v>
      </c>
      <c r="V98" s="32">
        <f>Test!I456</f>
        <v>0</v>
      </c>
      <c r="W98" s="16">
        <f t="shared" si="11"/>
        <v>0</v>
      </c>
      <c r="X98" s="16">
        <f t="shared" si="12"/>
        <v>0</v>
      </c>
      <c r="Y98" s="16">
        <f t="shared" si="13"/>
        <v>0</v>
      </c>
      <c r="Z98" s="25">
        <f t="shared" si="13"/>
        <v>0</v>
      </c>
      <c r="AA98" s="42"/>
      <c r="AB98" s="46"/>
      <c r="AC98" s="47"/>
      <c r="AD98" s="47"/>
      <c r="AE98" s="46"/>
      <c r="AF98" s="47"/>
      <c r="AG98" s="48"/>
    </row>
    <row r="99" spans="1:33">
      <c r="A99" s="14"/>
      <c r="B99" s="11" t="s">
        <v>93</v>
      </c>
      <c r="C99" s="11">
        <v>22</v>
      </c>
      <c r="D99" s="12">
        <f>Reference!B457</f>
        <v>185.2944</v>
      </c>
      <c r="E99" s="13">
        <f>Reference!C457</f>
        <v>49.1119</v>
      </c>
      <c r="F99" s="13">
        <f>Reference!D457</f>
        <v>48.1817</v>
      </c>
      <c r="G99" s="13">
        <f>Reference!E457</f>
        <v>48.2411</v>
      </c>
      <c r="H99" s="13">
        <f>Reference!F457</f>
        <v>5300</v>
      </c>
      <c r="I99" s="13">
        <f>Reference!G457</f>
        <v>2.466</v>
      </c>
      <c r="J99" s="13">
        <f t="shared" si="9"/>
        <v>1.47222222222222</v>
      </c>
      <c r="K99" s="27">
        <f>Reference!H457</f>
        <v>3090388</v>
      </c>
      <c r="L99" s="28">
        <f>Reference!I457</f>
        <v>468284</v>
      </c>
      <c r="N99" s="12">
        <f>Test!B457</f>
        <v>0</v>
      </c>
      <c r="O99" s="13">
        <f>Test!C457</f>
        <v>0</v>
      </c>
      <c r="P99" s="13">
        <f>Test!D457</f>
        <v>0</v>
      </c>
      <c r="Q99" s="13">
        <f>Test!E457</f>
        <v>0</v>
      </c>
      <c r="R99" s="13">
        <f>Test!F457</f>
        <v>0</v>
      </c>
      <c r="S99" s="13">
        <f>Test!G457</f>
        <v>0</v>
      </c>
      <c r="T99" s="13">
        <f t="shared" si="10"/>
        <v>0</v>
      </c>
      <c r="U99" s="27">
        <f>Test!H457</f>
        <v>0</v>
      </c>
      <c r="V99" s="28">
        <f>Test!I457</f>
        <v>0</v>
      </c>
      <c r="W99" s="16">
        <f t="shared" si="11"/>
        <v>0</v>
      </c>
      <c r="X99" s="16">
        <f t="shared" si="12"/>
        <v>0</v>
      </c>
      <c r="Y99" s="16">
        <f t="shared" si="13"/>
        <v>0</v>
      </c>
      <c r="Z99" s="25">
        <f t="shared" si="13"/>
        <v>0</v>
      </c>
      <c r="AA99" s="42"/>
      <c r="AB99" s="39" t="e">
        <f>bdrate($D99:$D102,E99:E102,$N99:$N102,O99:O102)</f>
        <v>#VALUE!</v>
      </c>
      <c r="AC99" s="40" t="e">
        <f>bdrate($D99:$D102,F99:F102,$N99:$N102,P99:P102)</f>
        <v>#VALUE!</v>
      </c>
      <c r="AD99" s="40" t="e">
        <f>bdrate($D99:$D102,G99:G102,$N99:$N102,Q99:Q102)</f>
        <v>#VALUE!</v>
      </c>
      <c r="AE99" s="49" t="e">
        <f>bdrateOld($D99:$D102,E99:E102,$N99:$N102,O99:O102)</f>
        <v>#VALUE!</v>
      </c>
      <c r="AF99" s="50" t="e">
        <f>bdrateOld($D99:$D102,F99:F102,$N99:$N102,P99:P102)</f>
        <v>#VALUE!</v>
      </c>
      <c r="AG99" s="52" t="e">
        <f>bdrateOld($D99:$D102,G99:G102,$N99:$N102,Q99:Q102)</f>
        <v>#VALUE!</v>
      </c>
    </row>
    <row r="100" spans="1:33">
      <c r="A100" s="14"/>
      <c r="B100" s="14"/>
      <c r="C100" s="14">
        <v>27</v>
      </c>
      <c r="D100" s="15">
        <f>Reference!B458</f>
        <v>140.32</v>
      </c>
      <c r="E100" s="16">
        <f>Reference!C458</f>
        <v>45.1342</v>
      </c>
      <c r="F100" s="16">
        <f>Reference!D458</f>
        <v>45.6706</v>
      </c>
      <c r="G100" s="16">
        <f>Reference!E458</f>
        <v>45.3675</v>
      </c>
      <c r="H100" s="16">
        <f>Reference!F458</f>
        <v>4980</v>
      </c>
      <c r="I100" s="16">
        <f>Reference!G458</f>
        <v>2.335</v>
      </c>
      <c r="J100" s="16">
        <f t="shared" si="9"/>
        <v>1.38333333333333</v>
      </c>
      <c r="K100" s="29">
        <f>Reference!H458</f>
        <v>3081320</v>
      </c>
      <c r="L100" s="30">
        <f>Reference!I458</f>
        <v>464856</v>
      </c>
      <c r="N100" s="15">
        <f>Test!B458</f>
        <v>0</v>
      </c>
      <c r="O100" s="16">
        <f>Test!C458</f>
        <v>0</v>
      </c>
      <c r="P100" s="16">
        <f>Test!D458</f>
        <v>0</v>
      </c>
      <c r="Q100" s="16">
        <f>Test!E458</f>
        <v>0</v>
      </c>
      <c r="R100" s="16">
        <f>Test!F458</f>
        <v>0</v>
      </c>
      <c r="S100" s="16">
        <f>Test!G458</f>
        <v>0</v>
      </c>
      <c r="T100" s="16">
        <f t="shared" si="10"/>
        <v>0</v>
      </c>
      <c r="U100" s="29">
        <f>Test!H458</f>
        <v>0</v>
      </c>
      <c r="V100" s="30">
        <f>Test!I458</f>
        <v>0</v>
      </c>
      <c r="W100" s="16">
        <f t="shared" si="11"/>
        <v>0</v>
      </c>
      <c r="X100" s="16">
        <f t="shared" si="12"/>
        <v>0</v>
      </c>
      <c r="Y100" s="16">
        <f t="shared" si="13"/>
        <v>0</v>
      </c>
      <c r="Z100" s="25">
        <f t="shared" si="13"/>
        <v>0</v>
      </c>
      <c r="AA100" s="42"/>
      <c r="AB100" s="43"/>
      <c r="AC100" s="44"/>
      <c r="AD100" s="44"/>
      <c r="AE100" s="43"/>
      <c r="AF100" s="44"/>
      <c r="AG100" s="45"/>
    </row>
    <row r="101" spans="1:33">
      <c r="A101" s="14"/>
      <c r="B101" s="14"/>
      <c r="C101" s="14">
        <v>32</v>
      </c>
      <c r="D101" s="15">
        <f>Reference!B459</f>
        <v>110.6576</v>
      </c>
      <c r="E101" s="16">
        <f>Reference!C459</f>
        <v>40.789</v>
      </c>
      <c r="F101" s="16">
        <f>Reference!D459</f>
        <v>43.3312</v>
      </c>
      <c r="G101" s="16">
        <f>Reference!E459</f>
        <v>42.9424</v>
      </c>
      <c r="H101" s="16">
        <f>Reference!F459</f>
        <v>4849</v>
      </c>
      <c r="I101" s="16">
        <f>Reference!G459</f>
        <v>2.118</v>
      </c>
      <c r="J101" s="16">
        <f t="shared" si="9"/>
        <v>1.34694444444444</v>
      </c>
      <c r="K101" s="29">
        <f>Reference!H459</f>
        <v>3083936</v>
      </c>
      <c r="L101" s="30">
        <f>Reference!I459</f>
        <v>466432</v>
      </c>
      <c r="N101" s="15">
        <f>Test!B459</f>
        <v>0</v>
      </c>
      <c r="O101" s="16">
        <f>Test!C459</f>
        <v>0</v>
      </c>
      <c r="P101" s="16">
        <f>Test!D459</f>
        <v>0</v>
      </c>
      <c r="Q101" s="16">
        <f>Test!E459</f>
        <v>0</v>
      </c>
      <c r="R101" s="16">
        <f>Test!F459</f>
        <v>0</v>
      </c>
      <c r="S101" s="16">
        <f>Test!G459</f>
        <v>0</v>
      </c>
      <c r="T101" s="16">
        <f t="shared" si="10"/>
        <v>0</v>
      </c>
      <c r="U101" s="29">
        <f>Test!H459</f>
        <v>0</v>
      </c>
      <c r="V101" s="30">
        <f>Test!I459</f>
        <v>0</v>
      </c>
      <c r="W101" s="16">
        <f t="shared" si="11"/>
        <v>0</v>
      </c>
      <c r="X101" s="16">
        <f t="shared" si="12"/>
        <v>0</v>
      </c>
      <c r="Y101" s="16">
        <f t="shared" si="13"/>
        <v>0</v>
      </c>
      <c r="Z101" s="25">
        <f t="shared" si="13"/>
        <v>0</v>
      </c>
      <c r="AA101" s="42"/>
      <c r="AB101" s="43"/>
      <c r="AC101" s="44"/>
      <c r="AD101" s="44"/>
      <c r="AE101" s="43"/>
      <c r="AF101" s="44"/>
      <c r="AG101" s="45"/>
    </row>
    <row r="102" ht="12.75" customHeight="1" spans="1:33">
      <c r="A102" s="14"/>
      <c r="B102" s="17"/>
      <c r="C102" s="17">
        <v>37</v>
      </c>
      <c r="D102" s="18">
        <f>Reference!B460</f>
        <v>85.144</v>
      </c>
      <c r="E102" s="19">
        <f>Reference!C460</f>
        <v>35.9866</v>
      </c>
      <c r="F102" s="19">
        <f>Reference!D460</f>
        <v>40.7169</v>
      </c>
      <c r="G102" s="19">
        <f>Reference!E460</f>
        <v>40.4745</v>
      </c>
      <c r="H102" s="19">
        <f>Reference!F460</f>
        <v>4655</v>
      </c>
      <c r="I102" s="19">
        <f>Reference!G460</f>
        <v>2.285</v>
      </c>
      <c r="J102" s="19">
        <f t="shared" si="9"/>
        <v>1.29305555555556</v>
      </c>
      <c r="K102" s="31">
        <f>Reference!H460</f>
        <v>3080672</v>
      </c>
      <c r="L102" s="32">
        <f>Reference!I460</f>
        <v>463172</v>
      </c>
      <c r="N102" s="18">
        <f>Test!B460</f>
        <v>0</v>
      </c>
      <c r="O102" s="19">
        <f>Test!C460</f>
        <v>0</v>
      </c>
      <c r="P102" s="19">
        <f>Test!D460</f>
        <v>0</v>
      </c>
      <c r="Q102" s="19">
        <f>Test!E460</f>
        <v>0</v>
      </c>
      <c r="R102" s="19">
        <f>Test!F460</f>
        <v>0</v>
      </c>
      <c r="S102" s="19">
        <f>Test!G460</f>
        <v>0</v>
      </c>
      <c r="T102" s="19">
        <f t="shared" si="10"/>
        <v>0</v>
      </c>
      <c r="U102" s="31">
        <f>Test!H460</f>
        <v>0</v>
      </c>
      <c r="V102" s="32">
        <f>Test!I460</f>
        <v>0</v>
      </c>
      <c r="W102" s="16">
        <f t="shared" si="11"/>
        <v>0</v>
      </c>
      <c r="X102" s="16">
        <f t="shared" si="12"/>
        <v>0</v>
      </c>
      <c r="Y102" s="16">
        <f t="shared" si="13"/>
        <v>0</v>
      </c>
      <c r="Z102" s="25">
        <f t="shared" si="13"/>
        <v>0</v>
      </c>
      <c r="AA102" s="42"/>
      <c r="AB102" s="46"/>
      <c r="AC102" s="47"/>
      <c r="AD102" s="47"/>
      <c r="AE102" s="46"/>
      <c r="AF102" s="47"/>
      <c r="AG102" s="48"/>
    </row>
    <row r="103" spans="1:33">
      <c r="A103" s="14"/>
      <c r="B103" s="11" t="s">
        <v>94</v>
      </c>
      <c r="C103" s="11">
        <v>22</v>
      </c>
      <c r="D103" s="12">
        <f>Reference!B461</f>
        <v>440.8752</v>
      </c>
      <c r="E103" s="13">
        <f>Reference!C461</f>
        <v>50.4442</v>
      </c>
      <c r="F103" s="13">
        <f>Reference!D461</f>
        <v>52.5328</v>
      </c>
      <c r="G103" s="13">
        <f>Reference!E461</f>
        <v>54.4799</v>
      </c>
      <c r="H103" s="13">
        <f>Reference!F461</f>
        <v>6292</v>
      </c>
      <c r="I103" s="13">
        <f>Reference!G461</f>
        <v>6.39</v>
      </c>
      <c r="J103" s="13">
        <f t="shared" si="9"/>
        <v>1.74777777777778</v>
      </c>
      <c r="K103" s="27">
        <f>Reference!H461</f>
        <v>3005272</v>
      </c>
      <c r="L103" s="28">
        <f>Reference!I461</f>
        <v>468080</v>
      </c>
      <c r="N103" s="12">
        <f>Test!B461</f>
        <v>0</v>
      </c>
      <c r="O103" s="13">
        <f>Test!C461</f>
        <v>0</v>
      </c>
      <c r="P103" s="13">
        <f>Test!D461</f>
        <v>0</v>
      </c>
      <c r="Q103" s="13">
        <f>Test!E461</f>
        <v>0</v>
      </c>
      <c r="R103" s="13">
        <f>Test!F461</f>
        <v>0</v>
      </c>
      <c r="S103" s="13">
        <f>Test!G461</f>
        <v>0</v>
      </c>
      <c r="T103" s="13">
        <f t="shared" si="10"/>
        <v>0</v>
      </c>
      <c r="U103" s="27">
        <f>Test!H461</f>
        <v>0</v>
      </c>
      <c r="V103" s="28">
        <f>Test!I461</f>
        <v>0</v>
      </c>
      <c r="W103" s="16">
        <f t="shared" si="11"/>
        <v>0</v>
      </c>
      <c r="X103" s="16">
        <f t="shared" si="12"/>
        <v>0</v>
      </c>
      <c r="Y103" s="16">
        <f t="shared" si="13"/>
        <v>0</v>
      </c>
      <c r="Z103" s="25">
        <f t="shared" si="13"/>
        <v>0</v>
      </c>
      <c r="AA103" s="42"/>
      <c r="AB103" s="39" t="e">
        <f>bdrate($D103:$D106,E103:E106,$N103:$N106,O103:O106)</f>
        <v>#VALUE!</v>
      </c>
      <c r="AC103" s="40" t="e">
        <f>bdrate($D103:$D106,F103:F106,$N103:$N106,P103:P106)</f>
        <v>#VALUE!</v>
      </c>
      <c r="AD103" s="40" t="e">
        <f>bdrate($D103:$D106,G103:G106,$N103:$N106,Q103:Q106)</f>
        <v>#VALUE!</v>
      </c>
      <c r="AE103" s="49" t="e">
        <f>bdrateOld($D103:$D106,E103:E106,$N103:$N106,O103:O106)</f>
        <v>#VALUE!</v>
      </c>
      <c r="AF103" s="50" t="e">
        <f>bdrateOld($D103:$D106,F103:F106,$N103:$N106,P103:P106)</f>
        <v>#VALUE!</v>
      </c>
      <c r="AG103" s="52" t="e">
        <f>bdrateOld($D103:$D106,G103:G106,$N103:$N106,Q103:Q106)</f>
        <v>#VALUE!</v>
      </c>
    </row>
    <row r="104" spans="1:33">
      <c r="A104" s="14"/>
      <c r="B104" s="14"/>
      <c r="C104" s="14">
        <v>27</v>
      </c>
      <c r="D104" s="15">
        <f>Reference!B462</f>
        <v>201.024</v>
      </c>
      <c r="E104" s="16">
        <f>Reference!C462</f>
        <v>46.4374</v>
      </c>
      <c r="F104" s="16">
        <f>Reference!D462</f>
        <v>49.3484</v>
      </c>
      <c r="G104" s="16">
        <f>Reference!E462</f>
        <v>51.4178</v>
      </c>
      <c r="H104" s="16">
        <f>Reference!F462</f>
        <v>5204</v>
      </c>
      <c r="I104" s="16">
        <f>Reference!G462</f>
        <v>6.335</v>
      </c>
      <c r="J104" s="16">
        <f t="shared" si="9"/>
        <v>1.44555555555556</v>
      </c>
      <c r="K104" s="29">
        <f>Reference!H462</f>
        <v>3002724</v>
      </c>
      <c r="L104" s="30">
        <f>Reference!I462</f>
        <v>457344</v>
      </c>
      <c r="N104" s="15">
        <f>Test!B462</f>
        <v>0</v>
      </c>
      <c r="O104" s="16">
        <f>Test!C462</f>
        <v>0</v>
      </c>
      <c r="P104" s="16">
        <f>Test!D462</f>
        <v>0</v>
      </c>
      <c r="Q104" s="16">
        <f>Test!E462</f>
        <v>0</v>
      </c>
      <c r="R104" s="16">
        <f>Test!F462</f>
        <v>0</v>
      </c>
      <c r="S104" s="16">
        <f>Test!G462</f>
        <v>0</v>
      </c>
      <c r="T104" s="16">
        <f t="shared" si="10"/>
        <v>0</v>
      </c>
      <c r="U104" s="29">
        <f>Test!H462</f>
        <v>0</v>
      </c>
      <c r="V104" s="30">
        <f>Test!I462</f>
        <v>0</v>
      </c>
      <c r="W104" s="16">
        <f t="shared" si="11"/>
        <v>0</v>
      </c>
      <c r="X104" s="16">
        <f t="shared" si="12"/>
        <v>0</v>
      </c>
      <c r="Y104" s="16">
        <f t="shared" si="13"/>
        <v>0</v>
      </c>
      <c r="Z104" s="25">
        <f t="shared" si="13"/>
        <v>0</v>
      </c>
      <c r="AA104" s="42"/>
      <c r="AB104" s="43"/>
      <c r="AC104" s="44"/>
      <c r="AD104" s="44"/>
      <c r="AE104" s="43"/>
      <c r="AF104" s="44"/>
      <c r="AG104" s="45"/>
    </row>
    <row r="105" spans="1:33">
      <c r="A105" s="14"/>
      <c r="B105" s="14"/>
      <c r="C105" s="14">
        <v>32</v>
      </c>
      <c r="D105" s="15">
        <f>Reference!B463</f>
        <v>107.8512</v>
      </c>
      <c r="E105" s="16">
        <f>Reference!C463</f>
        <v>43.0521</v>
      </c>
      <c r="F105" s="16">
        <f>Reference!D463</f>
        <v>47.2172</v>
      </c>
      <c r="G105" s="16">
        <f>Reference!E463</f>
        <v>49.3801</v>
      </c>
      <c r="H105" s="16">
        <f>Reference!F463</f>
        <v>4229</v>
      </c>
      <c r="I105" s="16">
        <f>Reference!G463</f>
        <v>6.294</v>
      </c>
      <c r="J105" s="16">
        <f t="shared" si="9"/>
        <v>1.17472222222222</v>
      </c>
      <c r="K105" s="29">
        <f>Reference!H463</f>
        <v>3001152</v>
      </c>
      <c r="L105" s="30">
        <f>Reference!I463</f>
        <v>449324</v>
      </c>
      <c r="N105" s="15">
        <f>Test!B463</f>
        <v>0</v>
      </c>
      <c r="O105" s="16">
        <f>Test!C463</f>
        <v>0</v>
      </c>
      <c r="P105" s="16">
        <f>Test!D463</f>
        <v>0</v>
      </c>
      <c r="Q105" s="16">
        <f>Test!E463</f>
        <v>0</v>
      </c>
      <c r="R105" s="16">
        <f>Test!F463</f>
        <v>0</v>
      </c>
      <c r="S105" s="16">
        <f>Test!G463</f>
        <v>0</v>
      </c>
      <c r="T105" s="16">
        <f t="shared" si="10"/>
        <v>0</v>
      </c>
      <c r="U105" s="29">
        <f>Test!H463</f>
        <v>0</v>
      </c>
      <c r="V105" s="30">
        <f>Test!I463</f>
        <v>0</v>
      </c>
      <c r="W105" s="16">
        <f t="shared" si="11"/>
        <v>0</v>
      </c>
      <c r="X105" s="16">
        <f t="shared" si="12"/>
        <v>0</v>
      </c>
      <c r="Y105" s="16">
        <f t="shared" si="13"/>
        <v>0</v>
      </c>
      <c r="Z105" s="25">
        <f t="shared" si="13"/>
        <v>0</v>
      </c>
      <c r="AA105" s="42"/>
      <c r="AB105" s="43"/>
      <c r="AC105" s="44"/>
      <c r="AD105" s="44"/>
      <c r="AE105" s="43"/>
      <c r="AF105" s="44"/>
      <c r="AG105" s="45"/>
    </row>
    <row r="106" ht="12.75" customHeight="1" spans="1:33">
      <c r="A106" s="17"/>
      <c r="B106" s="17"/>
      <c r="C106" s="17">
        <v>37</v>
      </c>
      <c r="D106" s="18">
        <f>Reference!B464</f>
        <v>70.0384</v>
      </c>
      <c r="E106" s="19">
        <f>Reference!C464</f>
        <v>39.842</v>
      </c>
      <c r="F106" s="19">
        <f>Reference!D464</f>
        <v>45.0265</v>
      </c>
      <c r="G106" s="19">
        <f>Reference!E464</f>
        <v>46.8581</v>
      </c>
      <c r="H106" s="19">
        <f>Reference!F464</f>
        <v>3567</v>
      </c>
      <c r="I106" s="19">
        <f>Reference!G464</f>
        <v>6.086</v>
      </c>
      <c r="J106" s="19">
        <f t="shared" si="9"/>
        <v>0.990833333333333</v>
      </c>
      <c r="K106" s="31">
        <f>Reference!H464</f>
        <v>2999144</v>
      </c>
      <c r="L106" s="32">
        <f>Reference!I464</f>
        <v>455272</v>
      </c>
      <c r="N106" s="18">
        <f>Test!B464</f>
        <v>0</v>
      </c>
      <c r="O106" s="19">
        <f>Test!C464</f>
        <v>0</v>
      </c>
      <c r="P106" s="19">
        <f>Test!D464</f>
        <v>0</v>
      </c>
      <c r="Q106" s="19">
        <f>Test!E464</f>
        <v>0</v>
      </c>
      <c r="R106" s="19">
        <f>Test!F464</f>
        <v>0</v>
      </c>
      <c r="S106" s="19">
        <f>Test!G464</f>
        <v>0</v>
      </c>
      <c r="T106" s="19">
        <f t="shared" si="10"/>
        <v>0</v>
      </c>
      <c r="U106" s="31">
        <f>Test!H464</f>
        <v>0</v>
      </c>
      <c r="V106" s="32">
        <f>Test!I464</f>
        <v>0</v>
      </c>
      <c r="W106" s="19">
        <f t="shared" si="11"/>
        <v>0</v>
      </c>
      <c r="X106" s="19">
        <f t="shared" si="12"/>
        <v>0</v>
      </c>
      <c r="Y106" s="19">
        <f t="shared" si="13"/>
        <v>0</v>
      </c>
      <c r="Z106" s="26">
        <f t="shared" si="13"/>
        <v>0</v>
      </c>
      <c r="AA106" s="51"/>
      <c r="AB106" s="46"/>
      <c r="AC106" s="47"/>
      <c r="AD106" s="47"/>
      <c r="AE106" s="46"/>
      <c r="AF106" s="47"/>
      <c r="AG106" s="48"/>
    </row>
    <row r="107" spans="1:33">
      <c r="A107" s="11" t="s">
        <v>29</v>
      </c>
      <c r="B107" s="11" t="s">
        <v>117</v>
      </c>
      <c r="C107" s="11">
        <v>22</v>
      </c>
      <c r="D107" s="12">
        <f>Reference!B465</f>
        <v>22161.9008</v>
      </c>
      <c r="E107" s="13">
        <f>Reference!C465</f>
        <v>45.9167</v>
      </c>
      <c r="F107" s="13">
        <f>Reference!D465</f>
        <v>45.2068</v>
      </c>
      <c r="G107" s="13">
        <f>Reference!E465</f>
        <v>45.3736</v>
      </c>
      <c r="H107" s="13">
        <f>Reference!F465</f>
        <v>144511</v>
      </c>
      <c r="I107" s="13">
        <f>Reference!G465</f>
        <v>109.61</v>
      </c>
      <c r="J107" s="13">
        <f t="shared" si="9"/>
        <v>40.1419444444444</v>
      </c>
      <c r="K107" s="27">
        <f>Reference!H465</f>
        <v>5069156</v>
      </c>
      <c r="L107" s="28">
        <f>Reference!I465</f>
        <v>726612</v>
      </c>
      <c r="N107" s="12">
        <f>Test!B465</f>
        <v>0</v>
      </c>
      <c r="O107" s="13">
        <f>Test!C465</f>
        <v>0</v>
      </c>
      <c r="P107" s="13">
        <f>Test!D465</f>
        <v>0</v>
      </c>
      <c r="Q107" s="13">
        <f>Test!E465</f>
        <v>0</v>
      </c>
      <c r="R107" s="13">
        <f>Test!F465</f>
        <v>0</v>
      </c>
      <c r="S107" s="13">
        <f>Test!G465</f>
        <v>0</v>
      </c>
      <c r="T107" s="13">
        <f t="shared" si="10"/>
        <v>0</v>
      </c>
      <c r="U107" s="27">
        <f>Test!H465</f>
        <v>0</v>
      </c>
      <c r="V107" s="28">
        <f>Test!I465</f>
        <v>0</v>
      </c>
      <c r="W107" s="13">
        <f t="shared" si="11"/>
        <v>0</v>
      </c>
      <c r="X107" s="13">
        <f t="shared" si="12"/>
        <v>0</v>
      </c>
      <c r="Y107" s="13">
        <f t="shared" si="13"/>
        <v>0</v>
      </c>
      <c r="Z107" s="24">
        <f t="shared" si="13"/>
        <v>0</v>
      </c>
      <c r="AA107" s="38"/>
      <c r="AB107" s="39" t="e">
        <f>bdrate($D107:$D110,E107:E110,$N107:$N110,O107:O110)</f>
        <v>#VALUE!</v>
      </c>
      <c r="AC107" s="40" t="e">
        <f>bdrate($D107:$D110,F107:F110,$N107:$N110,P107:P110)</f>
        <v>#VALUE!</v>
      </c>
      <c r="AD107" s="41" t="e">
        <f>bdrate($D107:$D110,G107:G110,$N107:$N110,Q107:Q110)</f>
        <v>#VALUE!</v>
      </c>
      <c r="AE107" s="39" t="e">
        <f>bdrateOld($D107:$D110,E107:E110,$N107:$N110,O107:O110)</f>
        <v>#VALUE!</v>
      </c>
      <c r="AF107" s="40" t="e">
        <f>bdrateOld($D107:$D110,F107:F110,$N107:$N110,P107:P110)</f>
        <v>#VALUE!</v>
      </c>
      <c r="AG107" s="41" t="e">
        <f>bdrateOld($D107:$D110,G107:G110,$N107:$N110,Q107:Q110)</f>
        <v>#VALUE!</v>
      </c>
    </row>
    <row r="108" spans="1:33">
      <c r="A108" s="14"/>
      <c r="C108" s="14">
        <v>27</v>
      </c>
      <c r="D108" s="15">
        <f>Reference!B466</f>
        <v>11167.6432</v>
      </c>
      <c r="E108" s="16">
        <f>Reference!C466</f>
        <v>40.3703</v>
      </c>
      <c r="F108" s="16">
        <f>Reference!D466</f>
        <v>40.598</v>
      </c>
      <c r="G108" s="16">
        <f>Reference!E466</f>
        <v>40.9773</v>
      </c>
      <c r="H108" s="16">
        <f>Reference!F466</f>
        <v>122874</v>
      </c>
      <c r="I108" s="16">
        <f>Reference!G466</f>
        <v>101.233</v>
      </c>
      <c r="J108" s="16">
        <f t="shared" si="9"/>
        <v>34.1316666666667</v>
      </c>
      <c r="K108" s="29">
        <f>Reference!H466</f>
        <v>5085684</v>
      </c>
      <c r="L108" s="30">
        <f>Reference!I466</f>
        <v>749484</v>
      </c>
      <c r="N108" s="15">
        <f>Test!B466</f>
        <v>0</v>
      </c>
      <c r="O108" s="16">
        <f>Test!C466</f>
        <v>0</v>
      </c>
      <c r="P108" s="16">
        <f>Test!D466</f>
        <v>0</v>
      </c>
      <c r="Q108" s="16">
        <f>Test!E466</f>
        <v>0</v>
      </c>
      <c r="R108" s="16">
        <f>Test!F466</f>
        <v>0</v>
      </c>
      <c r="S108" s="16">
        <f>Test!G466</f>
        <v>0</v>
      </c>
      <c r="T108" s="16">
        <f t="shared" si="10"/>
        <v>0</v>
      </c>
      <c r="U108" s="29">
        <f>Test!H466</f>
        <v>0</v>
      </c>
      <c r="V108" s="30">
        <f>Test!I466</f>
        <v>0</v>
      </c>
      <c r="W108" s="16">
        <f t="shared" si="11"/>
        <v>0</v>
      </c>
      <c r="X108" s="16">
        <f t="shared" si="12"/>
        <v>0</v>
      </c>
      <c r="Y108" s="16">
        <f t="shared" si="13"/>
        <v>0</v>
      </c>
      <c r="Z108" s="25">
        <f t="shared" si="13"/>
        <v>0</v>
      </c>
      <c r="AA108" s="42"/>
      <c r="AB108" s="43"/>
      <c r="AC108" s="44"/>
      <c r="AD108" s="45"/>
      <c r="AE108" s="43"/>
      <c r="AF108" s="44"/>
      <c r="AG108" s="45"/>
    </row>
    <row r="109" spans="1:33">
      <c r="A109" s="14"/>
      <c r="B109" s="14"/>
      <c r="C109" s="14">
        <v>32</v>
      </c>
      <c r="D109" s="15">
        <f>Reference!B467</f>
        <v>6381.032</v>
      </c>
      <c r="E109" s="16">
        <f>Reference!C467</f>
        <v>36.1058</v>
      </c>
      <c r="F109" s="16">
        <f>Reference!D467</f>
        <v>38.247</v>
      </c>
      <c r="G109" s="16">
        <f>Reference!E467</f>
        <v>38.7822</v>
      </c>
      <c r="H109" s="16">
        <f>Reference!F467</f>
        <v>100661</v>
      </c>
      <c r="I109" s="16">
        <f>Reference!G467</f>
        <v>96.078</v>
      </c>
      <c r="J109" s="16">
        <f t="shared" si="9"/>
        <v>27.9613888888889</v>
      </c>
      <c r="K109" s="29">
        <f>Reference!H467</f>
        <v>5073016</v>
      </c>
      <c r="L109" s="30">
        <f>Reference!I467</f>
        <v>737928</v>
      </c>
      <c r="N109" s="15">
        <f>Test!B467</f>
        <v>0</v>
      </c>
      <c r="O109" s="16">
        <f>Test!C467</f>
        <v>0</v>
      </c>
      <c r="P109" s="16">
        <f>Test!D467</f>
        <v>0</v>
      </c>
      <c r="Q109" s="16">
        <f>Test!E467</f>
        <v>0</v>
      </c>
      <c r="R109" s="16">
        <f>Test!F467</f>
        <v>0</v>
      </c>
      <c r="S109" s="16">
        <f>Test!G467</f>
        <v>0</v>
      </c>
      <c r="T109" s="16">
        <f t="shared" si="10"/>
        <v>0</v>
      </c>
      <c r="U109" s="29">
        <f>Test!H467</f>
        <v>0</v>
      </c>
      <c r="V109" s="30">
        <f>Test!I467</f>
        <v>0</v>
      </c>
      <c r="W109" s="16">
        <f t="shared" si="11"/>
        <v>0</v>
      </c>
      <c r="X109" s="16">
        <f t="shared" si="12"/>
        <v>0</v>
      </c>
      <c r="Y109" s="16">
        <f t="shared" si="13"/>
        <v>0</v>
      </c>
      <c r="Z109" s="25">
        <f t="shared" si="13"/>
        <v>0</v>
      </c>
      <c r="AA109" s="42"/>
      <c r="AB109" s="43"/>
      <c r="AC109" s="44"/>
      <c r="AD109" s="45"/>
      <c r="AE109" s="43"/>
      <c r="AF109" s="44"/>
      <c r="AG109" s="45"/>
    </row>
    <row r="110" ht="12.75" spans="1:33">
      <c r="A110" s="14"/>
      <c r="B110" s="17"/>
      <c r="C110" s="17">
        <v>37</v>
      </c>
      <c r="D110" s="18">
        <f>Reference!B468</f>
        <v>3704.4544</v>
      </c>
      <c r="E110" s="19">
        <f>Reference!C468</f>
        <v>32.223</v>
      </c>
      <c r="F110" s="19">
        <f>Reference!D468</f>
        <v>35.2665</v>
      </c>
      <c r="G110" s="19">
        <f>Reference!E468</f>
        <v>35.9365</v>
      </c>
      <c r="H110" s="19">
        <f>Reference!F468</f>
        <v>75805</v>
      </c>
      <c r="I110" s="19">
        <f>Reference!G468</f>
        <v>84.48</v>
      </c>
      <c r="J110" s="19">
        <f t="shared" si="9"/>
        <v>21.0569444444444</v>
      </c>
      <c r="K110" s="31">
        <f>Reference!H468</f>
        <v>5065888</v>
      </c>
      <c r="L110" s="32">
        <f>Reference!I468</f>
        <v>739348</v>
      </c>
      <c r="N110" s="18">
        <f>Test!B468</f>
        <v>0</v>
      </c>
      <c r="O110" s="19">
        <f>Test!C468</f>
        <v>0</v>
      </c>
      <c r="P110" s="19">
        <f>Test!D468</f>
        <v>0</v>
      </c>
      <c r="Q110" s="19">
        <f>Test!E468</f>
        <v>0</v>
      </c>
      <c r="R110" s="19">
        <f>Test!F468</f>
        <v>0</v>
      </c>
      <c r="S110" s="19">
        <f>Test!G468</f>
        <v>0</v>
      </c>
      <c r="T110" s="19">
        <f t="shared" si="10"/>
        <v>0</v>
      </c>
      <c r="U110" s="31">
        <f>Test!H468</f>
        <v>0</v>
      </c>
      <c r="V110" s="32">
        <f>Test!I468</f>
        <v>0</v>
      </c>
      <c r="W110" s="16">
        <f t="shared" si="11"/>
        <v>0</v>
      </c>
      <c r="X110" s="16">
        <f t="shared" si="12"/>
        <v>0</v>
      </c>
      <c r="Y110" s="16">
        <f t="shared" si="13"/>
        <v>0</v>
      </c>
      <c r="Z110" s="25">
        <f t="shared" si="13"/>
        <v>0</v>
      </c>
      <c r="AA110" s="42"/>
      <c r="AB110" s="46"/>
      <c r="AC110" s="47"/>
      <c r="AD110" s="48"/>
      <c r="AE110" s="46"/>
      <c r="AF110" s="47"/>
      <c r="AG110" s="48"/>
    </row>
    <row r="111" spans="1:33">
      <c r="A111" s="14"/>
      <c r="B111" s="11" t="s">
        <v>118</v>
      </c>
      <c r="C111" s="11">
        <v>22</v>
      </c>
      <c r="D111" s="12">
        <f>Reference!B469</f>
        <v>1071.8368</v>
      </c>
      <c r="E111" s="13">
        <f>Reference!C469</f>
        <v>54.441</v>
      </c>
      <c r="F111" s="13">
        <f>Reference!D469</f>
        <v>49.3053</v>
      </c>
      <c r="G111" s="13">
        <f>Reference!E469</f>
        <v>49.5206</v>
      </c>
      <c r="H111" s="13">
        <f>Reference!F469</f>
        <v>24051</v>
      </c>
      <c r="I111" s="13">
        <f>Reference!G469</f>
        <v>32.468</v>
      </c>
      <c r="J111" s="13">
        <f t="shared" si="9"/>
        <v>6.68083333333333</v>
      </c>
      <c r="K111" s="27">
        <f>Reference!H469</f>
        <v>5028620</v>
      </c>
      <c r="L111" s="28">
        <f>Reference!I469</f>
        <v>726324</v>
      </c>
      <c r="N111" s="12">
        <f>Test!B469</f>
        <v>0</v>
      </c>
      <c r="O111" s="13">
        <f>Test!C469</f>
        <v>0</v>
      </c>
      <c r="P111" s="13">
        <f>Test!D469</f>
        <v>0</v>
      </c>
      <c r="Q111" s="13">
        <f>Test!E469</f>
        <v>0</v>
      </c>
      <c r="R111" s="13">
        <f>Test!F469</f>
        <v>0</v>
      </c>
      <c r="S111" s="13">
        <f>Test!G469</f>
        <v>0</v>
      </c>
      <c r="T111" s="13">
        <f t="shared" si="10"/>
        <v>0</v>
      </c>
      <c r="U111" s="27">
        <f>Test!H469</f>
        <v>0</v>
      </c>
      <c r="V111" s="28">
        <f>Test!I469</f>
        <v>0</v>
      </c>
      <c r="W111" s="16">
        <f t="shared" si="11"/>
        <v>0</v>
      </c>
      <c r="X111" s="16">
        <f t="shared" si="12"/>
        <v>0</v>
      </c>
      <c r="Y111" s="16">
        <f t="shared" si="13"/>
        <v>0</v>
      </c>
      <c r="Z111" s="25">
        <f t="shared" si="13"/>
        <v>0</v>
      </c>
      <c r="AA111" s="42"/>
      <c r="AB111" s="39" t="e">
        <f>bdrate($D111:$D114,E111:E114,$N111:$N114,O111:O114)</f>
        <v>#VALUE!</v>
      </c>
      <c r="AC111" s="40" t="e">
        <f>bdrate($D111:$D114,F111:F114,$N111:$N114,P111:P114)</f>
        <v>#VALUE!</v>
      </c>
      <c r="AD111" s="40" t="e">
        <f>bdrate($D111:$D114,G111:G114,$N111:$N114,Q111:Q114)</f>
        <v>#VALUE!</v>
      </c>
      <c r="AE111" s="49" t="e">
        <f>bdrateOld($D111:$D114,E111:E114,$N111:$N114,O111:O114)</f>
        <v>#VALUE!</v>
      </c>
      <c r="AF111" s="50" t="e">
        <f>bdrateOld($D111:$D114,F111:F114,$N111:$N114,P111:P114)</f>
        <v>#VALUE!</v>
      </c>
      <c r="AG111" s="52" t="e">
        <f>bdrateOld($D111:$D114,G111:G114,$N111:$N114,Q111:Q114)</f>
        <v>#VALUE!</v>
      </c>
    </row>
    <row r="112" spans="1:33">
      <c r="A112" s="14"/>
      <c r="B112" s="14"/>
      <c r="C112" s="14">
        <v>27</v>
      </c>
      <c r="D112" s="15">
        <f>Reference!B470</f>
        <v>777.3712</v>
      </c>
      <c r="E112" s="16">
        <f>Reference!C470</f>
        <v>49.3609</v>
      </c>
      <c r="F112" s="16">
        <f>Reference!D470</f>
        <v>46.3054</v>
      </c>
      <c r="G112" s="16">
        <f>Reference!E470</f>
        <v>46.2527</v>
      </c>
      <c r="H112" s="16">
        <f>Reference!F470</f>
        <v>22195</v>
      </c>
      <c r="I112" s="16">
        <f>Reference!G470</f>
        <v>24.297</v>
      </c>
      <c r="J112" s="16">
        <f t="shared" si="9"/>
        <v>6.16527777777778</v>
      </c>
      <c r="K112" s="29">
        <f>Reference!H470</f>
        <v>5031540</v>
      </c>
      <c r="L112" s="30">
        <f>Reference!I470</f>
        <v>714932</v>
      </c>
      <c r="N112" s="15">
        <f>Test!B470</f>
        <v>0</v>
      </c>
      <c r="O112" s="16">
        <f>Test!C470</f>
        <v>0</v>
      </c>
      <c r="P112" s="16">
        <f>Test!D470</f>
        <v>0</v>
      </c>
      <c r="Q112" s="16">
        <f>Test!E470</f>
        <v>0</v>
      </c>
      <c r="R112" s="16">
        <f>Test!F470</f>
        <v>0</v>
      </c>
      <c r="S112" s="16">
        <f>Test!G470</f>
        <v>0</v>
      </c>
      <c r="T112" s="16">
        <f t="shared" si="10"/>
        <v>0</v>
      </c>
      <c r="U112" s="29">
        <f>Test!H470</f>
        <v>0</v>
      </c>
      <c r="V112" s="30">
        <f>Test!I470</f>
        <v>0</v>
      </c>
      <c r="W112" s="16">
        <f t="shared" si="11"/>
        <v>0</v>
      </c>
      <c r="X112" s="16">
        <f t="shared" si="12"/>
        <v>0</v>
      </c>
      <c r="Y112" s="16">
        <f t="shared" si="13"/>
        <v>0</v>
      </c>
      <c r="Z112" s="25">
        <f t="shared" si="13"/>
        <v>0</v>
      </c>
      <c r="AA112" s="42"/>
      <c r="AB112" s="43"/>
      <c r="AC112" s="44"/>
      <c r="AD112" s="44"/>
      <c r="AE112" s="43"/>
      <c r="AF112" s="44"/>
      <c r="AG112" s="45"/>
    </row>
    <row r="113" ht="12.75" customHeight="1" spans="1:33">
      <c r="A113" s="14"/>
      <c r="B113" s="14"/>
      <c r="C113" s="14">
        <v>32</v>
      </c>
      <c r="D113" s="15">
        <f>Reference!B471</f>
        <v>698.5696</v>
      </c>
      <c r="E113" s="16">
        <f>Reference!C471</f>
        <v>44.2913</v>
      </c>
      <c r="F113" s="16">
        <f>Reference!D471</f>
        <v>43.7419</v>
      </c>
      <c r="G113" s="16">
        <f>Reference!E471</f>
        <v>43.3858</v>
      </c>
      <c r="H113" s="16">
        <f>Reference!F471</f>
        <v>21068</v>
      </c>
      <c r="I113" s="16">
        <f>Reference!G471</f>
        <v>14.561</v>
      </c>
      <c r="J113" s="16">
        <f t="shared" si="9"/>
        <v>5.85222222222222</v>
      </c>
      <c r="K113" s="29">
        <f>Reference!H471</f>
        <v>5027892</v>
      </c>
      <c r="L113" s="30">
        <f>Reference!I471</f>
        <v>721464</v>
      </c>
      <c r="N113" s="15">
        <f>Test!B471</f>
        <v>0</v>
      </c>
      <c r="O113" s="16">
        <f>Test!C471</f>
        <v>0</v>
      </c>
      <c r="P113" s="16">
        <f>Test!D471</f>
        <v>0</v>
      </c>
      <c r="Q113" s="16">
        <f>Test!E471</f>
        <v>0</v>
      </c>
      <c r="R113" s="16">
        <f>Test!F471</f>
        <v>0</v>
      </c>
      <c r="S113" s="16">
        <f>Test!G471</f>
        <v>0</v>
      </c>
      <c r="T113" s="16">
        <f t="shared" si="10"/>
        <v>0</v>
      </c>
      <c r="U113" s="29">
        <f>Test!H471</f>
        <v>0</v>
      </c>
      <c r="V113" s="30">
        <f>Test!I471</f>
        <v>0</v>
      </c>
      <c r="W113" s="16">
        <f t="shared" si="11"/>
        <v>0</v>
      </c>
      <c r="X113" s="16">
        <f t="shared" si="12"/>
        <v>0</v>
      </c>
      <c r="Y113" s="16">
        <f t="shared" si="13"/>
        <v>0</v>
      </c>
      <c r="Z113" s="25">
        <f t="shared" si="13"/>
        <v>0</v>
      </c>
      <c r="AA113" s="42"/>
      <c r="AB113" s="43"/>
      <c r="AC113" s="44"/>
      <c r="AD113" s="44"/>
      <c r="AE113" s="43"/>
      <c r="AF113" s="44"/>
      <c r="AG113" s="45"/>
    </row>
    <row r="114" ht="12.75" customHeight="1" spans="1:33">
      <c r="A114" s="14"/>
      <c r="B114" s="17"/>
      <c r="C114" s="17">
        <v>37</v>
      </c>
      <c r="D114" s="18">
        <f>Reference!B472</f>
        <v>623.1744</v>
      </c>
      <c r="E114" s="19">
        <f>Reference!C472</f>
        <v>38.5034</v>
      </c>
      <c r="F114" s="19">
        <f>Reference!D472</f>
        <v>40.8621</v>
      </c>
      <c r="G114" s="19">
        <f>Reference!E472</f>
        <v>40.693</v>
      </c>
      <c r="H114" s="19">
        <f>Reference!F472</f>
        <v>20472</v>
      </c>
      <c r="I114" s="19">
        <f>Reference!G472</f>
        <v>19.001</v>
      </c>
      <c r="J114" s="19">
        <f t="shared" si="9"/>
        <v>5.68666666666667</v>
      </c>
      <c r="K114" s="31">
        <f>Reference!H472</f>
        <v>5042780</v>
      </c>
      <c r="L114" s="32">
        <f>Reference!I472</f>
        <v>729276</v>
      </c>
      <c r="N114" s="18">
        <f>Test!B472</f>
        <v>0</v>
      </c>
      <c r="O114" s="19">
        <f>Test!C472</f>
        <v>0</v>
      </c>
      <c r="P114" s="19">
        <f>Test!D472</f>
        <v>0</v>
      </c>
      <c r="Q114" s="19">
        <f>Test!E472</f>
        <v>0</v>
      </c>
      <c r="R114" s="19">
        <f>Test!F472</f>
        <v>0</v>
      </c>
      <c r="S114" s="19">
        <f>Test!G472</f>
        <v>0</v>
      </c>
      <c r="T114" s="19">
        <f t="shared" si="10"/>
        <v>0</v>
      </c>
      <c r="U114" s="31">
        <f>Test!H472</f>
        <v>0</v>
      </c>
      <c r="V114" s="32">
        <f>Test!I472</f>
        <v>0</v>
      </c>
      <c r="W114" s="16">
        <f t="shared" si="11"/>
        <v>0</v>
      </c>
      <c r="X114" s="16">
        <f t="shared" si="12"/>
        <v>0</v>
      </c>
      <c r="Y114" s="16">
        <f t="shared" si="13"/>
        <v>0</v>
      </c>
      <c r="Z114" s="25">
        <f t="shared" si="13"/>
        <v>0</v>
      </c>
      <c r="AA114" s="42"/>
      <c r="AB114" s="46"/>
      <c r="AC114" s="47"/>
      <c r="AD114" s="47"/>
      <c r="AE114" s="46"/>
      <c r="AF114" s="47"/>
      <c r="AG114" s="48"/>
    </row>
    <row r="115" spans="1:33">
      <c r="A115" s="14"/>
      <c r="B115" s="11" t="s">
        <v>119</v>
      </c>
      <c r="C115" s="11">
        <v>22</v>
      </c>
      <c r="D115" s="12">
        <f>Reference!B473</f>
        <v>3161.3888</v>
      </c>
      <c r="E115" s="13">
        <f>Reference!C473</f>
        <v>53.1982</v>
      </c>
      <c r="F115" s="13">
        <f>Reference!D473</f>
        <v>51.0817</v>
      </c>
      <c r="G115" s="13">
        <f>Reference!E473</f>
        <v>49.7451</v>
      </c>
      <c r="H115" s="13">
        <f>Reference!F473</f>
        <v>43822</v>
      </c>
      <c r="I115" s="13">
        <f>Reference!G473</f>
        <v>41.37</v>
      </c>
      <c r="J115" s="13">
        <f t="shared" si="9"/>
        <v>12.1727777777778</v>
      </c>
      <c r="K115" s="27">
        <f>Reference!H473</f>
        <v>4959844</v>
      </c>
      <c r="L115" s="28">
        <f>Reference!I473</f>
        <v>714436</v>
      </c>
      <c r="N115" s="12">
        <f>Test!B473</f>
        <v>0</v>
      </c>
      <c r="O115" s="13">
        <f>Test!C473</f>
        <v>0</v>
      </c>
      <c r="P115" s="13">
        <f>Test!D473</f>
        <v>0</v>
      </c>
      <c r="Q115" s="13">
        <f>Test!E473</f>
        <v>0</v>
      </c>
      <c r="R115" s="13">
        <f>Test!F473</f>
        <v>0</v>
      </c>
      <c r="S115" s="13">
        <f>Test!G473</f>
        <v>0</v>
      </c>
      <c r="T115" s="13">
        <f t="shared" si="10"/>
        <v>0</v>
      </c>
      <c r="U115" s="27">
        <f>Test!H473</f>
        <v>0</v>
      </c>
      <c r="V115" s="28">
        <f>Test!I473</f>
        <v>0</v>
      </c>
      <c r="W115" s="16">
        <f t="shared" si="11"/>
        <v>0</v>
      </c>
      <c r="X115" s="16">
        <f t="shared" si="12"/>
        <v>0</v>
      </c>
      <c r="Y115" s="16">
        <f t="shared" si="13"/>
        <v>0</v>
      </c>
      <c r="Z115" s="25">
        <f t="shared" si="13"/>
        <v>0</v>
      </c>
      <c r="AA115" s="42"/>
      <c r="AB115" s="39" t="e">
        <f>bdrate($D115:$D118,E115:E118,$N115:$N118,O115:O118)</f>
        <v>#VALUE!</v>
      </c>
      <c r="AC115" s="40" t="e">
        <f>bdrate($D115:$D118,F115:F118,$N115:$N118,P115:P118)</f>
        <v>#VALUE!</v>
      </c>
      <c r="AD115" s="40" t="e">
        <f>bdrate($D115:$D118,G115:G118,$N115:$N118,Q115:Q118)</f>
        <v>#VALUE!</v>
      </c>
      <c r="AE115" s="49" t="e">
        <f>bdrateOld($D115:$D118,E115:E118,$N115:$N118,O115:O118)</f>
        <v>#VALUE!</v>
      </c>
      <c r="AF115" s="50" t="e">
        <f>bdrateOld($D115:$D118,F115:F118,$N115:$N118,P115:P118)</f>
        <v>#VALUE!</v>
      </c>
      <c r="AG115" s="52" t="e">
        <f>bdrateOld($D115:$D118,G115:G118,$N115:$N118,Q115:Q118)</f>
        <v>#VALUE!</v>
      </c>
    </row>
    <row r="116" spans="1:33">
      <c r="A116" s="14"/>
      <c r="B116" s="14"/>
      <c r="C116" s="14">
        <v>27</v>
      </c>
      <c r="D116" s="15">
        <f>Reference!B474</f>
        <v>2244.3968</v>
      </c>
      <c r="E116" s="16">
        <f>Reference!C474</f>
        <v>47.959</v>
      </c>
      <c r="F116" s="16">
        <f>Reference!D474</f>
        <v>46.0395</v>
      </c>
      <c r="G116" s="16">
        <f>Reference!E474</f>
        <v>43.9202</v>
      </c>
      <c r="H116" s="16">
        <f>Reference!F474</f>
        <v>40238</v>
      </c>
      <c r="I116" s="16">
        <f>Reference!G474</f>
        <v>44.395</v>
      </c>
      <c r="J116" s="16">
        <f t="shared" si="9"/>
        <v>11.1772222222222</v>
      </c>
      <c r="K116" s="29">
        <f>Reference!H474</f>
        <v>4965732</v>
      </c>
      <c r="L116" s="30">
        <f>Reference!I474</f>
        <v>741740</v>
      </c>
      <c r="N116" s="15">
        <f>Test!B474</f>
        <v>0</v>
      </c>
      <c r="O116" s="16">
        <f>Test!C474</f>
        <v>0</v>
      </c>
      <c r="P116" s="16">
        <f>Test!D474</f>
        <v>0</v>
      </c>
      <c r="Q116" s="16">
        <f>Test!E474</f>
        <v>0</v>
      </c>
      <c r="R116" s="16">
        <f>Test!F474</f>
        <v>0</v>
      </c>
      <c r="S116" s="16">
        <f>Test!G474</f>
        <v>0</v>
      </c>
      <c r="T116" s="16">
        <f t="shared" si="10"/>
        <v>0</v>
      </c>
      <c r="U116" s="29">
        <f>Test!H474</f>
        <v>0</v>
      </c>
      <c r="V116" s="30">
        <f>Test!I474</f>
        <v>0</v>
      </c>
      <c r="W116" s="16">
        <f t="shared" si="11"/>
        <v>0</v>
      </c>
      <c r="X116" s="16">
        <f t="shared" si="12"/>
        <v>0</v>
      </c>
      <c r="Y116" s="16">
        <f t="shared" si="13"/>
        <v>0</v>
      </c>
      <c r="Z116" s="25">
        <f t="shared" si="13"/>
        <v>0</v>
      </c>
      <c r="AA116" s="42"/>
      <c r="AB116" s="43"/>
      <c r="AC116" s="44"/>
      <c r="AD116" s="44"/>
      <c r="AE116" s="43"/>
      <c r="AF116" s="44"/>
      <c r="AG116" s="45"/>
    </row>
    <row r="117" spans="1:33">
      <c r="A117" s="14"/>
      <c r="B117" s="14"/>
      <c r="C117" s="14">
        <v>32</v>
      </c>
      <c r="D117" s="15">
        <f>Reference!B475</f>
        <v>1718.6512</v>
      </c>
      <c r="E117" s="16">
        <f>Reference!C475</f>
        <v>42.6009</v>
      </c>
      <c r="F117" s="16">
        <f>Reference!D475</f>
        <v>42.8239</v>
      </c>
      <c r="G117" s="16">
        <f>Reference!E475</f>
        <v>40.1971</v>
      </c>
      <c r="H117" s="16">
        <f>Reference!F475</f>
        <v>37198</v>
      </c>
      <c r="I117" s="16">
        <f>Reference!G475</f>
        <v>44.133</v>
      </c>
      <c r="J117" s="16">
        <f t="shared" si="9"/>
        <v>10.3327777777778</v>
      </c>
      <c r="K117" s="29">
        <f>Reference!H475</f>
        <v>4937948</v>
      </c>
      <c r="L117" s="30">
        <f>Reference!I475</f>
        <v>735508</v>
      </c>
      <c r="N117" s="15">
        <f>Test!B475</f>
        <v>0</v>
      </c>
      <c r="O117" s="16">
        <f>Test!C475</f>
        <v>0</v>
      </c>
      <c r="P117" s="16">
        <f>Test!D475</f>
        <v>0</v>
      </c>
      <c r="Q117" s="16">
        <f>Test!E475</f>
        <v>0</v>
      </c>
      <c r="R117" s="16">
        <f>Test!F475</f>
        <v>0</v>
      </c>
      <c r="S117" s="16">
        <f>Test!G475</f>
        <v>0</v>
      </c>
      <c r="T117" s="16">
        <f t="shared" si="10"/>
        <v>0</v>
      </c>
      <c r="U117" s="29">
        <f>Test!H475</f>
        <v>0</v>
      </c>
      <c r="V117" s="30">
        <f>Test!I475</f>
        <v>0</v>
      </c>
      <c r="W117" s="16">
        <f t="shared" si="11"/>
        <v>0</v>
      </c>
      <c r="X117" s="16">
        <f t="shared" si="12"/>
        <v>0</v>
      </c>
      <c r="Y117" s="16">
        <f t="shared" si="13"/>
        <v>0</v>
      </c>
      <c r="Z117" s="25">
        <f t="shared" si="13"/>
        <v>0</v>
      </c>
      <c r="AA117" s="42"/>
      <c r="AB117" s="43"/>
      <c r="AC117" s="44"/>
      <c r="AD117" s="44"/>
      <c r="AE117" s="43"/>
      <c r="AF117" s="44"/>
      <c r="AG117" s="45"/>
    </row>
    <row r="118" ht="12.75" spans="1:33">
      <c r="A118" s="14"/>
      <c r="B118" s="17"/>
      <c r="C118" s="17">
        <v>37</v>
      </c>
      <c r="D118" s="18">
        <f>Reference!B476</f>
        <v>1331.6656</v>
      </c>
      <c r="E118" s="19">
        <f>Reference!C476</f>
        <v>37.8241</v>
      </c>
      <c r="F118" s="19">
        <f>Reference!D476</f>
        <v>39.5314</v>
      </c>
      <c r="G118" s="19">
        <f>Reference!E476</f>
        <v>37.0114</v>
      </c>
      <c r="H118" s="19">
        <f>Reference!F476</f>
        <v>33924</v>
      </c>
      <c r="I118" s="19">
        <f>Reference!G476</f>
        <v>44.002</v>
      </c>
      <c r="J118" s="19">
        <f t="shared" si="9"/>
        <v>9.42333333333333</v>
      </c>
      <c r="K118" s="31">
        <f>Reference!H476</f>
        <v>4954964</v>
      </c>
      <c r="L118" s="32">
        <f>Reference!I476</f>
        <v>719944</v>
      </c>
      <c r="N118" s="18">
        <f>Test!B476</f>
        <v>0</v>
      </c>
      <c r="O118" s="19">
        <f>Test!C476</f>
        <v>0</v>
      </c>
      <c r="P118" s="19">
        <f>Test!D476</f>
        <v>0</v>
      </c>
      <c r="Q118" s="19">
        <f>Test!E476</f>
        <v>0</v>
      </c>
      <c r="R118" s="19">
        <f>Test!F476</f>
        <v>0</v>
      </c>
      <c r="S118" s="19">
        <f>Test!G476</f>
        <v>0</v>
      </c>
      <c r="T118" s="19">
        <f t="shared" si="10"/>
        <v>0</v>
      </c>
      <c r="U118" s="31">
        <f>Test!H476</f>
        <v>0</v>
      </c>
      <c r="V118" s="32">
        <f>Test!I476</f>
        <v>0</v>
      </c>
      <c r="W118" s="16">
        <f t="shared" si="11"/>
        <v>0</v>
      </c>
      <c r="X118" s="16">
        <f t="shared" si="12"/>
        <v>0</v>
      </c>
      <c r="Y118" s="16">
        <f t="shared" si="13"/>
        <v>0</v>
      </c>
      <c r="Z118" s="25">
        <f t="shared" si="13"/>
        <v>0</v>
      </c>
      <c r="AA118" s="42"/>
      <c r="AB118" s="46"/>
      <c r="AC118" s="47"/>
      <c r="AD118" s="47"/>
      <c r="AE118" s="46"/>
      <c r="AF118" s="47"/>
      <c r="AG118" s="48"/>
    </row>
    <row r="119" spans="1:33">
      <c r="A119" s="14"/>
      <c r="B119" s="11" t="s">
        <v>120</v>
      </c>
      <c r="C119" s="11">
        <v>22</v>
      </c>
      <c r="D119" s="12">
        <f>Reference!B477</f>
        <v>2243.6624</v>
      </c>
      <c r="E119" s="13">
        <f>Reference!C477</f>
        <v>48.094</v>
      </c>
      <c r="F119" s="13">
        <f>Reference!D477</f>
        <v>47.6325</v>
      </c>
      <c r="G119" s="13">
        <f>Reference!E477</f>
        <v>47.6537</v>
      </c>
      <c r="H119" s="13">
        <f>Reference!F477</f>
        <v>32977</v>
      </c>
      <c r="I119" s="13">
        <f>Reference!G477</f>
        <v>18.549</v>
      </c>
      <c r="J119" s="13">
        <f t="shared" si="9"/>
        <v>9.16027777777778</v>
      </c>
      <c r="K119" s="27">
        <f>Reference!H477</f>
        <v>5206788</v>
      </c>
      <c r="L119" s="28">
        <f>Reference!I477</f>
        <v>776108</v>
      </c>
      <c r="N119" s="12">
        <f>Test!B477</f>
        <v>0</v>
      </c>
      <c r="O119" s="13">
        <f>Test!C477</f>
        <v>0</v>
      </c>
      <c r="P119" s="13">
        <f>Test!D477</f>
        <v>0</v>
      </c>
      <c r="Q119" s="13">
        <f>Test!E477</f>
        <v>0</v>
      </c>
      <c r="R119" s="13">
        <f>Test!F477</f>
        <v>0</v>
      </c>
      <c r="S119" s="13">
        <f>Test!G477</f>
        <v>0</v>
      </c>
      <c r="T119" s="13">
        <f t="shared" si="10"/>
        <v>0</v>
      </c>
      <c r="U119" s="27">
        <f>Test!H477</f>
        <v>0</v>
      </c>
      <c r="V119" s="28">
        <f>Test!I477</f>
        <v>0</v>
      </c>
      <c r="W119" s="16">
        <f t="shared" si="11"/>
        <v>0</v>
      </c>
      <c r="X119" s="16">
        <f t="shared" si="12"/>
        <v>0</v>
      </c>
      <c r="Y119" s="16">
        <f t="shared" si="13"/>
        <v>0</v>
      </c>
      <c r="Z119" s="25">
        <f t="shared" si="13"/>
        <v>0</v>
      </c>
      <c r="AA119" s="42"/>
      <c r="AB119" s="39" t="e">
        <f>bdrate($D119:$D122,E119:E122,$N119:$N122,O119:O122)</f>
        <v>#VALUE!</v>
      </c>
      <c r="AC119" s="40" t="e">
        <f>bdrate($D119:$D122,F119:F122,$N119:$N122,P119:P122)</f>
        <v>#VALUE!</v>
      </c>
      <c r="AD119" s="40" t="e">
        <f>bdrate($D119:$D122,G119:G122,$N119:$N122,Q119:Q122)</f>
        <v>#VALUE!</v>
      </c>
      <c r="AE119" s="49" t="e">
        <f>bdrateOld($D119:$D122,E119:E122,$N119:$N122,O119:O122)</f>
        <v>#VALUE!</v>
      </c>
      <c r="AF119" s="50" t="e">
        <f>bdrateOld($D119:$D122,F119:F122,$N119:$N122,P119:P122)</f>
        <v>#VALUE!</v>
      </c>
      <c r="AG119" s="52" t="e">
        <f>bdrateOld($D119:$D122,G119:G122,$N119:$N122,Q119:Q122)</f>
        <v>#VALUE!</v>
      </c>
    </row>
    <row r="120" spans="1:33">
      <c r="A120" s="14"/>
      <c r="B120" s="14"/>
      <c r="C120" s="14">
        <v>27</v>
      </c>
      <c r="D120" s="15">
        <f>Reference!B478</f>
        <v>1554.5248</v>
      </c>
      <c r="E120" s="16">
        <f>Reference!C478</f>
        <v>43.4337</v>
      </c>
      <c r="F120" s="16">
        <f>Reference!D478</f>
        <v>44.3948</v>
      </c>
      <c r="G120" s="16">
        <f>Reference!E478</f>
        <v>44.1547</v>
      </c>
      <c r="H120" s="16">
        <f>Reference!F478</f>
        <v>30650</v>
      </c>
      <c r="I120" s="16">
        <f>Reference!G478</f>
        <v>17.274</v>
      </c>
      <c r="J120" s="16">
        <f t="shared" si="9"/>
        <v>8.51388888888889</v>
      </c>
      <c r="K120" s="29">
        <f>Reference!H478</f>
        <v>5225400</v>
      </c>
      <c r="L120" s="30">
        <f>Reference!I478</f>
        <v>805956</v>
      </c>
      <c r="N120" s="15">
        <f>Test!B478</f>
        <v>0</v>
      </c>
      <c r="O120" s="16">
        <f>Test!C478</f>
        <v>0</v>
      </c>
      <c r="P120" s="16">
        <f>Test!D478</f>
        <v>0</v>
      </c>
      <c r="Q120" s="16">
        <f>Test!E478</f>
        <v>0</v>
      </c>
      <c r="R120" s="16">
        <f>Test!F478</f>
        <v>0</v>
      </c>
      <c r="S120" s="16">
        <f>Test!G478</f>
        <v>0</v>
      </c>
      <c r="T120" s="16">
        <f t="shared" si="10"/>
        <v>0</v>
      </c>
      <c r="U120" s="29">
        <f>Test!H478</f>
        <v>0</v>
      </c>
      <c r="V120" s="30">
        <f>Test!I478</f>
        <v>0</v>
      </c>
      <c r="W120" s="16">
        <f t="shared" si="11"/>
        <v>0</v>
      </c>
      <c r="X120" s="16">
        <f t="shared" si="12"/>
        <v>0</v>
      </c>
      <c r="Y120" s="16">
        <f t="shared" si="13"/>
        <v>0</v>
      </c>
      <c r="Z120" s="25">
        <f t="shared" si="13"/>
        <v>0</v>
      </c>
      <c r="AA120" s="42"/>
      <c r="AB120" s="43"/>
      <c r="AC120" s="44"/>
      <c r="AD120" s="44"/>
      <c r="AE120" s="43"/>
      <c r="AF120" s="44"/>
      <c r="AG120" s="45"/>
    </row>
    <row r="121" spans="1:33">
      <c r="A121" s="14"/>
      <c r="B121" s="14"/>
      <c r="C121" s="14">
        <v>32</v>
      </c>
      <c r="D121" s="15">
        <f>Reference!B479</f>
        <v>1099.1248</v>
      </c>
      <c r="E121" s="16">
        <f>Reference!C479</f>
        <v>38.6575</v>
      </c>
      <c r="F121" s="16">
        <f>Reference!D479</f>
        <v>41.7004</v>
      </c>
      <c r="G121" s="16">
        <f>Reference!E479</f>
        <v>41.4111</v>
      </c>
      <c r="H121" s="16">
        <f>Reference!F479</f>
        <v>28247</v>
      </c>
      <c r="I121" s="16">
        <f>Reference!G479</f>
        <v>16.701</v>
      </c>
      <c r="J121" s="16">
        <f t="shared" si="9"/>
        <v>7.84638888888889</v>
      </c>
      <c r="K121" s="29">
        <f>Reference!H479</f>
        <v>5206100</v>
      </c>
      <c r="L121" s="30">
        <f>Reference!I479</f>
        <v>773772</v>
      </c>
      <c r="N121" s="15">
        <f>Test!B479</f>
        <v>0</v>
      </c>
      <c r="O121" s="16">
        <f>Test!C479</f>
        <v>0</v>
      </c>
      <c r="P121" s="16">
        <f>Test!D479</f>
        <v>0</v>
      </c>
      <c r="Q121" s="16">
        <f>Test!E479</f>
        <v>0</v>
      </c>
      <c r="R121" s="16">
        <f>Test!F479</f>
        <v>0</v>
      </c>
      <c r="S121" s="16">
        <f>Test!G479</f>
        <v>0</v>
      </c>
      <c r="T121" s="16">
        <f t="shared" si="10"/>
        <v>0</v>
      </c>
      <c r="U121" s="29">
        <f>Test!H479</f>
        <v>0</v>
      </c>
      <c r="V121" s="30">
        <f>Test!I479</f>
        <v>0</v>
      </c>
      <c r="W121" s="16">
        <f t="shared" si="11"/>
        <v>0</v>
      </c>
      <c r="X121" s="16">
        <f t="shared" si="12"/>
        <v>0</v>
      </c>
      <c r="Y121" s="16">
        <f t="shared" si="13"/>
        <v>0</v>
      </c>
      <c r="Z121" s="25">
        <f t="shared" si="13"/>
        <v>0</v>
      </c>
      <c r="AA121" s="42"/>
      <c r="AB121" s="43"/>
      <c r="AC121" s="44"/>
      <c r="AD121" s="44"/>
      <c r="AE121" s="43"/>
      <c r="AF121" s="44"/>
      <c r="AG121" s="45"/>
    </row>
    <row r="122" ht="12.75" spans="1:33">
      <c r="A122" s="17"/>
      <c r="B122" s="17"/>
      <c r="C122" s="17">
        <v>37</v>
      </c>
      <c r="D122" s="18">
        <f>Reference!B480</f>
        <v>768.144</v>
      </c>
      <c r="E122" s="19">
        <f>Reference!C480</f>
        <v>33.9722</v>
      </c>
      <c r="F122" s="19">
        <f>Reference!D480</f>
        <v>38.8103</v>
      </c>
      <c r="G122" s="19">
        <f>Reference!E480</f>
        <v>38.3928</v>
      </c>
      <c r="H122" s="19">
        <f>Reference!F480</f>
        <v>26766</v>
      </c>
      <c r="I122" s="19">
        <f>Reference!G480</f>
        <v>16.824</v>
      </c>
      <c r="J122" s="19">
        <f t="shared" si="9"/>
        <v>7.435</v>
      </c>
      <c r="K122" s="31">
        <f>Reference!H480</f>
        <v>5185416</v>
      </c>
      <c r="L122" s="32">
        <f>Reference!I480</f>
        <v>741428</v>
      </c>
      <c r="N122" s="18">
        <f>Test!B480</f>
        <v>0</v>
      </c>
      <c r="O122" s="19">
        <f>Test!C480</f>
        <v>0</v>
      </c>
      <c r="P122" s="19">
        <f>Test!D480</f>
        <v>0</v>
      </c>
      <c r="Q122" s="19">
        <f>Test!E480</f>
        <v>0</v>
      </c>
      <c r="R122" s="19">
        <f>Test!F480</f>
        <v>0</v>
      </c>
      <c r="S122" s="19">
        <f>Test!G480</f>
        <v>0</v>
      </c>
      <c r="T122" s="19">
        <f t="shared" si="10"/>
        <v>0</v>
      </c>
      <c r="U122" s="31">
        <f>Test!H480</f>
        <v>0</v>
      </c>
      <c r="V122" s="32">
        <f>Test!I480</f>
        <v>0</v>
      </c>
      <c r="W122" s="19">
        <f t="shared" si="11"/>
        <v>0</v>
      </c>
      <c r="X122" s="19">
        <f t="shared" si="12"/>
        <v>0</v>
      </c>
      <c r="Y122" s="19">
        <f t="shared" si="13"/>
        <v>0</v>
      </c>
      <c r="Z122" s="26">
        <f t="shared" si="13"/>
        <v>0</v>
      </c>
      <c r="AA122" s="51"/>
      <c r="AB122" s="46"/>
      <c r="AC122" s="47"/>
      <c r="AD122" s="47"/>
      <c r="AE122" s="46"/>
      <c r="AF122" s="47"/>
      <c r="AG122" s="48"/>
    </row>
    <row r="123" spans="2:33">
      <c r="B123" s="2" t="s">
        <v>19</v>
      </c>
      <c r="I123" s="42"/>
      <c r="J123" s="42"/>
      <c r="K123" s="42"/>
      <c r="L123" s="53"/>
      <c r="S123" s="42"/>
      <c r="T123" s="42"/>
      <c r="U123" s="42"/>
      <c r="V123" s="53"/>
      <c r="W123" s="42"/>
      <c r="X123" s="42"/>
      <c r="Y123" s="42"/>
      <c r="Z123" s="53"/>
      <c r="AB123" s="39"/>
      <c r="AC123" s="40"/>
      <c r="AD123" s="41"/>
      <c r="AE123" s="39"/>
      <c r="AF123" s="40"/>
      <c r="AG123" s="41"/>
    </row>
    <row r="124" spans="2:33">
      <c r="B124" s="2" t="s">
        <v>21</v>
      </c>
      <c r="I124" s="42"/>
      <c r="J124" s="42"/>
      <c r="K124" s="42"/>
      <c r="L124" s="53"/>
      <c r="S124" s="42"/>
      <c r="T124" s="42"/>
      <c r="U124" s="42"/>
      <c r="V124" s="53"/>
      <c r="W124" s="42"/>
      <c r="X124" s="42"/>
      <c r="Y124" s="42"/>
      <c r="Z124" s="53"/>
      <c r="AB124" s="49"/>
      <c r="AC124" s="50"/>
      <c r="AD124" s="52"/>
      <c r="AE124" s="49"/>
      <c r="AF124" s="50"/>
      <c r="AG124" s="52"/>
    </row>
    <row r="125" spans="2:33">
      <c r="B125" s="2" t="s">
        <v>22</v>
      </c>
      <c r="I125" s="42">
        <f>GEOMEAN(I27:I46)</f>
        <v>52.0463884397137</v>
      </c>
      <c r="J125" s="42">
        <f>GEOMEAN(J27:J46)</f>
        <v>11.2943620371807</v>
      </c>
      <c r="K125" s="42"/>
      <c r="L125" s="53"/>
      <c r="S125" s="42" t="e">
        <f>GEOMEAN(S27:S46)</f>
        <v>#NUM!</v>
      </c>
      <c r="T125" s="42" t="e">
        <f>GEOMEAN(T27:T46)</f>
        <v>#NUM!</v>
      </c>
      <c r="U125" s="42"/>
      <c r="V125" s="53"/>
      <c r="W125" s="42" t="e">
        <f>GEOMEAN(W27:W46)</f>
        <v>#NUM!</v>
      </c>
      <c r="X125" s="42" t="e">
        <f>GEOMEAN(X27:X46)</f>
        <v>#NUM!</v>
      </c>
      <c r="Y125" s="42" t="e">
        <f>GEOMEAN(Y27:Y46)</f>
        <v>#NUM!</v>
      </c>
      <c r="Z125" s="53" t="e">
        <f>GEOMEAN(Z27:Z46)</f>
        <v>#NUM!</v>
      </c>
      <c r="AB125" s="49" t="e">
        <f t="shared" ref="AB125:AG125" si="14">AVERAGE(AB27:AB46)</f>
        <v>#VALUE!</v>
      </c>
      <c r="AC125" s="50" t="e">
        <f t="shared" si="14"/>
        <v>#VALUE!</v>
      </c>
      <c r="AD125" s="52" t="e">
        <f t="shared" si="14"/>
        <v>#VALUE!</v>
      </c>
      <c r="AE125" s="49" t="e">
        <f t="shared" si="14"/>
        <v>#VALUE!</v>
      </c>
      <c r="AF125" s="50" t="e">
        <f t="shared" si="14"/>
        <v>#VALUE!</v>
      </c>
      <c r="AG125" s="52" t="e">
        <f t="shared" si="14"/>
        <v>#VALUE!</v>
      </c>
    </row>
    <row r="126" spans="2:33">
      <c r="B126" s="2" t="s">
        <v>23</v>
      </c>
      <c r="I126" s="42">
        <f>GEOMEAN(I47:I62)</f>
        <v>13.1358766460336</v>
      </c>
      <c r="J126" s="42">
        <f>GEOMEAN(J47:J62)</f>
        <v>3.49722963922528</v>
      </c>
      <c r="K126" s="42"/>
      <c r="L126" s="53"/>
      <c r="S126" s="42" t="e">
        <f>GEOMEAN(S47:S62)</f>
        <v>#NUM!</v>
      </c>
      <c r="T126" s="42" t="e">
        <f>GEOMEAN(T47:T62)</f>
        <v>#NUM!</v>
      </c>
      <c r="U126" s="42"/>
      <c r="V126" s="53"/>
      <c r="W126" s="42" t="e">
        <f>GEOMEAN(W47:W62)</f>
        <v>#NUM!</v>
      </c>
      <c r="X126" s="42" t="e">
        <f>GEOMEAN(X47:X62)</f>
        <v>#NUM!</v>
      </c>
      <c r="Y126" s="42" t="e">
        <f>GEOMEAN(Y47:Y62)</f>
        <v>#NUM!</v>
      </c>
      <c r="Z126" s="53" t="e">
        <f>GEOMEAN(Z47:Z62)</f>
        <v>#NUM!</v>
      </c>
      <c r="AB126" s="49" t="e">
        <f t="shared" ref="AB126:AG126" si="15">AVERAGE(AB47:AB62)</f>
        <v>#VALUE!</v>
      </c>
      <c r="AC126" s="50" t="e">
        <f t="shared" si="15"/>
        <v>#VALUE!</v>
      </c>
      <c r="AD126" s="52" t="e">
        <f t="shared" si="15"/>
        <v>#VALUE!</v>
      </c>
      <c r="AE126" s="49" t="e">
        <f t="shared" si="15"/>
        <v>#VALUE!</v>
      </c>
      <c r="AF126" s="50" t="e">
        <f t="shared" si="15"/>
        <v>#VALUE!</v>
      </c>
      <c r="AG126" s="52" t="e">
        <f t="shared" si="15"/>
        <v>#VALUE!</v>
      </c>
    </row>
    <row r="127" spans="2:33">
      <c r="B127" s="2" t="s">
        <v>27</v>
      </c>
      <c r="I127" s="42">
        <f>GEOMEAN(I63:I78)</f>
        <v>3.49441619396623</v>
      </c>
      <c r="J127" s="42">
        <f>GEOMEAN(J63:J78)</f>
        <v>0.836045311291911</v>
      </c>
      <c r="K127" s="42"/>
      <c r="L127" s="53"/>
      <c r="S127" s="42" t="e">
        <f>GEOMEAN(S63:S78)</f>
        <v>#NUM!</v>
      </c>
      <c r="T127" s="42" t="e">
        <f>GEOMEAN(T63:T78)</f>
        <v>#NUM!</v>
      </c>
      <c r="U127" s="42"/>
      <c r="V127" s="53"/>
      <c r="W127" s="42" t="e">
        <f>GEOMEAN(W63:W78)</f>
        <v>#NUM!</v>
      </c>
      <c r="X127" s="42" t="e">
        <f>GEOMEAN(X63:X78)</f>
        <v>#NUM!</v>
      </c>
      <c r="Y127" s="42" t="e">
        <f>GEOMEAN(Y63:Y78)</f>
        <v>#NUM!</v>
      </c>
      <c r="Z127" s="53" t="e">
        <f>GEOMEAN(Z63:Z78)</f>
        <v>#NUM!</v>
      </c>
      <c r="AB127" s="49" t="e">
        <f t="shared" ref="AB127:AG127" si="16">AVERAGE(AB63:AB78)</f>
        <v>#VALUE!</v>
      </c>
      <c r="AC127" s="50" t="e">
        <f t="shared" si="16"/>
        <v>#VALUE!</v>
      </c>
      <c r="AD127" s="52" t="e">
        <f t="shared" si="16"/>
        <v>#VALUE!</v>
      </c>
      <c r="AE127" s="49" t="e">
        <f t="shared" si="16"/>
        <v>#VALUE!</v>
      </c>
      <c r="AF127" s="50" t="e">
        <f t="shared" si="16"/>
        <v>#VALUE!</v>
      </c>
      <c r="AG127" s="52" t="e">
        <f t="shared" si="16"/>
        <v>#VALUE!</v>
      </c>
    </row>
    <row r="128" spans="2:33">
      <c r="B128" s="2" t="s">
        <v>24</v>
      </c>
      <c r="I128" s="42">
        <f>GEOMEAN(I79:I90)</f>
        <v>14.0863255189456</v>
      </c>
      <c r="J128" s="42">
        <f>GEOMEAN(J79:J90)</f>
        <v>3.71499852969314</v>
      </c>
      <c r="K128" s="42"/>
      <c r="L128" s="53"/>
      <c r="S128" s="42" t="e">
        <f>GEOMEAN(S79:S90)</f>
        <v>#NUM!</v>
      </c>
      <c r="T128" s="42" t="e">
        <f>GEOMEAN(T79:T90)</f>
        <v>#NUM!</v>
      </c>
      <c r="U128" s="42"/>
      <c r="V128" s="53"/>
      <c r="W128" s="42" t="e">
        <f>GEOMEAN(W79:W90)</f>
        <v>#NUM!</v>
      </c>
      <c r="X128" s="42" t="e">
        <f>GEOMEAN(X79:X90)</f>
        <v>#NUM!</v>
      </c>
      <c r="Y128" s="42" t="e">
        <f>GEOMEAN(Y79:Y90)</f>
        <v>#NUM!</v>
      </c>
      <c r="Z128" s="53" t="e">
        <f>GEOMEAN(Z79:Z90)</f>
        <v>#NUM!</v>
      </c>
      <c r="AB128" s="49" t="e">
        <f t="shared" ref="AB128:AG128" si="17">AVERAGE(AB79:AB88)</f>
        <v>#VALUE!</v>
      </c>
      <c r="AC128" s="50" t="e">
        <f t="shared" si="17"/>
        <v>#VALUE!</v>
      </c>
      <c r="AD128" s="52" t="e">
        <f t="shared" si="17"/>
        <v>#VALUE!</v>
      </c>
      <c r="AE128" s="49" t="e">
        <f t="shared" si="17"/>
        <v>#VALUE!</v>
      </c>
      <c r="AF128" s="50" t="e">
        <f t="shared" si="17"/>
        <v>#VALUE!</v>
      </c>
      <c r="AG128" s="52" t="e">
        <f t="shared" si="17"/>
        <v>#VALUE!</v>
      </c>
    </row>
    <row r="129" spans="2:33">
      <c r="B129" s="2" t="s">
        <v>28</v>
      </c>
      <c r="I129" s="42">
        <f>GEOMEAN(I91:I106)</f>
        <v>10.2204708048899</v>
      </c>
      <c r="J129" s="42">
        <f>GEOMEAN(J91:J106)</f>
        <v>3.37041456901208</v>
      </c>
      <c r="K129" s="42"/>
      <c r="L129" s="53"/>
      <c r="S129" s="42" t="e">
        <f>GEOMEAN(S91:S106)</f>
        <v>#NUM!</v>
      </c>
      <c r="T129" s="42" t="e">
        <f>GEOMEAN(T91:T106)</f>
        <v>#NUM!</v>
      </c>
      <c r="U129" s="42"/>
      <c r="V129" s="53"/>
      <c r="W129" s="42" t="e">
        <f>GEOMEAN(W91:W106)</f>
        <v>#NUM!</v>
      </c>
      <c r="X129" s="42" t="e">
        <f>GEOMEAN(X91:X106)</f>
        <v>#NUM!</v>
      </c>
      <c r="Y129" s="42" t="e">
        <f>GEOMEAN(Y91:Y106)</f>
        <v>#NUM!</v>
      </c>
      <c r="Z129" s="53" t="e">
        <f>GEOMEAN(Z91:Z106)</f>
        <v>#NUM!</v>
      </c>
      <c r="AB129" s="49" t="e">
        <f t="shared" ref="AB129:AG129" si="18">AVERAGE(AB91:AB106)</f>
        <v>#VALUE!</v>
      </c>
      <c r="AC129" s="50" t="e">
        <f t="shared" si="18"/>
        <v>#VALUE!</v>
      </c>
      <c r="AD129" s="52" t="e">
        <f t="shared" si="18"/>
        <v>#VALUE!</v>
      </c>
      <c r="AE129" s="49" t="e">
        <f t="shared" si="18"/>
        <v>#VALUE!</v>
      </c>
      <c r="AF129" s="50" t="e">
        <f t="shared" si="18"/>
        <v>#VALUE!</v>
      </c>
      <c r="AG129" s="52" t="e">
        <f t="shared" si="18"/>
        <v>#VALUE!</v>
      </c>
    </row>
    <row r="130" ht="12.75" spans="2:33">
      <c r="B130" s="2" t="s">
        <v>121</v>
      </c>
      <c r="I130" s="42">
        <f>GEOMEAN(I107:I122)</f>
        <v>35.4821895981607</v>
      </c>
      <c r="J130" s="42">
        <f>GEOMEAN(J107:J122)</f>
        <v>11.2586879332544</v>
      </c>
      <c r="K130" s="42"/>
      <c r="L130" s="53"/>
      <c r="S130" s="42" t="e">
        <f>GEOMEAN(S107:S122)</f>
        <v>#NUM!</v>
      </c>
      <c r="T130" s="42" t="e">
        <f>GEOMEAN(T107:T122)</f>
        <v>#NUM!</v>
      </c>
      <c r="U130" s="42"/>
      <c r="V130" s="53"/>
      <c r="W130" s="42" t="e">
        <f>GEOMEAN(W107:W122)</f>
        <v>#NUM!</v>
      </c>
      <c r="X130" s="42" t="e">
        <f>GEOMEAN(X107:X122)</f>
        <v>#NUM!</v>
      </c>
      <c r="Y130" s="42" t="e">
        <f>GEOMEAN(Y107:Y122)</f>
        <v>#NUM!</v>
      </c>
      <c r="Z130" s="53" t="e">
        <f>GEOMEAN(Z107:Z122)</f>
        <v>#NUM!</v>
      </c>
      <c r="AB130" s="49" t="e">
        <f t="shared" ref="AB130:AG130" si="19">AVERAGE(AB107:AB122)</f>
        <v>#VALUE!</v>
      </c>
      <c r="AC130" s="50" t="e">
        <f t="shared" si="19"/>
        <v>#VALUE!</v>
      </c>
      <c r="AD130" s="52" t="e">
        <f t="shared" si="19"/>
        <v>#VALUE!</v>
      </c>
      <c r="AE130" s="49" t="e">
        <f t="shared" si="19"/>
        <v>#VALUE!</v>
      </c>
      <c r="AF130" s="50" t="e">
        <f t="shared" si="19"/>
        <v>#VALUE!</v>
      </c>
      <c r="AG130" s="52" t="e">
        <f t="shared" si="19"/>
        <v>#VALUE!</v>
      </c>
    </row>
    <row r="131" ht="12.75" spans="1:33">
      <c r="A131" s="54"/>
      <c r="B131" s="55" t="s">
        <v>34</v>
      </c>
      <c r="C131" s="55"/>
      <c r="D131" s="55"/>
      <c r="E131" s="55"/>
      <c r="F131" s="55"/>
      <c r="G131" s="55"/>
      <c r="H131" s="55"/>
      <c r="I131" s="56">
        <f>GEOMEAN(I3:I62,I79:I90)</f>
        <v>23.7236695835955</v>
      </c>
      <c r="J131" s="56">
        <f>GEOMEAN(J3:J62,J79:J90)</f>
        <v>5.78659945797072</v>
      </c>
      <c r="K131" s="56"/>
      <c r="L131" s="57"/>
      <c r="M131" s="55"/>
      <c r="N131" s="55"/>
      <c r="O131" s="55"/>
      <c r="P131" s="55"/>
      <c r="Q131" s="55"/>
      <c r="R131" s="55"/>
      <c r="S131" s="56" t="e">
        <f>GEOMEAN(S3:S62,S79:S90)</f>
        <v>#NUM!</v>
      </c>
      <c r="T131" s="56" t="e">
        <f>GEOMEAN(T3:T62,T79:T90)</f>
        <v>#NUM!</v>
      </c>
      <c r="U131" s="56"/>
      <c r="V131" s="57"/>
      <c r="W131" s="56" t="e">
        <f>GEOMEAN(W3:W62,W79:W90)</f>
        <v>#NUM!</v>
      </c>
      <c r="X131" s="56" t="e">
        <f>GEOMEAN(X3:X62,X79:X90)</f>
        <v>#NUM!</v>
      </c>
      <c r="Y131" s="56" t="e">
        <f>GEOMEAN(Y3:Y62,Y79:Y90)</f>
        <v>#NUM!</v>
      </c>
      <c r="Z131" s="57" t="e">
        <f>GEOMEAN(Z3:Z62,Z79:Z90)</f>
        <v>#NUM!</v>
      </c>
      <c r="AA131" s="55"/>
      <c r="AB131" s="62" t="e">
        <f t="shared" ref="AB131:AG131" si="20">AVERAGE(AB3:AB62,AB79:AB90)</f>
        <v>#VALUE!</v>
      </c>
      <c r="AC131" s="63" t="e">
        <f t="shared" si="20"/>
        <v>#VALUE!</v>
      </c>
      <c r="AD131" s="64" t="e">
        <f t="shared" si="20"/>
        <v>#VALUE!</v>
      </c>
      <c r="AE131" s="62" t="e">
        <f t="shared" si="20"/>
        <v>#VALUE!</v>
      </c>
      <c r="AF131" s="63" t="e">
        <f t="shared" si="20"/>
        <v>#VALUE!</v>
      </c>
      <c r="AG131" s="64" t="e">
        <f t="shared" si="20"/>
        <v>#VALUE!</v>
      </c>
    </row>
    <row r="132" spans="2:26">
      <c r="B132" s="2" t="s">
        <v>122</v>
      </c>
      <c r="I132" s="58">
        <f>GEOMEAN(I3:I106)</f>
        <v>13.6671583502902</v>
      </c>
      <c r="J132" s="58">
        <f>GEOMEAN(J3:J106)</f>
        <v>3.52725356447792</v>
      </c>
      <c r="K132" s="58"/>
      <c r="L132" s="59"/>
      <c r="S132" s="58" t="e">
        <f>GEOMEAN(S3:S106)</f>
        <v>#NUM!</v>
      </c>
      <c r="T132" s="58" t="e">
        <f>GEOMEAN(T3:T106)</f>
        <v>#NUM!</v>
      </c>
      <c r="U132" s="58"/>
      <c r="V132" s="59"/>
      <c r="W132" s="58"/>
      <c r="X132" s="58"/>
      <c r="Y132" s="58"/>
      <c r="Z132" s="58"/>
    </row>
    <row r="133" spans="2:26">
      <c r="B133" s="2" t="s">
        <v>123</v>
      </c>
      <c r="S133" s="60" t="e">
        <f>S132/I132</f>
        <v>#NUM!</v>
      </c>
      <c r="T133" s="60" t="e">
        <f>T132/J132</f>
        <v>#NUM!</v>
      </c>
      <c r="U133" s="60"/>
      <c r="V133" s="61"/>
      <c r="W133" s="60"/>
      <c r="X133" s="60"/>
      <c r="Y133" s="60"/>
      <c r="Z133" s="60"/>
    </row>
    <row r="134" spans="2:26">
      <c r="B134" s="2" t="s">
        <v>124</v>
      </c>
      <c r="I134" s="58"/>
      <c r="J134" s="58"/>
      <c r="K134" s="58"/>
      <c r="L134" s="59"/>
      <c r="S134" s="58"/>
      <c r="T134" s="58"/>
      <c r="U134" s="58"/>
      <c r="V134" s="59"/>
      <c r="W134" s="58"/>
      <c r="X134" s="58"/>
      <c r="Y134" s="58"/>
      <c r="Z134" s="58"/>
    </row>
    <row r="136" spans="2:2">
      <c r="B136" s="2" t="s">
        <v>125</v>
      </c>
    </row>
    <row r="137" spans="2:26">
      <c r="B137" s="2" t="s">
        <v>19</v>
      </c>
      <c r="I137" s="42">
        <f>SUM(I$3:I$14)</f>
        <v>0</v>
      </c>
      <c r="J137" s="42">
        <f>SUM(J$3:J$14)</f>
        <v>0</v>
      </c>
      <c r="K137" s="42"/>
      <c r="L137" s="53"/>
      <c r="S137" s="42">
        <f>SUM(S$3:S$14)</f>
        <v>0</v>
      </c>
      <c r="T137" s="42">
        <f>SUM(T$3:T$14)</f>
        <v>0</v>
      </c>
      <c r="U137" s="42"/>
      <c r="V137" s="53"/>
      <c r="W137" s="42" t="e">
        <f>T137/J137</f>
        <v>#DIV/0!</v>
      </c>
      <c r="X137" s="42" t="e">
        <f>S137/I137</f>
        <v>#DIV/0!</v>
      </c>
      <c r="Y137" s="42"/>
      <c r="Z137" s="42"/>
    </row>
    <row r="138" spans="2:26">
      <c r="B138" s="2" t="s">
        <v>21</v>
      </c>
      <c r="I138" s="42">
        <f>SUM(I$15:I$26)</f>
        <v>0</v>
      </c>
      <c r="J138" s="42">
        <f>SUM(J$15:J$26)</f>
        <v>0</v>
      </c>
      <c r="K138" s="42"/>
      <c r="L138" s="53"/>
      <c r="S138" s="42">
        <f>SUM(S$15:S$26)</f>
        <v>0</v>
      </c>
      <c r="T138" s="42">
        <f>SUM(T$15:T$26)</f>
        <v>0</v>
      </c>
      <c r="U138" s="42"/>
      <c r="V138" s="53"/>
      <c r="W138" s="42" t="e">
        <f t="shared" ref="W138:W145" si="21">T138/J138</f>
        <v>#DIV/0!</v>
      </c>
      <c r="X138" s="42" t="e">
        <f t="shared" ref="X138:X145" si="22">S138/I138</f>
        <v>#DIV/0!</v>
      </c>
      <c r="Y138" s="42"/>
      <c r="Z138" s="42"/>
    </row>
    <row r="139" spans="2:26">
      <c r="B139" s="2" t="s">
        <v>22</v>
      </c>
      <c r="I139" s="42">
        <f>SUM(I$27:I$46)</f>
        <v>1134.131</v>
      </c>
      <c r="J139" s="42">
        <f>SUM(J$27:J$46)</f>
        <v>279.458888888889</v>
      </c>
      <c r="K139" s="42"/>
      <c r="L139" s="53"/>
      <c r="S139" s="42">
        <f>SUM(S$27:S$46)</f>
        <v>0</v>
      </c>
      <c r="T139" s="42">
        <f>SUM(T$27:T$46)</f>
        <v>0</v>
      </c>
      <c r="U139" s="42"/>
      <c r="V139" s="53"/>
      <c r="W139" s="42">
        <f t="shared" si="21"/>
        <v>0</v>
      </c>
      <c r="X139" s="42">
        <f t="shared" si="22"/>
        <v>0</v>
      </c>
      <c r="Y139" s="42"/>
      <c r="Z139" s="42"/>
    </row>
    <row r="140" spans="2:26">
      <c r="B140" s="2" t="s">
        <v>23</v>
      </c>
      <c r="I140" s="42">
        <f>SUM(I$47:I$62)</f>
        <v>219.129</v>
      </c>
      <c r="J140" s="42">
        <f>SUM(J$47:J$62)</f>
        <v>59.8458333333333</v>
      </c>
      <c r="K140" s="42"/>
      <c r="L140" s="53"/>
      <c r="S140" s="42">
        <f>SUM(S$47:S$62)</f>
        <v>0</v>
      </c>
      <c r="T140" s="42">
        <f>SUM(T$47:T$62)</f>
        <v>0</v>
      </c>
      <c r="U140" s="42"/>
      <c r="V140" s="53"/>
      <c r="W140" s="42">
        <f t="shared" si="21"/>
        <v>0</v>
      </c>
      <c r="X140" s="42">
        <f t="shared" si="22"/>
        <v>0</v>
      </c>
      <c r="Y140" s="42"/>
      <c r="Z140" s="42"/>
    </row>
    <row r="141" spans="2:26">
      <c r="B141" s="2" t="s">
        <v>27</v>
      </c>
      <c r="I141" s="42">
        <f>SUM(I$63:I$78)</f>
        <v>59.217</v>
      </c>
      <c r="J141" s="42">
        <f>SUM(J$63:J$78)</f>
        <v>14.1983333333333</v>
      </c>
      <c r="K141" s="42"/>
      <c r="L141" s="53"/>
      <c r="S141" s="42">
        <f>SUM(S$63:S$78)</f>
        <v>0</v>
      </c>
      <c r="T141" s="42">
        <f>SUM(T$63:T$78)</f>
        <v>0</v>
      </c>
      <c r="U141" s="42"/>
      <c r="V141" s="53"/>
      <c r="W141" s="42">
        <f t="shared" si="21"/>
        <v>0</v>
      </c>
      <c r="X141" s="42">
        <f t="shared" si="22"/>
        <v>0</v>
      </c>
      <c r="Y141" s="42"/>
      <c r="Z141" s="42"/>
    </row>
    <row r="142" spans="2:26">
      <c r="B142" s="2" t="s">
        <v>24</v>
      </c>
      <c r="I142" s="42">
        <f>SUM(I$79:I$90)</f>
        <v>184.046</v>
      </c>
      <c r="J142" s="42">
        <f>SUM(J$79:J$90)</f>
        <v>47.4972222222222</v>
      </c>
      <c r="K142" s="42"/>
      <c r="L142" s="53"/>
      <c r="S142" s="42">
        <f>SUM(S$79:S$90)</f>
        <v>0</v>
      </c>
      <c r="T142" s="42">
        <f>SUM(T$79:T$90)</f>
        <v>0</v>
      </c>
      <c r="U142" s="42"/>
      <c r="V142" s="53"/>
      <c r="W142" s="42">
        <f t="shared" si="21"/>
        <v>0</v>
      </c>
      <c r="X142" s="42">
        <f t="shared" si="22"/>
        <v>0</v>
      </c>
      <c r="Y142" s="42"/>
      <c r="Z142" s="42"/>
    </row>
    <row r="143" spans="2:26">
      <c r="B143" s="2" t="s">
        <v>28</v>
      </c>
      <c r="I143" s="42">
        <f>SUM(I$91:I$106)</f>
        <v>352.649</v>
      </c>
      <c r="J143" s="42">
        <f>SUM(J$91:J$106)</f>
        <v>107.891388888889</v>
      </c>
      <c r="K143" s="42"/>
      <c r="L143" s="53"/>
      <c r="S143" s="42">
        <f>SUM(S$91:S$106)</f>
        <v>0</v>
      </c>
      <c r="T143" s="42">
        <f>SUM(T$91:T$106)</f>
        <v>0</v>
      </c>
      <c r="U143" s="42"/>
      <c r="V143" s="53"/>
      <c r="W143" s="42">
        <f t="shared" si="21"/>
        <v>0</v>
      </c>
      <c r="X143" s="42">
        <f t="shared" si="22"/>
        <v>0</v>
      </c>
      <c r="Y143" s="42"/>
      <c r="Z143" s="42"/>
    </row>
    <row r="144" spans="2:26">
      <c r="B144" s="2" t="s">
        <v>29</v>
      </c>
      <c r="I144" s="42">
        <f>SUM(I$107:I$122)</f>
        <v>724.976</v>
      </c>
      <c r="J144" s="42">
        <f>SUM(J$107:J$122)</f>
        <v>223.738611111111</v>
      </c>
      <c r="K144" s="42"/>
      <c r="L144" s="53"/>
      <c r="S144" s="42">
        <f>SUM(S$107:S$122)</f>
        <v>0</v>
      </c>
      <c r="T144" s="42">
        <f>SUM(T$107:T$122)</f>
        <v>0</v>
      </c>
      <c r="U144" s="42"/>
      <c r="V144" s="53"/>
      <c r="W144" s="42">
        <f t="shared" si="21"/>
        <v>0</v>
      </c>
      <c r="X144" s="42">
        <f t="shared" si="22"/>
        <v>0</v>
      </c>
      <c r="Y144" s="42"/>
      <c r="Z144" s="42"/>
    </row>
    <row r="145" spans="2:26">
      <c r="B145" s="2" t="s">
        <v>34</v>
      </c>
      <c r="I145" s="42">
        <f>SUM(I137:I144)</f>
        <v>2674.148</v>
      </c>
      <c r="J145" s="42">
        <f>SUM(J137:J144)</f>
        <v>732.630277777778</v>
      </c>
      <c r="K145" s="42"/>
      <c r="L145" s="53"/>
      <c r="S145" s="42">
        <f>SUM(S137:S144)</f>
        <v>0</v>
      </c>
      <c r="T145" s="42">
        <f>SUM(T137:T144)</f>
        <v>0</v>
      </c>
      <c r="U145" s="42"/>
      <c r="V145" s="53"/>
      <c r="W145" s="42">
        <f t="shared" si="21"/>
        <v>0</v>
      </c>
      <c r="X145" s="42">
        <f t="shared" si="22"/>
        <v>0</v>
      </c>
      <c r="Y145" s="42"/>
      <c r="Z145" s="42"/>
    </row>
    <row r="146" spans="23:26">
      <c r="W146" s="42"/>
      <c r="X146" s="42"/>
      <c r="Y146" s="42"/>
      <c r="Z146" s="42"/>
    </row>
    <row r="147" spans="2:26">
      <c r="B147" s="2" t="s">
        <v>126</v>
      </c>
      <c r="W147" s="42"/>
      <c r="X147" s="42"/>
      <c r="Y147" s="42"/>
      <c r="Z147" s="42"/>
    </row>
    <row r="148" spans="2:26">
      <c r="B148" s="2" t="s">
        <v>19</v>
      </c>
      <c r="I148" s="42">
        <f>MAX(I$3:I$14)</f>
        <v>0</v>
      </c>
      <c r="J148" s="42">
        <f>MAX(J$3:J$14)</f>
        <v>0</v>
      </c>
      <c r="K148" s="42"/>
      <c r="L148" s="53"/>
      <c r="S148" s="42">
        <f>MAX(S$3:S$14)</f>
        <v>0</v>
      </c>
      <c r="T148" s="42">
        <f>MAX(T$3:T$14)</f>
        <v>0</v>
      </c>
      <c r="U148" s="42"/>
      <c r="V148" s="53"/>
      <c r="W148" s="42" t="e">
        <f t="shared" ref="W148:W156" si="23">T148/J148</f>
        <v>#DIV/0!</v>
      </c>
      <c r="X148" s="42" t="e">
        <f t="shared" ref="X148:X156" si="24">S148/I148</f>
        <v>#DIV/0!</v>
      </c>
      <c r="Y148" s="42"/>
      <c r="Z148" s="42"/>
    </row>
    <row r="149" spans="2:26">
      <c r="B149" s="2" t="s">
        <v>21</v>
      </c>
      <c r="I149" s="42">
        <f>MAX(I$15:I$26)</f>
        <v>0</v>
      </c>
      <c r="J149" s="42">
        <f>MAX(J$15:J$26)</f>
        <v>0</v>
      </c>
      <c r="K149" s="42"/>
      <c r="L149" s="53"/>
      <c r="S149" s="42">
        <f>MAX(S$15:S$26)</f>
        <v>0</v>
      </c>
      <c r="T149" s="42">
        <f>MAX(T$15:T$26)</f>
        <v>0</v>
      </c>
      <c r="U149" s="42"/>
      <c r="V149" s="53"/>
      <c r="W149" s="42" t="e">
        <f t="shared" si="23"/>
        <v>#DIV/0!</v>
      </c>
      <c r="X149" s="42" t="e">
        <f t="shared" si="24"/>
        <v>#DIV/0!</v>
      </c>
      <c r="Y149" s="42"/>
      <c r="Z149" s="42"/>
    </row>
    <row r="150" spans="2:26">
      <c r="B150" s="2" t="s">
        <v>22</v>
      </c>
      <c r="I150" s="42">
        <f>MAX(I$27:I$46)</f>
        <v>118.802</v>
      </c>
      <c r="J150" s="42">
        <f>MAX(J$27:J$46)</f>
        <v>43.8355555555556</v>
      </c>
      <c r="K150" s="42"/>
      <c r="L150" s="53"/>
      <c r="S150" s="42">
        <f>MAX(S$27:S$46)</f>
        <v>0</v>
      </c>
      <c r="T150" s="42">
        <f>MAX(T$27:T$46)</f>
        <v>0</v>
      </c>
      <c r="U150" s="42"/>
      <c r="V150" s="53"/>
      <c r="W150" s="42">
        <f t="shared" si="23"/>
        <v>0</v>
      </c>
      <c r="X150" s="42">
        <f t="shared" si="24"/>
        <v>0</v>
      </c>
      <c r="Y150" s="42"/>
      <c r="Z150" s="42"/>
    </row>
    <row r="151" spans="2:26">
      <c r="B151" s="2" t="s">
        <v>23</v>
      </c>
      <c r="I151" s="42">
        <f>MAX(I$47:I$62)</f>
        <v>23.276</v>
      </c>
      <c r="J151" s="42">
        <f>MAX(J$47:J$62)</f>
        <v>6.90194444444444</v>
      </c>
      <c r="K151" s="42"/>
      <c r="L151" s="53"/>
      <c r="S151" s="42">
        <f>MAX(S$47:S$62)</f>
        <v>0</v>
      </c>
      <c r="T151" s="42">
        <f>MAX(T$47:T$62)</f>
        <v>0</v>
      </c>
      <c r="U151" s="42"/>
      <c r="V151" s="53"/>
      <c r="W151" s="42">
        <f t="shared" si="23"/>
        <v>0</v>
      </c>
      <c r="X151" s="42">
        <f t="shared" si="24"/>
        <v>0</v>
      </c>
      <c r="Y151" s="42"/>
      <c r="Z151" s="42"/>
    </row>
    <row r="152" spans="2:26">
      <c r="B152" s="2" t="s">
        <v>27</v>
      </c>
      <c r="I152" s="42">
        <f>MAX(I$63:I$78)</f>
        <v>6.598</v>
      </c>
      <c r="J152" s="42">
        <f>MAX(J$63:J$78)</f>
        <v>1.52</v>
      </c>
      <c r="K152" s="42"/>
      <c r="L152" s="53"/>
      <c r="S152" s="42">
        <f>MAX(S$63:S$78)</f>
        <v>0</v>
      </c>
      <c r="T152" s="42">
        <f>MAX(T$63:T$78)</f>
        <v>0</v>
      </c>
      <c r="U152" s="42"/>
      <c r="V152" s="53"/>
      <c r="W152" s="42">
        <f t="shared" si="23"/>
        <v>0</v>
      </c>
      <c r="X152" s="42">
        <f t="shared" si="24"/>
        <v>0</v>
      </c>
      <c r="Y152" s="42"/>
      <c r="Z152" s="42"/>
    </row>
    <row r="153" spans="2:26">
      <c r="B153" s="2" t="s">
        <v>24</v>
      </c>
      <c r="I153" s="42">
        <f>MAX(I$79:I$90)</f>
        <v>27.248</v>
      </c>
      <c r="J153" s="42">
        <f>MAX(J$79:J$90)</f>
        <v>6.60222222222222</v>
      </c>
      <c r="K153" s="42"/>
      <c r="L153" s="53"/>
      <c r="S153" s="42">
        <f>MAX(S$79:S$90)</f>
        <v>0</v>
      </c>
      <c r="T153" s="42">
        <f>MAX(T$79:T$90)</f>
        <v>0</v>
      </c>
      <c r="U153" s="42"/>
      <c r="V153" s="53"/>
      <c r="W153" s="42">
        <f t="shared" si="23"/>
        <v>0</v>
      </c>
      <c r="X153" s="42">
        <f t="shared" si="24"/>
        <v>0</v>
      </c>
      <c r="Y153" s="42"/>
      <c r="Z153" s="42"/>
    </row>
    <row r="154" spans="2:26">
      <c r="B154" s="2" t="s">
        <v>28</v>
      </c>
      <c r="I154" s="42">
        <f>MAX(I$91:I$106)</f>
        <v>98.781</v>
      </c>
      <c r="J154" s="42">
        <f>MAX(J$91:J$106)</f>
        <v>33.5877777777778</v>
      </c>
      <c r="K154" s="42"/>
      <c r="L154" s="53"/>
      <c r="S154" s="42">
        <f>MAX(S$91:S$106)</f>
        <v>0</v>
      </c>
      <c r="T154" s="42">
        <f>MAX(T$91:T$106)</f>
        <v>0</v>
      </c>
      <c r="U154" s="42"/>
      <c r="V154" s="53"/>
      <c r="W154" s="42">
        <f t="shared" si="23"/>
        <v>0</v>
      </c>
      <c r="X154" s="42">
        <f t="shared" si="24"/>
        <v>0</v>
      </c>
      <c r="Y154" s="42"/>
      <c r="Z154" s="42"/>
    </row>
    <row r="155" spans="2:26">
      <c r="B155" s="2" t="s">
        <v>29</v>
      </c>
      <c r="I155" s="42">
        <f>MAX(I$107:I$122)</f>
        <v>109.61</v>
      </c>
      <c r="J155" s="42">
        <f>MAX(J$107:J$122)</f>
        <v>40.1419444444444</v>
      </c>
      <c r="K155" s="42"/>
      <c r="L155" s="53"/>
      <c r="S155" s="42">
        <f>MAX(S$107:S$122)</f>
        <v>0</v>
      </c>
      <c r="T155" s="42">
        <f>MAX(T$107:T$122)</f>
        <v>0</v>
      </c>
      <c r="U155" s="42"/>
      <c r="V155" s="53"/>
      <c r="W155" s="42">
        <f t="shared" si="23"/>
        <v>0</v>
      </c>
      <c r="X155" s="42">
        <f t="shared" si="24"/>
        <v>0</v>
      </c>
      <c r="Y155" s="42"/>
      <c r="Z155" s="42"/>
    </row>
    <row r="156" spans="2:26">
      <c r="B156" s="2" t="s">
        <v>34</v>
      </c>
      <c r="I156" s="42">
        <f>MAX(I148:I155)</f>
        <v>118.802</v>
      </c>
      <c r="J156" s="42">
        <f>MAX(J148:J155)</f>
        <v>43.8355555555556</v>
      </c>
      <c r="K156" s="42"/>
      <c r="L156" s="53"/>
      <c r="S156" s="42">
        <f>MAX(S148:S155)</f>
        <v>0</v>
      </c>
      <c r="T156" s="42">
        <f>MAX(T148:T155)</f>
        <v>0</v>
      </c>
      <c r="U156" s="42"/>
      <c r="V156" s="53"/>
      <c r="W156" s="42">
        <f t="shared" si="23"/>
        <v>0</v>
      </c>
      <c r="X156" s="42">
        <f t="shared" si="24"/>
        <v>0</v>
      </c>
      <c r="Y156" s="42"/>
      <c r="Z156" s="42"/>
    </row>
  </sheetData>
  <mergeCells count="4">
    <mergeCell ref="D1:L1"/>
    <mergeCell ref="N1:V1"/>
    <mergeCell ref="AB1:AD1"/>
    <mergeCell ref="AE1:AG1"/>
  </mergeCells>
  <conditionalFormatting sqref="AE3">
    <cfRule type="cellIs" dxfId="0" priority="271" operator="greaterThan">
      <formula>0.03</formula>
    </cfRule>
    <cfRule type="cellIs" dxfId="1" priority="272" stopIfTrue="1" operator="lessThan">
      <formula>-0.03</formula>
    </cfRule>
  </conditionalFormatting>
  <conditionalFormatting sqref="AF3">
    <cfRule type="cellIs" dxfId="0" priority="269" operator="greaterThan">
      <formula>0.03</formula>
    </cfRule>
    <cfRule type="cellIs" dxfId="1" priority="270" stopIfTrue="1" operator="lessThan">
      <formula>-0.03</formula>
    </cfRule>
  </conditionalFormatting>
  <conditionalFormatting sqref="AG3">
    <cfRule type="cellIs" dxfId="0" priority="267" operator="greaterThan">
      <formula>0.03</formula>
    </cfRule>
    <cfRule type="cellIs" dxfId="1" priority="268" stopIfTrue="1" operator="lessThan">
      <formula>-0.03</formula>
    </cfRule>
  </conditionalFormatting>
  <conditionalFormatting sqref="AE6:AF6">
    <cfRule type="cellIs" dxfId="0" priority="253" operator="greaterThan">
      <formula>0.03</formula>
    </cfRule>
    <cfRule type="cellIs" dxfId="1" priority="254" stopIfTrue="1" operator="lessThan">
      <formula>-0.03</formula>
    </cfRule>
  </conditionalFormatting>
  <conditionalFormatting sqref="AE7">
    <cfRule type="cellIs" dxfId="0" priority="265" operator="greaterThan">
      <formula>0.03</formula>
    </cfRule>
    <cfRule type="cellIs" dxfId="1" priority="266" stopIfTrue="1" operator="lessThan">
      <formula>-0.03</formula>
    </cfRule>
  </conditionalFormatting>
  <conditionalFormatting sqref="AF7">
    <cfRule type="cellIs" dxfId="0" priority="263" operator="greaterThan">
      <formula>0.03</formula>
    </cfRule>
    <cfRule type="cellIs" dxfId="1" priority="264" stopIfTrue="1" operator="lessThan">
      <formula>-0.03</formula>
    </cfRule>
  </conditionalFormatting>
  <conditionalFormatting sqref="AG7">
    <cfRule type="cellIs" dxfId="0" priority="261" operator="greaterThan">
      <formula>0.03</formula>
    </cfRule>
    <cfRule type="cellIs" dxfId="1" priority="262" stopIfTrue="1" operator="lessThan">
      <formula>-0.03</formula>
    </cfRule>
  </conditionalFormatting>
  <conditionalFormatting sqref="AE10:AF10">
    <cfRule type="cellIs" dxfId="0" priority="251" operator="greaterThan">
      <formula>0.03</formula>
    </cfRule>
    <cfRule type="cellIs" dxfId="1" priority="252" stopIfTrue="1" operator="lessThan">
      <formula>-0.03</formula>
    </cfRule>
  </conditionalFormatting>
  <conditionalFormatting sqref="AE11">
    <cfRule type="cellIs" dxfId="0" priority="259" operator="greaterThan">
      <formula>0.03</formula>
    </cfRule>
    <cfRule type="cellIs" dxfId="1" priority="260" stopIfTrue="1" operator="lessThan">
      <formula>-0.03</formula>
    </cfRule>
  </conditionalFormatting>
  <conditionalFormatting sqref="AF11">
    <cfRule type="cellIs" dxfId="0" priority="257" operator="greaterThan">
      <formula>0.03</formula>
    </cfRule>
    <cfRule type="cellIs" dxfId="1" priority="258" stopIfTrue="1" operator="lessThan">
      <formula>-0.03</formula>
    </cfRule>
  </conditionalFormatting>
  <conditionalFormatting sqref="AG11">
    <cfRule type="cellIs" dxfId="0" priority="255" operator="greaterThan">
      <formula>0.03</formula>
    </cfRule>
    <cfRule type="cellIs" dxfId="1" priority="256" stopIfTrue="1" operator="lessThan">
      <formula>-0.03</formula>
    </cfRule>
  </conditionalFormatting>
  <conditionalFormatting sqref="AE14:AF14">
    <cfRule type="cellIs" dxfId="0" priority="249" operator="greaterThan">
      <formula>0.03</formula>
    </cfRule>
    <cfRule type="cellIs" dxfId="1" priority="250" stopIfTrue="1" operator="lessThan">
      <formula>-0.03</formula>
    </cfRule>
  </conditionalFormatting>
  <conditionalFormatting sqref="AE15">
    <cfRule type="cellIs" dxfId="0" priority="233" operator="greaterThan">
      <formula>0.03</formula>
    </cfRule>
    <cfRule type="cellIs" dxfId="1" priority="234" stopIfTrue="1" operator="lessThan">
      <formula>-0.03</formula>
    </cfRule>
  </conditionalFormatting>
  <conditionalFormatting sqref="AF15">
    <cfRule type="cellIs" dxfId="0" priority="231" operator="greaterThan">
      <formula>0.03</formula>
    </cfRule>
    <cfRule type="cellIs" dxfId="1" priority="232" stopIfTrue="1" operator="lessThan">
      <formula>-0.03</formula>
    </cfRule>
  </conditionalFormatting>
  <conditionalFormatting sqref="AG15">
    <cfRule type="cellIs" dxfId="0" priority="229" operator="greaterThan">
      <formula>0.03</formula>
    </cfRule>
    <cfRule type="cellIs" dxfId="1" priority="230" stopIfTrue="1" operator="lessThan">
      <formula>-0.03</formula>
    </cfRule>
  </conditionalFormatting>
  <conditionalFormatting sqref="AE18:AF18">
    <cfRule type="cellIs" dxfId="0" priority="215" operator="greaterThan">
      <formula>0.03</formula>
    </cfRule>
    <cfRule type="cellIs" dxfId="1" priority="216" stopIfTrue="1" operator="lessThan">
      <formula>-0.03</formula>
    </cfRule>
  </conditionalFormatting>
  <conditionalFormatting sqref="AE19">
    <cfRule type="cellIs" dxfId="0" priority="227" operator="greaterThan">
      <formula>0.03</formula>
    </cfRule>
    <cfRule type="cellIs" dxfId="1" priority="228" stopIfTrue="1" operator="lessThan">
      <formula>-0.03</formula>
    </cfRule>
  </conditionalFormatting>
  <conditionalFormatting sqref="AF19">
    <cfRule type="cellIs" dxfId="0" priority="225" operator="greaterThan">
      <formula>0.03</formula>
    </cfRule>
    <cfRule type="cellIs" dxfId="1" priority="226" stopIfTrue="1" operator="lessThan">
      <formula>-0.03</formula>
    </cfRule>
  </conditionalFormatting>
  <conditionalFormatting sqref="AG19">
    <cfRule type="cellIs" dxfId="0" priority="223" operator="greaterThan">
      <formula>0.03</formula>
    </cfRule>
    <cfRule type="cellIs" dxfId="1" priority="224" stopIfTrue="1" operator="lessThan">
      <formula>-0.03</formula>
    </cfRule>
  </conditionalFormatting>
  <conditionalFormatting sqref="AE22:AF22">
    <cfRule type="cellIs" dxfId="0" priority="213" operator="greaterThan">
      <formula>0.03</formula>
    </cfRule>
    <cfRule type="cellIs" dxfId="1" priority="214" stopIfTrue="1" operator="lessThan">
      <formula>-0.03</formula>
    </cfRule>
  </conditionalFormatting>
  <conditionalFormatting sqref="AE23">
    <cfRule type="cellIs" dxfId="0" priority="221" operator="greaterThan">
      <formula>0.03</formula>
    </cfRule>
    <cfRule type="cellIs" dxfId="1" priority="222" stopIfTrue="1" operator="lessThan">
      <formula>-0.03</formula>
    </cfRule>
  </conditionalFormatting>
  <conditionalFormatting sqref="AF23">
    <cfRule type="cellIs" dxfId="0" priority="219" operator="greaterThan">
      <formula>0.03</formula>
    </cfRule>
    <cfRule type="cellIs" dxfId="1" priority="220" stopIfTrue="1" operator="lessThan">
      <formula>-0.03</formula>
    </cfRule>
  </conditionalFormatting>
  <conditionalFormatting sqref="AG23">
    <cfRule type="cellIs" dxfId="0" priority="217" operator="greaterThan">
      <formula>0.03</formula>
    </cfRule>
    <cfRule type="cellIs" dxfId="1" priority="218" stopIfTrue="1" operator="lessThan">
      <formula>-0.03</formula>
    </cfRule>
  </conditionalFormatting>
  <conditionalFormatting sqref="AE26:AF26">
    <cfRule type="cellIs" dxfId="0" priority="211" operator="greaterThan">
      <formula>0.03</formula>
    </cfRule>
    <cfRule type="cellIs" dxfId="1" priority="212" stopIfTrue="1" operator="lessThan">
      <formula>-0.03</formula>
    </cfRule>
  </conditionalFormatting>
  <conditionalFormatting sqref="AE27">
    <cfRule type="cellIs" dxfId="0" priority="207" operator="greaterThan">
      <formula>0.03</formula>
    </cfRule>
    <cfRule type="cellIs" dxfId="1" priority="208" stopIfTrue="1" operator="lessThan">
      <formula>-0.03</formula>
    </cfRule>
  </conditionalFormatting>
  <conditionalFormatting sqref="AF27">
    <cfRule type="cellIs" dxfId="0" priority="205" operator="greaterThan">
      <formula>0.03</formula>
    </cfRule>
    <cfRule type="cellIs" dxfId="1" priority="206" stopIfTrue="1" operator="lessThan">
      <formula>-0.03</formula>
    </cfRule>
  </conditionalFormatting>
  <conditionalFormatting sqref="AG27">
    <cfRule type="cellIs" dxfId="0" priority="203" operator="greaterThan">
      <formula>0.03</formula>
    </cfRule>
    <cfRule type="cellIs" dxfId="1" priority="204" stopIfTrue="1" operator="lessThan">
      <formula>-0.03</formula>
    </cfRule>
  </conditionalFormatting>
  <conditionalFormatting sqref="AE30:AF30">
    <cfRule type="cellIs" dxfId="0" priority="201" operator="greaterThan">
      <formula>0.03</formula>
    </cfRule>
    <cfRule type="cellIs" dxfId="1" priority="202" stopIfTrue="1" operator="lessThan">
      <formula>-0.03</formula>
    </cfRule>
  </conditionalFormatting>
  <conditionalFormatting sqref="AE31">
    <cfRule type="cellIs" dxfId="0" priority="197" operator="greaterThan">
      <formula>0.03</formula>
    </cfRule>
    <cfRule type="cellIs" dxfId="1" priority="198" stopIfTrue="1" operator="lessThan">
      <formula>-0.03</formula>
    </cfRule>
  </conditionalFormatting>
  <conditionalFormatting sqref="AF31">
    <cfRule type="cellIs" dxfId="0" priority="195" operator="greaterThan">
      <formula>0.03</formula>
    </cfRule>
    <cfRule type="cellIs" dxfId="1" priority="196" stopIfTrue="1" operator="lessThan">
      <formula>-0.03</formula>
    </cfRule>
  </conditionalFormatting>
  <conditionalFormatting sqref="AG31">
    <cfRule type="cellIs" dxfId="0" priority="193" operator="greaterThan">
      <formula>0.03</formula>
    </cfRule>
    <cfRule type="cellIs" dxfId="1" priority="194" stopIfTrue="1" operator="lessThan">
      <formula>-0.03</formula>
    </cfRule>
  </conditionalFormatting>
  <conditionalFormatting sqref="AE34:AF34">
    <cfRule type="cellIs" dxfId="0" priority="185" operator="greaterThan">
      <formula>0.03</formula>
    </cfRule>
    <cfRule type="cellIs" dxfId="1" priority="186" stopIfTrue="1" operator="lessThan">
      <formula>-0.03</formula>
    </cfRule>
  </conditionalFormatting>
  <conditionalFormatting sqref="AE35">
    <cfRule type="cellIs" dxfId="0" priority="191" operator="greaterThan">
      <formula>0.03</formula>
    </cfRule>
    <cfRule type="cellIs" dxfId="1" priority="192" stopIfTrue="1" operator="lessThan">
      <formula>-0.03</formula>
    </cfRule>
  </conditionalFormatting>
  <conditionalFormatting sqref="AF35">
    <cfRule type="cellIs" dxfId="0" priority="189" operator="greaterThan">
      <formula>0.03</formula>
    </cfRule>
    <cfRule type="cellIs" dxfId="1" priority="190" stopIfTrue="1" operator="lessThan">
      <formula>-0.03</formula>
    </cfRule>
  </conditionalFormatting>
  <conditionalFormatting sqref="AG35">
    <cfRule type="cellIs" dxfId="0" priority="187" operator="greaterThan">
      <formula>0.03</formula>
    </cfRule>
    <cfRule type="cellIs" dxfId="1" priority="188" stopIfTrue="1" operator="lessThan">
      <formula>-0.03</formula>
    </cfRule>
  </conditionalFormatting>
  <conditionalFormatting sqref="AE38:AF38">
    <cfRule type="cellIs" dxfId="0" priority="183" operator="greaterThan">
      <formula>0.03</formula>
    </cfRule>
    <cfRule type="cellIs" dxfId="1" priority="184" stopIfTrue="1" operator="lessThan">
      <formula>-0.03</formula>
    </cfRule>
  </conditionalFormatting>
  <conditionalFormatting sqref="AE39">
    <cfRule type="cellIs" dxfId="0" priority="179" operator="greaterThan">
      <formula>0.03</formula>
    </cfRule>
    <cfRule type="cellIs" dxfId="1" priority="180" stopIfTrue="1" operator="lessThan">
      <formula>-0.03</formula>
    </cfRule>
  </conditionalFormatting>
  <conditionalFormatting sqref="AF39">
    <cfRule type="cellIs" dxfId="0" priority="177" operator="greaterThan">
      <formula>0.03</formula>
    </cfRule>
    <cfRule type="cellIs" dxfId="1" priority="178" stopIfTrue="1" operator="lessThan">
      <formula>-0.03</formula>
    </cfRule>
  </conditionalFormatting>
  <conditionalFormatting sqref="AG39">
    <cfRule type="cellIs" dxfId="0" priority="175" operator="greaterThan">
      <formula>0.03</formula>
    </cfRule>
    <cfRule type="cellIs" dxfId="1" priority="176" stopIfTrue="1" operator="lessThan">
      <formula>-0.03</formula>
    </cfRule>
  </conditionalFormatting>
  <conditionalFormatting sqref="AE42:AF42">
    <cfRule type="cellIs" dxfId="0" priority="167" operator="greaterThan">
      <formula>0.03</formula>
    </cfRule>
    <cfRule type="cellIs" dxfId="1" priority="168" stopIfTrue="1" operator="lessThan">
      <formula>-0.03</formula>
    </cfRule>
  </conditionalFormatting>
  <conditionalFormatting sqref="AE43">
    <cfRule type="cellIs" dxfId="0" priority="173" operator="greaterThan">
      <formula>0.03</formula>
    </cfRule>
    <cfRule type="cellIs" dxfId="1" priority="174" stopIfTrue="1" operator="lessThan">
      <formula>-0.03</formula>
    </cfRule>
  </conditionalFormatting>
  <conditionalFormatting sqref="AF43">
    <cfRule type="cellIs" dxfId="0" priority="171" operator="greaterThan">
      <formula>0.03</formula>
    </cfRule>
    <cfRule type="cellIs" dxfId="1" priority="172" stopIfTrue="1" operator="lessThan">
      <formula>-0.03</formula>
    </cfRule>
  </conditionalFormatting>
  <conditionalFormatting sqref="AG43">
    <cfRule type="cellIs" dxfId="0" priority="169" operator="greaterThan">
      <formula>0.03</formula>
    </cfRule>
    <cfRule type="cellIs" dxfId="1" priority="170" stopIfTrue="1" operator="lessThan">
      <formula>-0.03</formula>
    </cfRule>
  </conditionalFormatting>
  <conditionalFormatting sqref="AE46:AF46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AE47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AF47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AG47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AE50:AF50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AE51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AF51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AG51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AE54:AF54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AE55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AF55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AG55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AE58:AF58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AE59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AF59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AG59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AE62:AF62">
    <cfRule type="cellIs" dxfId="0" priority="131" operator="greaterThan">
      <formula>0.03</formula>
    </cfRule>
    <cfRule type="cellIs" dxfId="1" priority="132" stopIfTrue="1" operator="lessThan">
      <formula>-0.03</formula>
    </cfRule>
  </conditionalFormatting>
  <conditionalFormatting sqref="AE63">
    <cfRule type="cellIs" dxfId="0" priority="127" operator="greaterThan">
      <formula>0.03</formula>
    </cfRule>
    <cfRule type="cellIs" dxfId="1" priority="128" stopIfTrue="1" operator="lessThan">
      <formula>-0.03</formula>
    </cfRule>
  </conditionalFormatting>
  <conditionalFormatting sqref="AF63">
    <cfRule type="cellIs" dxfId="0" priority="125" operator="greaterThan">
      <formula>0.03</formula>
    </cfRule>
    <cfRule type="cellIs" dxfId="1" priority="126" stopIfTrue="1" operator="lessThan">
      <formula>-0.03</formula>
    </cfRule>
  </conditionalFormatting>
  <conditionalFormatting sqref="AG63">
    <cfRule type="cellIs" dxfId="0" priority="123" operator="greaterThan">
      <formula>0.03</formula>
    </cfRule>
    <cfRule type="cellIs" dxfId="1" priority="124" stopIfTrue="1" operator="lessThan">
      <formula>-0.03</formula>
    </cfRule>
  </conditionalFormatting>
  <conditionalFormatting sqref="AE66:AF66">
    <cfRule type="cellIs" dxfId="0" priority="103" operator="greaterThan">
      <formula>0.03</formula>
    </cfRule>
    <cfRule type="cellIs" dxfId="1" priority="104" stopIfTrue="1" operator="lessThan">
      <formula>-0.03</formula>
    </cfRule>
  </conditionalFormatting>
  <conditionalFormatting sqref="AE67">
    <cfRule type="cellIs" dxfId="0" priority="121" operator="greaterThan">
      <formula>0.03</formula>
    </cfRule>
    <cfRule type="cellIs" dxfId="1" priority="122" stopIfTrue="1" operator="lessThan">
      <formula>-0.03</formula>
    </cfRule>
  </conditionalFormatting>
  <conditionalFormatting sqref="AF67">
    <cfRule type="cellIs" dxfId="0" priority="119" operator="greaterThan">
      <formula>0.03</formula>
    </cfRule>
    <cfRule type="cellIs" dxfId="1" priority="120" stopIfTrue="1" operator="lessThan">
      <formula>-0.03</formula>
    </cfRule>
  </conditionalFormatting>
  <conditionalFormatting sqref="AG67">
    <cfRule type="cellIs" dxfId="0" priority="117" operator="greaterThan">
      <formula>0.03</formula>
    </cfRule>
    <cfRule type="cellIs" dxfId="1" priority="118" stopIfTrue="1" operator="lessThan">
      <formula>-0.03</formula>
    </cfRule>
  </conditionalFormatting>
  <conditionalFormatting sqref="AE70:AF70">
    <cfRule type="cellIs" dxfId="0" priority="101" operator="greaterThan">
      <formula>0.03</formula>
    </cfRule>
    <cfRule type="cellIs" dxfId="1" priority="102" stopIfTrue="1" operator="lessThan">
      <formula>-0.03</formula>
    </cfRule>
  </conditionalFormatting>
  <conditionalFormatting sqref="AE71">
    <cfRule type="cellIs" dxfId="0" priority="115" operator="greaterThan">
      <formula>0.03</formula>
    </cfRule>
    <cfRule type="cellIs" dxfId="1" priority="116" stopIfTrue="1" operator="lessThan">
      <formula>-0.03</formula>
    </cfRule>
  </conditionalFormatting>
  <conditionalFormatting sqref="AF71">
    <cfRule type="cellIs" dxfId="0" priority="113" operator="greaterThan">
      <formula>0.03</formula>
    </cfRule>
    <cfRule type="cellIs" dxfId="1" priority="114" stopIfTrue="1" operator="lessThan">
      <formula>-0.03</formula>
    </cfRule>
  </conditionalFormatting>
  <conditionalFormatting sqref="AG71">
    <cfRule type="cellIs" dxfId="0" priority="111" operator="greaterThan">
      <formula>0.03</formula>
    </cfRule>
    <cfRule type="cellIs" dxfId="1" priority="112" stopIfTrue="1" operator="lessThan">
      <formula>-0.03</formula>
    </cfRule>
  </conditionalFormatting>
  <conditionalFormatting sqref="AE74:AF74">
    <cfRule type="cellIs" dxfId="0" priority="99" operator="greaterThan">
      <formula>0.03</formula>
    </cfRule>
    <cfRule type="cellIs" dxfId="1" priority="100" stopIfTrue="1" operator="lessThan">
      <formula>-0.03</formula>
    </cfRule>
  </conditionalFormatting>
  <conditionalFormatting sqref="AE75">
    <cfRule type="cellIs" dxfId="0" priority="109" operator="greaterThan">
      <formula>0.03</formula>
    </cfRule>
    <cfRule type="cellIs" dxfId="1" priority="110" stopIfTrue="1" operator="lessThan">
      <formula>-0.03</formula>
    </cfRule>
  </conditionalFormatting>
  <conditionalFormatting sqref="AF75">
    <cfRule type="cellIs" dxfId="0" priority="107" operator="greaterThan">
      <formula>0.03</formula>
    </cfRule>
    <cfRule type="cellIs" dxfId="1" priority="108" stopIfTrue="1" operator="lessThan">
      <formula>-0.03</formula>
    </cfRule>
  </conditionalFormatting>
  <conditionalFormatting sqref="AG75">
    <cfRule type="cellIs" dxfId="0" priority="105" operator="greaterThan">
      <formula>0.03</formula>
    </cfRule>
    <cfRule type="cellIs" dxfId="1" priority="106" stopIfTrue="1" operator="lessThan">
      <formula>-0.03</formula>
    </cfRule>
  </conditionalFormatting>
  <conditionalFormatting sqref="AE78:AF78">
    <cfRule type="cellIs" dxfId="0" priority="97" operator="greaterThan">
      <formula>0.03</formula>
    </cfRule>
    <cfRule type="cellIs" dxfId="1" priority="98" stopIfTrue="1" operator="lessThan">
      <formula>-0.03</formula>
    </cfRule>
  </conditionalFormatting>
  <conditionalFormatting sqref="AE79">
    <cfRule type="cellIs" dxfId="0" priority="59" operator="greaterThan">
      <formula>0.03</formula>
    </cfRule>
    <cfRule type="cellIs" dxfId="1" priority="60" stopIfTrue="1" operator="lessThan">
      <formula>-0.03</formula>
    </cfRule>
  </conditionalFormatting>
  <conditionalFormatting sqref="AF79">
    <cfRule type="cellIs" dxfId="0" priority="57" operator="greaterThan">
      <formula>0.03</formula>
    </cfRule>
    <cfRule type="cellIs" dxfId="1" priority="58" stopIfTrue="1" operator="lessThan">
      <formula>-0.03</formula>
    </cfRule>
  </conditionalFormatting>
  <conditionalFormatting sqref="AG79">
    <cfRule type="cellIs" dxfId="0" priority="55" operator="greaterThan">
      <formula>0.03</formula>
    </cfRule>
    <cfRule type="cellIs" dxfId="1" priority="56" stopIfTrue="1" operator="lessThan">
      <formula>-0.03</formula>
    </cfRule>
  </conditionalFormatting>
  <conditionalFormatting sqref="AE82:AF82">
    <cfRule type="cellIs" dxfId="0" priority="41" operator="greaterThan">
      <formula>0.03</formula>
    </cfRule>
    <cfRule type="cellIs" dxfId="1" priority="42" stopIfTrue="1" operator="lessThan">
      <formula>-0.03</formula>
    </cfRule>
  </conditionalFormatting>
  <conditionalFormatting sqref="AE83">
    <cfRule type="cellIs" dxfId="0" priority="53" operator="greaterThan">
      <formula>0.03</formula>
    </cfRule>
    <cfRule type="cellIs" dxfId="1" priority="54" stopIfTrue="1" operator="lessThan">
      <formula>-0.03</formula>
    </cfRule>
  </conditionalFormatting>
  <conditionalFormatting sqref="AF83">
    <cfRule type="cellIs" dxfId="0" priority="51" operator="greaterThan">
      <formula>0.03</formula>
    </cfRule>
    <cfRule type="cellIs" dxfId="1" priority="52" stopIfTrue="1" operator="lessThan">
      <formula>-0.03</formula>
    </cfRule>
  </conditionalFormatting>
  <conditionalFormatting sqref="AG83">
    <cfRule type="cellIs" dxfId="0" priority="49" operator="greaterThan">
      <formula>0.03</formula>
    </cfRule>
    <cfRule type="cellIs" dxfId="1" priority="50" stopIfTrue="1" operator="lessThan">
      <formula>-0.03</formula>
    </cfRule>
  </conditionalFormatting>
  <conditionalFormatting sqref="AE86:AF86">
    <cfRule type="cellIs" dxfId="0" priority="39" operator="greaterThan">
      <formula>0.03</formula>
    </cfRule>
    <cfRule type="cellIs" dxfId="1" priority="40" stopIfTrue="1" operator="lessThan">
      <formula>-0.03</formula>
    </cfRule>
  </conditionalFormatting>
  <conditionalFormatting sqref="AE87">
    <cfRule type="cellIs" dxfId="0" priority="47" operator="greaterThan">
      <formula>0.03</formula>
    </cfRule>
    <cfRule type="cellIs" dxfId="1" priority="48" stopIfTrue="1" operator="lessThan">
      <formula>-0.03</formula>
    </cfRule>
  </conditionalFormatting>
  <conditionalFormatting sqref="AF87">
    <cfRule type="cellIs" dxfId="0" priority="45" operator="greaterThan">
      <formula>0.03</formula>
    </cfRule>
    <cfRule type="cellIs" dxfId="1" priority="46" stopIfTrue="1" operator="lessThan">
      <formula>-0.03</formula>
    </cfRule>
  </conditionalFormatting>
  <conditionalFormatting sqref="AG87">
    <cfRule type="cellIs" dxfId="0" priority="43" operator="greaterThan">
      <formula>0.03</formula>
    </cfRule>
    <cfRule type="cellIs" dxfId="1" priority="44" stopIfTrue="1" operator="lessThan">
      <formula>-0.03</formula>
    </cfRule>
  </conditionalFormatting>
  <conditionalFormatting sqref="AE90:AF90">
    <cfRule type="cellIs" dxfId="0" priority="37" operator="greaterThan">
      <formula>0.03</formula>
    </cfRule>
    <cfRule type="cellIs" dxfId="1" priority="38" stopIfTrue="1" operator="lessThan">
      <formula>-0.03</formula>
    </cfRule>
  </conditionalFormatting>
  <conditionalFormatting sqref="AE91">
    <cfRule type="cellIs" dxfId="0" priority="93" operator="greaterThan">
      <formula>0.03</formula>
    </cfRule>
    <cfRule type="cellIs" dxfId="1" priority="94" stopIfTrue="1" operator="lessThan">
      <formula>-0.03</formula>
    </cfRule>
  </conditionalFormatting>
  <conditionalFormatting sqref="AF91">
    <cfRule type="cellIs" dxfId="0" priority="91" operator="greaterThan">
      <formula>0.03</formula>
    </cfRule>
    <cfRule type="cellIs" dxfId="1" priority="92" stopIfTrue="1" operator="lessThan">
      <formula>-0.03</formula>
    </cfRule>
  </conditionalFormatting>
  <conditionalFormatting sqref="AG91">
    <cfRule type="cellIs" dxfId="0" priority="89" operator="greaterThan">
      <formula>0.03</formula>
    </cfRule>
    <cfRule type="cellIs" dxfId="1" priority="90" stopIfTrue="1" operator="lessThan">
      <formula>-0.03</formula>
    </cfRule>
  </conditionalFormatting>
  <conditionalFormatting sqref="AE94:AF94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AE95">
    <cfRule type="cellIs" dxfId="0" priority="87" operator="greaterThan">
      <formula>0.03</formula>
    </cfRule>
    <cfRule type="cellIs" dxfId="1" priority="88" stopIfTrue="1" operator="lessThan">
      <formula>-0.03</formula>
    </cfRule>
  </conditionalFormatting>
  <conditionalFormatting sqref="AF95">
    <cfRule type="cellIs" dxfId="0" priority="85" operator="greaterThan">
      <formula>0.03</formula>
    </cfRule>
    <cfRule type="cellIs" dxfId="1" priority="86" stopIfTrue="1" operator="lessThan">
      <formula>-0.03</formula>
    </cfRule>
  </conditionalFormatting>
  <conditionalFormatting sqref="AG95">
    <cfRule type="cellIs" dxfId="0" priority="83" operator="greaterThan">
      <formula>0.03</formula>
    </cfRule>
    <cfRule type="cellIs" dxfId="1" priority="84" stopIfTrue="1" operator="lessThan">
      <formula>-0.03</formula>
    </cfRule>
  </conditionalFormatting>
  <conditionalFormatting sqref="AE98:AF98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AE99">
    <cfRule type="cellIs" dxfId="0" priority="81" operator="greaterThan">
      <formula>0.03</formula>
    </cfRule>
    <cfRule type="cellIs" dxfId="1" priority="82" stopIfTrue="1" operator="lessThan">
      <formula>-0.03</formula>
    </cfRule>
  </conditionalFormatting>
  <conditionalFormatting sqref="AF99">
    <cfRule type="cellIs" dxfId="0" priority="79" operator="greaterThan">
      <formula>0.03</formula>
    </cfRule>
    <cfRule type="cellIs" dxfId="1" priority="80" stopIfTrue="1" operator="lessThan">
      <formula>-0.03</formula>
    </cfRule>
  </conditionalFormatting>
  <conditionalFormatting sqref="AG99">
    <cfRule type="cellIs" dxfId="0" priority="77" operator="greaterThan">
      <formula>0.03</formula>
    </cfRule>
    <cfRule type="cellIs" dxfId="1" priority="78" stopIfTrue="1" operator="lessThan">
      <formula>-0.03</formula>
    </cfRule>
  </conditionalFormatting>
  <conditionalFormatting sqref="AE102:AF102">
    <cfRule type="cellIs" dxfId="0" priority="65" operator="greaterThan">
      <formula>0.03</formula>
    </cfRule>
    <cfRule type="cellIs" dxfId="1" priority="66" stopIfTrue="1" operator="lessThan">
      <formula>-0.03</formula>
    </cfRule>
  </conditionalFormatting>
  <conditionalFormatting sqref="AE103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conditionalFormatting sqref="AF103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AG103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conditionalFormatting sqref="AE106:AF106">
    <cfRule type="cellIs" dxfId="0" priority="63" operator="greaterThan">
      <formula>0.03</formula>
    </cfRule>
    <cfRule type="cellIs" dxfId="1" priority="64" stopIfTrue="1" operator="lessThan">
      <formula>-0.03</formula>
    </cfRule>
  </conditionalFormatting>
  <conditionalFormatting sqref="AE107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AF107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AG107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AE110:AF110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AE111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AF111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AG111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AE114:AF114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AE115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AF115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AG115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AE118:AF118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AE119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AF119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AG119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AE122:AF122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AB124:AG124">
    <cfRule type="cellIs" dxfId="0" priority="237" operator="greaterThan">
      <formula>0.03</formula>
    </cfRule>
    <cfRule type="cellIs" dxfId="1" priority="238" stopIfTrue="1" operator="lessThan">
      <formula>-0.03</formula>
    </cfRule>
  </conditionalFormatting>
  <conditionalFormatting sqref="AB126:AG126">
    <cfRule type="cellIs" dxfId="0" priority="241" operator="greaterThan">
      <formula>0.03</formula>
    </cfRule>
    <cfRule type="cellIs" dxfId="1" priority="242" stopIfTrue="1" operator="lessThan">
      <formula>-0.03</formula>
    </cfRule>
  </conditionalFormatting>
  <conditionalFormatting sqref="AB129:AG129">
    <cfRule type="cellIs" dxfId="0" priority="239" operator="greaterThan">
      <formula>0.03</formula>
    </cfRule>
    <cfRule type="cellIs" dxfId="1" priority="240" stopIfTrue="1" operator="lessThan">
      <formula>-0.03</formula>
    </cfRule>
  </conditionalFormatting>
  <conditionalFormatting sqref="AB130:AG130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AB131:AG131">
    <cfRule type="cellIs" dxfId="0" priority="247" operator="greaterThan">
      <formula>0.03</formula>
    </cfRule>
    <cfRule type="cellIs" dxfId="1" priority="248" stopIfTrue="1" operator="lessThan">
      <formula>-0.03</formula>
    </cfRule>
  </conditionalFormatting>
  <conditionalFormatting sqref="AB3:AD14">
    <cfRule type="cellIs" dxfId="0" priority="273" operator="greaterThan">
      <formula>0.03</formula>
    </cfRule>
    <cfRule type="cellIs" dxfId="1" priority="274" stopIfTrue="1" operator="lessThan">
      <formula>-0.03</formula>
    </cfRule>
  </conditionalFormatting>
  <conditionalFormatting sqref="AB15:AD26">
    <cfRule type="cellIs" dxfId="0" priority="235" operator="greaterThan">
      <formula>0.03</formula>
    </cfRule>
    <cfRule type="cellIs" dxfId="1" priority="236" stopIfTrue="1" operator="lessThan">
      <formula>-0.03</formula>
    </cfRule>
  </conditionalFormatting>
  <conditionalFormatting sqref="AB27:AD30">
    <cfRule type="cellIs" dxfId="0" priority="209" operator="greaterThan">
      <formula>0.03</formula>
    </cfRule>
    <cfRule type="cellIs" dxfId="1" priority="210" stopIfTrue="1" operator="lessThan">
      <formula>-0.03</formula>
    </cfRule>
  </conditionalFormatting>
  <conditionalFormatting sqref="AB31:AD38">
    <cfRule type="cellIs" dxfId="0" priority="199" operator="greaterThan">
      <formula>0.03</formula>
    </cfRule>
    <cfRule type="cellIs" dxfId="1" priority="200" stopIfTrue="1" operator="lessThan">
      <formula>-0.03</formula>
    </cfRule>
  </conditionalFormatting>
  <conditionalFormatting sqref="AB39:AD46">
    <cfRule type="cellIs" dxfId="0" priority="181" operator="greaterThan">
      <formula>0.03</formula>
    </cfRule>
    <cfRule type="cellIs" dxfId="1" priority="182" stopIfTrue="1" operator="lessThan">
      <formula>-0.03</formula>
    </cfRule>
  </conditionalFormatting>
  <conditionalFormatting sqref="AB47:AD62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AB63:AD78">
    <cfRule type="cellIs" dxfId="0" priority="129" operator="greaterThan">
      <formula>0.03</formula>
    </cfRule>
    <cfRule type="cellIs" dxfId="1" priority="130" stopIfTrue="1" operator="lessThan">
      <formula>-0.03</formula>
    </cfRule>
  </conditionalFormatting>
  <conditionalFormatting sqref="AB79:AD90">
    <cfRule type="cellIs" dxfId="0" priority="61" operator="greaterThan">
      <formula>0.03</formula>
    </cfRule>
    <cfRule type="cellIs" dxfId="1" priority="62" stopIfTrue="1" operator="lessThan">
      <formula>-0.03</formula>
    </cfRule>
  </conditionalFormatting>
  <conditionalFormatting sqref="AB91:AD106">
    <cfRule type="cellIs" dxfId="0" priority="95" operator="greaterThan">
      <formula>0.03</formula>
    </cfRule>
    <cfRule type="cellIs" dxfId="1" priority="96" stopIfTrue="1" operator="lessThan">
      <formula>-0.03</formula>
    </cfRule>
  </conditionalFormatting>
  <conditionalFormatting sqref="AB107:AD122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AB123:AG123 AB125:AG125">
    <cfRule type="cellIs" dxfId="0" priority="243" operator="greaterThan">
      <formula>0.03</formula>
    </cfRule>
    <cfRule type="cellIs" dxfId="1" priority="244" stopIfTrue="1" operator="lessThan">
      <formula>-0.03</formula>
    </cfRule>
  </conditionalFormatting>
  <conditionalFormatting sqref="AB127:AG128">
    <cfRule type="cellIs" dxfId="0" priority="245" operator="greaterThan">
      <formula>0.03</formula>
    </cfRule>
    <cfRule type="cellIs" dxfId="1" priority="246" stopIfTrue="1" operator="lessThan">
      <formula>-0.03</formula>
    </cfRule>
  </conditionalFormatting>
  <pageMargins left="0.75" right="0.75" top="1" bottom="1" header="0.5" footer="0.5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481"/>
  <sheetViews>
    <sheetView zoomScale="115" zoomScaleNormal="115" topLeftCell="A29" workbookViewId="0">
      <selection activeCell="H12" sqref="H12"/>
    </sheetView>
  </sheetViews>
  <sheetFormatPr defaultColWidth="9" defaultRowHeight="13.5"/>
  <cols>
    <col min="1" max="16384" width="9" style="1"/>
  </cols>
  <sheetData>
    <row r="1" s="1" customFormat="1" spans="1:11">
      <c r="A1" s="1" t="s">
        <v>127</v>
      </c>
      <c r="B1" s="1">
        <v>19999.8714</v>
      </c>
      <c r="C1" s="1">
        <v>42.0977</v>
      </c>
      <c r="D1" s="1">
        <v>49.8343</v>
      </c>
      <c r="E1" s="1">
        <v>48.7766</v>
      </c>
      <c r="F1" s="1">
        <v>104742</v>
      </c>
      <c r="G1" s="1">
        <v>55.514</v>
      </c>
      <c r="H1" s="1">
        <v>4980056</v>
      </c>
      <c r="I1" s="1">
        <v>999388</v>
      </c>
      <c r="J1" s="1" t="s">
        <v>128</v>
      </c>
      <c r="K1" s="1" t="s">
        <v>129</v>
      </c>
    </row>
    <row r="2" s="1" customFormat="1" spans="1:11">
      <c r="A2" s="1" t="s">
        <v>130</v>
      </c>
      <c r="B2" s="1">
        <v>4350.0357</v>
      </c>
      <c r="C2" s="1">
        <v>40.1426</v>
      </c>
      <c r="D2" s="1">
        <v>48.8898</v>
      </c>
      <c r="E2" s="1">
        <v>46.9873</v>
      </c>
      <c r="F2" s="1">
        <v>33415</v>
      </c>
      <c r="G2" s="1">
        <v>38.355</v>
      </c>
      <c r="H2" s="1">
        <v>4901764</v>
      </c>
      <c r="I2" s="1">
        <v>1117176</v>
      </c>
      <c r="J2" s="1" t="s">
        <v>128</v>
      </c>
      <c r="K2" s="1" t="s">
        <v>131</v>
      </c>
    </row>
    <row r="3" s="1" customFormat="1" spans="1:11">
      <c r="A3" s="1" t="s">
        <v>132</v>
      </c>
      <c r="B3" s="1">
        <v>2444.8378</v>
      </c>
      <c r="C3" s="1">
        <v>39.3603</v>
      </c>
      <c r="D3" s="1">
        <v>47.5908</v>
      </c>
      <c r="E3" s="1">
        <v>45.0674</v>
      </c>
      <c r="F3" s="1">
        <v>16750</v>
      </c>
      <c r="G3" s="1">
        <v>34.515</v>
      </c>
      <c r="H3" s="1">
        <v>4892736</v>
      </c>
      <c r="I3" s="1">
        <v>1104920</v>
      </c>
      <c r="J3" s="1" t="s">
        <v>128</v>
      </c>
      <c r="K3" s="1" t="s">
        <v>133</v>
      </c>
    </row>
    <row r="4" s="1" customFormat="1" spans="1:11">
      <c r="A4" s="1" t="s">
        <v>134</v>
      </c>
      <c r="B4" s="1">
        <v>1513.3751</v>
      </c>
      <c r="C4" s="1">
        <v>38.3459</v>
      </c>
      <c r="D4" s="1">
        <v>46.8174</v>
      </c>
      <c r="E4" s="1">
        <v>43.888</v>
      </c>
      <c r="F4" s="1">
        <v>9218</v>
      </c>
      <c r="G4" s="1">
        <v>25.578</v>
      </c>
      <c r="H4" s="1">
        <v>3577428</v>
      </c>
      <c r="I4" s="1">
        <v>728020</v>
      </c>
      <c r="J4" s="1" t="s">
        <v>128</v>
      </c>
      <c r="K4" s="1" t="s">
        <v>135</v>
      </c>
    </row>
    <row r="5" s="1" customFormat="1" spans="1:11">
      <c r="A5" s="1" t="s">
        <v>136</v>
      </c>
      <c r="B5" s="1">
        <v>13540.9816</v>
      </c>
      <c r="C5" s="1">
        <v>45.3156</v>
      </c>
      <c r="D5" s="1">
        <v>50.3087</v>
      </c>
      <c r="E5" s="1">
        <v>51.0825</v>
      </c>
      <c r="F5" s="1">
        <v>63981</v>
      </c>
      <c r="G5" s="1">
        <v>46.532</v>
      </c>
      <c r="H5" s="1">
        <v>4996280</v>
      </c>
      <c r="I5" s="1">
        <v>1092780</v>
      </c>
      <c r="J5" s="1" t="s">
        <v>128</v>
      </c>
      <c r="K5" s="1" t="s">
        <v>137</v>
      </c>
    </row>
    <row r="6" s="1" customFormat="1" spans="1:11">
      <c r="A6" s="1" t="s">
        <v>138</v>
      </c>
      <c r="B6" s="1">
        <v>7273.7463</v>
      </c>
      <c r="C6" s="1">
        <v>43.7514</v>
      </c>
      <c r="D6" s="1">
        <v>48.1569</v>
      </c>
      <c r="E6" s="1">
        <v>48.6833</v>
      </c>
      <c r="F6" s="1">
        <v>37549</v>
      </c>
      <c r="G6" s="1">
        <v>48.162</v>
      </c>
      <c r="H6" s="1">
        <v>4961704</v>
      </c>
      <c r="I6" s="1">
        <v>1104388</v>
      </c>
      <c r="J6" s="1" t="s">
        <v>128</v>
      </c>
      <c r="K6" s="1" t="s">
        <v>139</v>
      </c>
    </row>
    <row r="7" s="1" customFormat="1" spans="1:11">
      <c r="A7" s="1" t="s">
        <v>140</v>
      </c>
      <c r="B7" s="1">
        <v>4398.5542</v>
      </c>
      <c r="C7" s="1">
        <v>42.213</v>
      </c>
      <c r="D7" s="1">
        <v>45.9574</v>
      </c>
      <c r="E7" s="1">
        <v>46.234</v>
      </c>
      <c r="F7" s="1">
        <v>20311</v>
      </c>
      <c r="G7" s="1">
        <v>28.642</v>
      </c>
      <c r="H7" s="1">
        <v>4937060</v>
      </c>
      <c r="I7" s="1">
        <v>918772</v>
      </c>
      <c r="J7" s="1" t="s">
        <v>128</v>
      </c>
      <c r="K7" s="1" t="s">
        <v>141</v>
      </c>
    </row>
    <row r="8" s="1" customFormat="1" spans="1:11">
      <c r="A8" s="1" t="s">
        <v>142</v>
      </c>
      <c r="B8" s="1">
        <v>2742.75</v>
      </c>
      <c r="C8" s="1">
        <v>40.3736</v>
      </c>
      <c r="D8" s="1">
        <v>44.6037</v>
      </c>
      <c r="E8" s="1">
        <v>44.7757</v>
      </c>
      <c r="F8" s="1">
        <v>15544</v>
      </c>
      <c r="G8" s="1">
        <v>20.608</v>
      </c>
      <c r="H8" s="1">
        <v>3604092</v>
      </c>
      <c r="I8" s="1">
        <v>688632</v>
      </c>
      <c r="J8" s="1" t="s">
        <v>128</v>
      </c>
      <c r="K8" s="1" t="s">
        <v>143</v>
      </c>
    </row>
    <row r="9" s="1" customFormat="1" spans="1:11">
      <c r="A9" s="1" t="s">
        <v>144</v>
      </c>
      <c r="B9" s="1">
        <v>20972.8176</v>
      </c>
      <c r="C9" s="1">
        <v>44.061</v>
      </c>
      <c r="D9" s="1">
        <v>46.5291</v>
      </c>
      <c r="E9" s="1">
        <v>44.4909</v>
      </c>
      <c r="F9" s="1">
        <v>89003</v>
      </c>
      <c r="G9" s="1">
        <v>67.393</v>
      </c>
      <c r="H9" s="1">
        <v>4948148</v>
      </c>
      <c r="I9" s="1">
        <v>1163968</v>
      </c>
      <c r="J9" s="1" t="s">
        <v>128</v>
      </c>
      <c r="K9" s="1" t="s">
        <v>145</v>
      </c>
    </row>
    <row r="10" s="1" customFormat="1" spans="1:11">
      <c r="A10" s="1" t="s">
        <v>146</v>
      </c>
      <c r="B10" s="1">
        <v>8951.7576</v>
      </c>
      <c r="C10" s="1">
        <v>40.3014</v>
      </c>
      <c r="D10" s="1">
        <v>41.9034</v>
      </c>
      <c r="E10" s="1">
        <v>42.7936</v>
      </c>
      <c r="F10" s="1">
        <v>72954</v>
      </c>
      <c r="G10" s="1">
        <v>55.467</v>
      </c>
      <c r="H10" s="1">
        <v>4888464</v>
      </c>
      <c r="I10" s="1">
        <v>1121428</v>
      </c>
      <c r="J10" s="1" t="s">
        <v>128</v>
      </c>
      <c r="K10" s="1" t="s">
        <v>147</v>
      </c>
    </row>
    <row r="11" s="1" customFormat="1" spans="1:11">
      <c r="A11" s="1" t="s">
        <v>148</v>
      </c>
      <c r="B11" s="1">
        <v>2700.42</v>
      </c>
      <c r="C11" s="1">
        <v>37.6371</v>
      </c>
      <c r="D11" s="1">
        <v>38.2698</v>
      </c>
      <c r="E11" s="1">
        <v>41.3935</v>
      </c>
      <c r="F11" s="1">
        <v>43912</v>
      </c>
      <c r="G11" s="1">
        <v>47.484</v>
      </c>
      <c r="H11" s="1">
        <v>4821612</v>
      </c>
      <c r="I11" s="1">
        <v>979456</v>
      </c>
      <c r="J11" s="1" t="s">
        <v>128</v>
      </c>
      <c r="K11" s="1" t="s">
        <v>149</v>
      </c>
    </row>
    <row r="12" s="1" customFormat="1" spans="1:11">
      <c r="A12" s="1" t="s">
        <v>150</v>
      </c>
      <c r="B12" s="1">
        <v>1367.6076</v>
      </c>
      <c r="C12" s="1">
        <v>36.3415</v>
      </c>
      <c r="D12" s="1">
        <v>36.4139</v>
      </c>
      <c r="E12" s="1">
        <v>39.9236</v>
      </c>
      <c r="F12" s="1">
        <v>22089</v>
      </c>
      <c r="G12" s="1">
        <v>37.665</v>
      </c>
      <c r="H12" s="1">
        <v>4802996</v>
      </c>
      <c r="I12" s="1">
        <v>1105164</v>
      </c>
      <c r="J12" s="1" t="s">
        <v>128</v>
      </c>
      <c r="K12" s="1" t="s">
        <v>151</v>
      </c>
    </row>
    <row r="13" s="1" customFormat="1" spans="1:11">
      <c r="A13" s="1" t="s">
        <v>152</v>
      </c>
      <c r="B13" s="1">
        <v>34092.2211</v>
      </c>
      <c r="C13" s="1">
        <v>42.8504</v>
      </c>
      <c r="D13" s="1">
        <v>42.7487</v>
      </c>
      <c r="E13" s="1">
        <v>44.5862</v>
      </c>
      <c r="F13" s="1">
        <v>102965</v>
      </c>
      <c r="G13" s="1">
        <v>67.242</v>
      </c>
      <c r="H13" s="1">
        <v>5020032</v>
      </c>
      <c r="I13" s="1">
        <v>1282888</v>
      </c>
      <c r="J13" s="1" t="s">
        <v>128</v>
      </c>
      <c r="K13" s="1" t="s">
        <v>153</v>
      </c>
    </row>
    <row r="14" s="1" customFormat="1" spans="1:11">
      <c r="A14" s="1" t="s">
        <v>154</v>
      </c>
      <c r="B14" s="1">
        <v>9246.1879</v>
      </c>
      <c r="C14" s="1">
        <v>39.8735</v>
      </c>
      <c r="D14" s="1">
        <v>41.6257</v>
      </c>
      <c r="E14" s="1">
        <v>43.0076</v>
      </c>
      <c r="F14" s="1">
        <v>50292</v>
      </c>
      <c r="G14" s="1">
        <v>44.909</v>
      </c>
      <c r="H14" s="1">
        <v>4936232</v>
      </c>
      <c r="I14" s="1">
        <v>1200916</v>
      </c>
      <c r="J14" s="1" t="s">
        <v>128</v>
      </c>
      <c r="K14" s="1" t="s">
        <v>155</v>
      </c>
    </row>
    <row r="15" s="1" customFormat="1" spans="1:11">
      <c r="A15" s="1" t="s">
        <v>156</v>
      </c>
      <c r="B15" s="1">
        <v>5298.3095</v>
      </c>
      <c r="C15" s="1">
        <v>38.5836</v>
      </c>
      <c r="D15" s="1">
        <v>40.6487</v>
      </c>
      <c r="E15" s="1">
        <v>41.1153</v>
      </c>
      <c r="F15" s="1">
        <v>34563</v>
      </c>
      <c r="G15" s="1">
        <v>44.681</v>
      </c>
      <c r="H15" s="1">
        <v>4906748</v>
      </c>
      <c r="I15" s="1">
        <v>1165496</v>
      </c>
      <c r="J15" s="1" t="s">
        <v>128</v>
      </c>
      <c r="K15" s="1" t="s">
        <v>157</v>
      </c>
    </row>
    <row r="16" s="1" customFormat="1" spans="1:11">
      <c r="A16" s="1" t="s">
        <v>158</v>
      </c>
      <c r="B16" s="1">
        <v>3174.4737</v>
      </c>
      <c r="C16" s="1">
        <v>36.7862</v>
      </c>
      <c r="D16" s="1">
        <v>39.8754</v>
      </c>
      <c r="E16" s="1">
        <v>39.7407</v>
      </c>
      <c r="F16" s="1">
        <v>21635</v>
      </c>
      <c r="G16" s="1">
        <v>41.393</v>
      </c>
      <c r="H16" s="1">
        <v>4884984</v>
      </c>
      <c r="I16" s="1">
        <v>1121180</v>
      </c>
      <c r="J16" s="1" t="s">
        <v>128</v>
      </c>
      <c r="K16" s="1" t="s">
        <v>159</v>
      </c>
    </row>
    <row r="17" s="1" customFormat="1" spans="1:11">
      <c r="A17" s="1" t="s">
        <v>160</v>
      </c>
      <c r="B17" s="1">
        <v>58224.66</v>
      </c>
      <c r="C17" s="1">
        <v>41.9399</v>
      </c>
      <c r="D17" s="1">
        <v>46.5263</v>
      </c>
      <c r="E17" s="1">
        <v>44.4771</v>
      </c>
      <c r="F17" s="1">
        <v>129590</v>
      </c>
      <c r="G17" s="1">
        <v>80.703</v>
      </c>
      <c r="H17" s="1">
        <v>5105736</v>
      </c>
      <c r="I17" s="1">
        <v>1038020</v>
      </c>
      <c r="J17" s="1" t="s">
        <v>128</v>
      </c>
      <c r="K17" s="1" t="s">
        <v>161</v>
      </c>
    </row>
    <row r="18" s="1" customFormat="1" spans="1:11">
      <c r="A18" s="1" t="s">
        <v>162</v>
      </c>
      <c r="B18" s="1">
        <v>9069.4358</v>
      </c>
      <c r="C18" s="1">
        <v>37.72</v>
      </c>
      <c r="D18" s="1">
        <v>45.2595</v>
      </c>
      <c r="E18" s="1">
        <v>43.1268</v>
      </c>
      <c r="F18" s="1">
        <v>62870</v>
      </c>
      <c r="G18" s="1">
        <v>52.677</v>
      </c>
      <c r="H18" s="1">
        <v>4973440</v>
      </c>
      <c r="I18" s="1">
        <v>964752</v>
      </c>
      <c r="J18" s="1" t="s">
        <v>128</v>
      </c>
      <c r="K18" s="1" t="s">
        <v>163</v>
      </c>
    </row>
    <row r="19" s="1" customFormat="1" spans="1:11">
      <c r="A19" s="1" t="s">
        <v>164</v>
      </c>
      <c r="B19" s="1">
        <v>4894.3437</v>
      </c>
      <c r="C19" s="1">
        <v>36.7466</v>
      </c>
      <c r="D19" s="1">
        <v>43.8614</v>
      </c>
      <c r="E19" s="1">
        <v>41.6923</v>
      </c>
      <c r="F19" s="1">
        <v>34718</v>
      </c>
      <c r="G19" s="1">
        <v>45.165</v>
      </c>
      <c r="H19" s="1">
        <v>4934068</v>
      </c>
      <c r="I19" s="1">
        <v>915036</v>
      </c>
      <c r="J19" s="1" t="s">
        <v>128</v>
      </c>
      <c r="K19" s="1" t="s">
        <v>165</v>
      </c>
    </row>
    <row r="20" s="1" customFormat="1" spans="1:11">
      <c r="A20" s="1" t="s">
        <v>166</v>
      </c>
      <c r="B20" s="1">
        <v>2743.6532</v>
      </c>
      <c r="C20" s="1">
        <v>35.3302</v>
      </c>
      <c r="D20" s="1">
        <v>42.8387</v>
      </c>
      <c r="E20" s="1">
        <v>40.5271</v>
      </c>
      <c r="F20" s="1">
        <v>20871</v>
      </c>
      <c r="G20" s="1">
        <v>42.347</v>
      </c>
      <c r="H20" s="1">
        <v>4910224</v>
      </c>
      <c r="I20" s="1">
        <v>905568</v>
      </c>
      <c r="J20" s="1" t="s">
        <v>128</v>
      </c>
      <c r="K20" s="1" t="s">
        <v>167</v>
      </c>
    </row>
    <row r="21" s="1" customFormat="1" spans="1:11">
      <c r="A21" s="1" t="s">
        <v>168</v>
      </c>
      <c r="B21" s="1">
        <v>40549.1158</v>
      </c>
      <c r="C21" s="1">
        <v>47.4152</v>
      </c>
      <c r="D21" s="1">
        <v>40.7771</v>
      </c>
      <c r="E21" s="1">
        <v>41.3398</v>
      </c>
      <c r="F21" s="1">
        <v>101790</v>
      </c>
      <c r="G21" s="1">
        <v>66.34</v>
      </c>
      <c r="H21" s="1">
        <v>5026356</v>
      </c>
      <c r="I21" s="1">
        <v>1010972</v>
      </c>
      <c r="J21" s="1" t="s">
        <v>128</v>
      </c>
      <c r="K21" s="1" t="s">
        <v>169</v>
      </c>
    </row>
    <row r="22" s="1" customFormat="1" spans="1:11">
      <c r="A22" s="1" t="s">
        <v>170</v>
      </c>
      <c r="B22" s="1">
        <v>21537.9882</v>
      </c>
      <c r="C22" s="1">
        <v>43.6299</v>
      </c>
      <c r="D22" s="1">
        <v>37.0617</v>
      </c>
      <c r="E22" s="1">
        <v>38.0515</v>
      </c>
      <c r="F22" s="1">
        <v>83367</v>
      </c>
      <c r="G22" s="1">
        <v>63.373</v>
      </c>
      <c r="H22" s="1">
        <v>4995336</v>
      </c>
      <c r="I22" s="1">
        <v>993000</v>
      </c>
      <c r="J22" s="1" t="s">
        <v>128</v>
      </c>
      <c r="K22" s="1" t="s">
        <v>171</v>
      </c>
    </row>
    <row r="23" s="1" customFormat="1" spans="1:11">
      <c r="A23" s="1" t="s">
        <v>172</v>
      </c>
      <c r="B23" s="1">
        <v>11310.9105</v>
      </c>
      <c r="C23" s="1">
        <v>39.95</v>
      </c>
      <c r="D23" s="1">
        <v>33.9071</v>
      </c>
      <c r="E23" s="1">
        <v>35.9276</v>
      </c>
      <c r="F23" s="1">
        <v>61054</v>
      </c>
      <c r="G23" s="1">
        <v>52.998</v>
      </c>
      <c r="H23" s="1">
        <v>4962052</v>
      </c>
      <c r="I23" s="1">
        <v>934568</v>
      </c>
      <c r="J23" s="1" t="s">
        <v>128</v>
      </c>
      <c r="K23" s="1" t="s">
        <v>173</v>
      </c>
    </row>
    <row r="24" s="1" customFormat="1" spans="1:11">
      <c r="A24" s="1" t="s">
        <v>174</v>
      </c>
      <c r="B24" s="1">
        <v>6158.6566</v>
      </c>
      <c r="C24" s="1">
        <v>36.4477</v>
      </c>
      <c r="D24" s="1">
        <v>32.1982</v>
      </c>
      <c r="E24" s="1">
        <v>34.5145</v>
      </c>
      <c r="F24" s="1">
        <v>44941</v>
      </c>
      <c r="G24" s="1">
        <v>48.227</v>
      </c>
      <c r="H24" s="1">
        <v>4938416</v>
      </c>
      <c r="I24" s="1">
        <v>919788</v>
      </c>
      <c r="J24" s="1" t="s">
        <v>128</v>
      </c>
      <c r="K24" s="1" t="s">
        <v>175</v>
      </c>
    </row>
    <row r="25" s="1" customFormat="1" spans="1:11">
      <c r="A25" s="1" t="s">
        <v>176</v>
      </c>
      <c r="B25" s="1">
        <v>9979.9896</v>
      </c>
      <c r="C25" s="1">
        <v>43.2664</v>
      </c>
      <c r="D25" s="1">
        <v>45.7555</v>
      </c>
      <c r="E25" s="1">
        <v>46.3871</v>
      </c>
      <c r="F25" s="1">
        <v>61865</v>
      </c>
      <c r="G25" s="1">
        <v>37.024</v>
      </c>
      <c r="H25" s="1">
        <v>3146248</v>
      </c>
      <c r="I25" s="1">
        <v>446880</v>
      </c>
      <c r="J25" s="1" t="s">
        <v>128</v>
      </c>
      <c r="K25" s="1" t="s">
        <v>177</v>
      </c>
    </row>
    <row r="26" s="1" customFormat="1" spans="1:11">
      <c r="A26" s="1" t="s">
        <v>178</v>
      </c>
      <c r="B26" s="1">
        <v>5165.1864</v>
      </c>
      <c r="C26" s="1">
        <v>40.5296</v>
      </c>
      <c r="D26" s="1">
        <v>43.754</v>
      </c>
      <c r="E26" s="1">
        <v>44.5298</v>
      </c>
      <c r="F26" s="1">
        <v>42574</v>
      </c>
      <c r="G26" s="1">
        <v>32.176</v>
      </c>
      <c r="H26" s="1">
        <v>3137232</v>
      </c>
      <c r="I26" s="1">
        <v>439516</v>
      </c>
      <c r="J26" s="1" t="s">
        <v>128</v>
      </c>
      <c r="K26" s="1" t="s">
        <v>179</v>
      </c>
    </row>
    <row r="27" s="1" customFormat="1" spans="1:11">
      <c r="A27" s="1" t="s">
        <v>180</v>
      </c>
      <c r="B27" s="1">
        <v>2861.0792</v>
      </c>
      <c r="C27" s="1">
        <v>38.1432</v>
      </c>
      <c r="D27" s="1">
        <v>41.984</v>
      </c>
      <c r="E27" s="1">
        <v>42.5225</v>
      </c>
      <c r="F27" s="1">
        <v>27258</v>
      </c>
      <c r="G27" s="1">
        <v>25.73</v>
      </c>
      <c r="H27" s="1">
        <v>3126840</v>
      </c>
      <c r="I27" s="1">
        <v>445296</v>
      </c>
      <c r="J27" s="1" t="s">
        <v>128</v>
      </c>
      <c r="K27" s="1" t="s">
        <v>181</v>
      </c>
    </row>
    <row r="28" s="1" customFormat="1" spans="1:11">
      <c r="A28" s="1" t="s">
        <v>182</v>
      </c>
      <c r="B28" s="1">
        <v>1538.1672</v>
      </c>
      <c r="C28" s="1">
        <v>35.6523</v>
      </c>
      <c r="D28" s="1">
        <v>40.7949</v>
      </c>
      <c r="E28" s="1">
        <v>41.341</v>
      </c>
      <c r="F28" s="1">
        <v>15992</v>
      </c>
      <c r="G28" s="1">
        <v>18.324</v>
      </c>
      <c r="H28" s="1">
        <v>3118896</v>
      </c>
      <c r="I28" s="1">
        <v>424376</v>
      </c>
      <c r="J28" s="1" t="s">
        <v>128</v>
      </c>
      <c r="K28" s="1" t="s">
        <v>183</v>
      </c>
    </row>
    <row r="29" s="1" customFormat="1" spans="1:11">
      <c r="A29" s="1" t="s">
        <v>184</v>
      </c>
      <c r="B29" s="1">
        <v>5740.5848</v>
      </c>
      <c r="C29" s="1">
        <v>46.5834</v>
      </c>
      <c r="D29" s="1">
        <v>49.6866</v>
      </c>
      <c r="E29" s="1">
        <v>50.5469</v>
      </c>
      <c r="F29" s="1">
        <v>46960</v>
      </c>
      <c r="G29" s="1">
        <v>38.657</v>
      </c>
      <c r="H29" s="1">
        <v>3142100</v>
      </c>
      <c r="I29" s="1">
        <v>448276</v>
      </c>
      <c r="J29" s="1" t="s">
        <v>128</v>
      </c>
      <c r="K29" s="1" t="s">
        <v>185</v>
      </c>
    </row>
    <row r="30" s="1" customFormat="1" spans="1:11">
      <c r="A30" s="1" t="s">
        <v>186</v>
      </c>
      <c r="B30" s="1">
        <v>3363.3616</v>
      </c>
      <c r="C30" s="1">
        <v>43.8451</v>
      </c>
      <c r="D30" s="1">
        <v>47.3626</v>
      </c>
      <c r="E30" s="1">
        <v>47.7351</v>
      </c>
      <c r="F30" s="1">
        <v>32655</v>
      </c>
      <c r="G30" s="1">
        <v>34.082</v>
      </c>
      <c r="H30" s="1">
        <v>3129664</v>
      </c>
      <c r="I30" s="1">
        <v>434984</v>
      </c>
      <c r="J30" s="1" t="s">
        <v>128</v>
      </c>
      <c r="K30" s="1" t="s">
        <v>187</v>
      </c>
    </row>
    <row r="31" s="1" customFormat="1" spans="1:11">
      <c r="A31" s="1" t="s">
        <v>188</v>
      </c>
      <c r="B31" s="1">
        <v>1894.532</v>
      </c>
      <c r="C31" s="1">
        <v>40.8306</v>
      </c>
      <c r="D31" s="1">
        <v>44.8501</v>
      </c>
      <c r="E31" s="1">
        <v>44.7468</v>
      </c>
      <c r="F31" s="1">
        <v>18073</v>
      </c>
      <c r="G31" s="1">
        <v>23.058</v>
      </c>
      <c r="H31" s="1">
        <v>3118780</v>
      </c>
      <c r="I31" s="1">
        <v>456880</v>
      </c>
      <c r="J31" s="1" t="s">
        <v>128</v>
      </c>
      <c r="K31" s="1" t="s">
        <v>189</v>
      </c>
    </row>
    <row r="32" s="1" customFormat="1" spans="1:11">
      <c r="A32" s="1" t="s">
        <v>190</v>
      </c>
      <c r="B32" s="1">
        <v>1057.8504</v>
      </c>
      <c r="C32" s="1">
        <v>37.9689</v>
      </c>
      <c r="D32" s="1">
        <v>43.2661</v>
      </c>
      <c r="E32" s="1">
        <v>43.2263</v>
      </c>
      <c r="F32" s="1">
        <v>10801</v>
      </c>
      <c r="G32" s="1">
        <v>15.716</v>
      </c>
      <c r="H32" s="1">
        <v>3091716</v>
      </c>
      <c r="I32" s="1">
        <v>422944</v>
      </c>
      <c r="J32" s="1" t="s">
        <v>128</v>
      </c>
      <c r="K32" s="1" t="s">
        <v>191</v>
      </c>
    </row>
    <row r="33" s="1" customFormat="1" spans="1:11">
      <c r="A33" s="1" t="s">
        <v>192</v>
      </c>
      <c r="B33" s="1">
        <v>11835.9611</v>
      </c>
      <c r="C33" s="1">
        <v>41.3529</v>
      </c>
      <c r="D33" s="1">
        <v>41.7943</v>
      </c>
      <c r="E33" s="1">
        <v>45.1309</v>
      </c>
      <c r="F33" s="1">
        <v>62131</v>
      </c>
      <c r="G33" s="1">
        <v>43.872</v>
      </c>
      <c r="H33" s="1">
        <v>3160576</v>
      </c>
      <c r="I33" s="1">
        <v>463164</v>
      </c>
      <c r="J33" s="1" t="s">
        <v>128</v>
      </c>
      <c r="K33" s="1" t="s">
        <v>193</v>
      </c>
    </row>
    <row r="34" s="1" customFormat="1" spans="1:11">
      <c r="A34" s="1" t="s">
        <v>194</v>
      </c>
      <c r="B34" s="1">
        <v>4836.1127</v>
      </c>
      <c r="C34" s="1">
        <v>38.3871</v>
      </c>
      <c r="D34" s="1">
        <v>39.9582</v>
      </c>
      <c r="E34" s="1">
        <v>43.2202</v>
      </c>
      <c r="F34" s="1">
        <v>44290</v>
      </c>
      <c r="G34" s="1">
        <v>33.231</v>
      </c>
      <c r="H34" s="1">
        <v>3136964</v>
      </c>
      <c r="I34" s="1">
        <v>451772</v>
      </c>
      <c r="J34" s="1" t="s">
        <v>128</v>
      </c>
      <c r="K34" s="1" t="s">
        <v>195</v>
      </c>
    </row>
    <row r="35" s="1" customFormat="1" spans="1:11">
      <c r="A35" s="1" t="s">
        <v>196</v>
      </c>
      <c r="B35" s="1">
        <v>2576.4476</v>
      </c>
      <c r="C35" s="1">
        <v>36.3866</v>
      </c>
      <c r="D35" s="1">
        <v>38.8501</v>
      </c>
      <c r="E35" s="1">
        <v>40.9091</v>
      </c>
      <c r="F35" s="1">
        <v>27260</v>
      </c>
      <c r="G35" s="1">
        <v>25.856</v>
      </c>
      <c r="H35" s="1">
        <v>3123304</v>
      </c>
      <c r="I35" s="1">
        <v>435676</v>
      </c>
      <c r="J35" s="1" t="s">
        <v>128</v>
      </c>
      <c r="K35" s="1" t="s">
        <v>197</v>
      </c>
    </row>
    <row r="36" s="1" customFormat="1" spans="1:11">
      <c r="A36" s="1" t="s">
        <v>198</v>
      </c>
      <c r="B36" s="1">
        <v>1399.4571</v>
      </c>
      <c r="C36" s="1">
        <v>34.1209</v>
      </c>
      <c r="D36" s="1">
        <v>37.8916</v>
      </c>
      <c r="E36" s="1">
        <v>39.3297</v>
      </c>
      <c r="F36" s="1">
        <v>15997</v>
      </c>
      <c r="G36" s="1">
        <v>20.663</v>
      </c>
      <c r="H36" s="1">
        <v>3112872</v>
      </c>
      <c r="I36" s="1">
        <v>430428</v>
      </c>
      <c r="J36" s="1" t="s">
        <v>128</v>
      </c>
      <c r="K36" s="1" t="s">
        <v>199</v>
      </c>
    </row>
    <row r="37" s="1" customFormat="1" spans="1:11">
      <c r="A37" s="1" t="s">
        <v>200</v>
      </c>
      <c r="B37" s="1">
        <v>8467.5095</v>
      </c>
      <c r="C37" s="1">
        <v>41.9702</v>
      </c>
      <c r="D37" s="1">
        <v>45.0935</v>
      </c>
      <c r="E37" s="1">
        <v>47.32</v>
      </c>
      <c r="F37" s="1">
        <v>48830</v>
      </c>
      <c r="G37" s="1">
        <v>39.107</v>
      </c>
      <c r="H37" s="1">
        <v>3170180</v>
      </c>
      <c r="I37" s="1">
        <v>464588</v>
      </c>
      <c r="J37" s="1" t="s">
        <v>128</v>
      </c>
      <c r="K37" s="1" t="s">
        <v>201</v>
      </c>
    </row>
    <row r="38" s="1" customFormat="1" spans="1:11">
      <c r="A38" s="1" t="s">
        <v>202</v>
      </c>
      <c r="B38" s="1">
        <v>3041.8087</v>
      </c>
      <c r="C38" s="1">
        <v>39.2943</v>
      </c>
      <c r="D38" s="1">
        <v>43.886</v>
      </c>
      <c r="E38" s="1">
        <v>45.3429</v>
      </c>
      <c r="F38" s="1">
        <v>30252</v>
      </c>
      <c r="G38" s="1">
        <v>27.696</v>
      </c>
      <c r="H38" s="1">
        <v>3136940</v>
      </c>
      <c r="I38" s="1">
        <v>440700</v>
      </c>
      <c r="J38" s="1" t="s">
        <v>128</v>
      </c>
      <c r="K38" s="1" t="s">
        <v>203</v>
      </c>
    </row>
    <row r="39" s="1" customFormat="1" spans="1:11">
      <c r="A39" s="1" t="s">
        <v>204</v>
      </c>
      <c r="B39" s="1">
        <v>1501.0968</v>
      </c>
      <c r="C39" s="1">
        <v>37.6982</v>
      </c>
      <c r="D39" s="1">
        <v>42.3116</v>
      </c>
      <c r="E39" s="1">
        <v>42.8976</v>
      </c>
      <c r="F39" s="1">
        <v>18198</v>
      </c>
      <c r="G39" s="1">
        <v>23.944</v>
      </c>
      <c r="H39" s="1">
        <v>3119288</v>
      </c>
      <c r="I39" s="1">
        <v>430424</v>
      </c>
      <c r="J39" s="1" t="s">
        <v>128</v>
      </c>
      <c r="K39" s="1" t="s">
        <v>205</v>
      </c>
    </row>
    <row r="40" s="1" customFormat="1" spans="1:11">
      <c r="A40" s="1" t="s">
        <v>206</v>
      </c>
      <c r="B40" s="1">
        <v>847.6214</v>
      </c>
      <c r="C40" s="1">
        <v>35.9884</v>
      </c>
      <c r="D40" s="1">
        <v>41.192</v>
      </c>
      <c r="E40" s="1">
        <v>41.2549</v>
      </c>
      <c r="F40" s="1">
        <v>11076</v>
      </c>
      <c r="G40" s="1">
        <v>21.402</v>
      </c>
      <c r="H40" s="1">
        <v>3109568</v>
      </c>
      <c r="I40" s="1">
        <v>425196</v>
      </c>
      <c r="J40" s="1" t="s">
        <v>128</v>
      </c>
      <c r="K40" s="1" t="s">
        <v>207</v>
      </c>
    </row>
    <row r="41" s="1" customFormat="1" spans="1:11">
      <c r="A41" s="1" t="s">
        <v>208</v>
      </c>
      <c r="B41" s="1">
        <v>20481.1912</v>
      </c>
      <c r="C41" s="1">
        <v>42.8423</v>
      </c>
      <c r="D41" s="1">
        <v>43.3198</v>
      </c>
      <c r="E41" s="1">
        <v>45.373</v>
      </c>
      <c r="F41" s="1">
        <v>55221</v>
      </c>
      <c r="G41" s="1">
        <v>60.439</v>
      </c>
      <c r="H41" s="1">
        <v>3192788</v>
      </c>
      <c r="I41" s="1">
        <v>478124</v>
      </c>
      <c r="J41" s="1" t="s">
        <v>128</v>
      </c>
      <c r="K41" s="1" t="s">
        <v>209</v>
      </c>
    </row>
    <row r="42" s="1" customFormat="1" spans="1:11">
      <c r="A42" s="1" t="s">
        <v>210</v>
      </c>
      <c r="B42" s="1">
        <v>7290.976</v>
      </c>
      <c r="C42" s="1">
        <v>37.1443</v>
      </c>
      <c r="D42" s="1">
        <v>41.9003</v>
      </c>
      <c r="E42" s="1">
        <v>44.2199</v>
      </c>
      <c r="F42" s="1">
        <v>53370</v>
      </c>
      <c r="G42" s="1">
        <v>40.742</v>
      </c>
      <c r="H42" s="1">
        <v>3155980</v>
      </c>
      <c r="I42" s="1">
        <v>450596</v>
      </c>
      <c r="J42" s="1" t="s">
        <v>128</v>
      </c>
      <c r="K42" s="1" t="s">
        <v>211</v>
      </c>
    </row>
    <row r="43" s="1" customFormat="1" spans="1:11">
      <c r="A43" s="1" t="s">
        <v>212</v>
      </c>
      <c r="B43" s="1">
        <v>3569.0552</v>
      </c>
      <c r="C43" s="1">
        <v>34.9196</v>
      </c>
      <c r="D43" s="1">
        <v>40.4169</v>
      </c>
      <c r="E43" s="1">
        <v>42.8773</v>
      </c>
      <c r="F43" s="1">
        <v>36437</v>
      </c>
      <c r="G43" s="1">
        <v>33.064</v>
      </c>
      <c r="H43" s="1">
        <v>3140704</v>
      </c>
      <c r="I43" s="1">
        <v>444080</v>
      </c>
      <c r="J43" s="1" t="s">
        <v>128</v>
      </c>
      <c r="K43" s="1" t="s">
        <v>213</v>
      </c>
    </row>
    <row r="44" s="1" customFormat="1" spans="1:11">
      <c r="A44" s="1" t="s">
        <v>214</v>
      </c>
      <c r="B44" s="1">
        <v>1893.9376</v>
      </c>
      <c r="C44" s="1">
        <v>32.7775</v>
      </c>
      <c r="D44" s="1">
        <v>39.312</v>
      </c>
      <c r="E44" s="1">
        <v>41.8131</v>
      </c>
      <c r="F44" s="1">
        <v>21536</v>
      </c>
      <c r="G44" s="1">
        <v>25.222</v>
      </c>
      <c r="H44" s="1">
        <v>3123272</v>
      </c>
      <c r="I44" s="1">
        <v>428868</v>
      </c>
      <c r="J44" s="1" t="s">
        <v>128</v>
      </c>
      <c r="K44" s="1" t="s">
        <v>215</v>
      </c>
    </row>
    <row r="45" s="1" customFormat="1" spans="1:11">
      <c r="A45" s="1" t="s">
        <v>216</v>
      </c>
      <c r="B45" s="1">
        <v>2067.0365</v>
      </c>
      <c r="C45" s="1">
        <v>43.1818</v>
      </c>
      <c r="D45" s="1">
        <v>45.1927</v>
      </c>
      <c r="E45" s="1">
        <v>46.5623</v>
      </c>
      <c r="F45" s="1">
        <v>9375</v>
      </c>
      <c r="G45" s="1">
        <v>9.38</v>
      </c>
      <c r="H45" s="1">
        <v>1349168</v>
      </c>
      <c r="I45" s="1">
        <v>303280</v>
      </c>
      <c r="J45" s="1" t="s">
        <v>128</v>
      </c>
      <c r="K45" s="1" t="s">
        <v>217</v>
      </c>
    </row>
    <row r="46" s="1" customFormat="1" spans="1:11">
      <c r="A46" s="1" t="s">
        <v>218</v>
      </c>
      <c r="B46" s="1">
        <v>1117.2024</v>
      </c>
      <c r="C46" s="1">
        <v>40.0735</v>
      </c>
      <c r="D46" s="1">
        <v>42.7726</v>
      </c>
      <c r="E46" s="1">
        <v>43.7337</v>
      </c>
      <c r="F46" s="1">
        <v>7964</v>
      </c>
      <c r="G46" s="1">
        <v>7.459</v>
      </c>
      <c r="H46" s="1">
        <v>1341592</v>
      </c>
      <c r="I46" s="1">
        <v>297468</v>
      </c>
      <c r="J46" s="1" t="s">
        <v>128</v>
      </c>
      <c r="K46" s="1" t="s">
        <v>219</v>
      </c>
    </row>
    <row r="47" s="1" customFormat="1" spans="1:11">
      <c r="A47" s="1" t="s">
        <v>220</v>
      </c>
      <c r="B47" s="1">
        <v>598.5405</v>
      </c>
      <c r="C47" s="1">
        <v>37.1369</v>
      </c>
      <c r="D47" s="1">
        <v>40.1526</v>
      </c>
      <c r="E47" s="1">
        <v>40.7339</v>
      </c>
      <c r="F47" s="1">
        <v>5640</v>
      </c>
      <c r="G47" s="1">
        <v>5.988</v>
      </c>
      <c r="H47" s="1">
        <v>1335432</v>
      </c>
      <c r="I47" s="1">
        <v>293576</v>
      </c>
      <c r="J47" s="1" t="s">
        <v>128</v>
      </c>
      <c r="K47" s="1" t="s">
        <v>221</v>
      </c>
    </row>
    <row r="48" s="1" customFormat="1" spans="1:11">
      <c r="A48" s="1" t="s">
        <v>222</v>
      </c>
      <c r="B48" s="1">
        <v>332.1135</v>
      </c>
      <c r="C48" s="1">
        <v>34.4182</v>
      </c>
      <c r="D48" s="1">
        <v>38.5735</v>
      </c>
      <c r="E48" s="1">
        <v>38.8563</v>
      </c>
      <c r="F48" s="1">
        <v>3686</v>
      </c>
      <c r="G48" s="1">
        <v>5.238</v>
      </c>
      <c r="H48" s="1">
        <v>1331368</v>
      </c>
      <c r="I48" s="1">
        <v>291204</v>
      </c>
      <c r="J48" s="1" t="s">
        <v>128</v>
      </c>
      <c r="K48" s="1" t="s">
        <v>223</v>
      </c>
    </row>
    <row r="49" s="1" customFormat="1" spans="1:11">
      <c r="A49" s="1" t="s">
        <v>224</v>
      </c>
      <c r="B49" s="1">
        <v>2561.0136</v>
      </c>
      <c r="C49" s="1">
        <v>42.757</v>
      </c>
      <c r="D49" s="1">
        <v>45.0116</v>
      </c>
      <c r="E49" s="1">
        <v>46.7786</v>
      </c>
      <c r="F49" s="1">
        <v>10445</v>
      </c>
      <c r="G49" s="1">
        <v>10.41</v>
      </c>
      <c r="H49" s="1">
        <v>1348040</v>
      </c>
      <c r="I49" s="1">
        <v>305436</v>
      </c>
      <c r="J49" s="1" t="s">
        <v>128</v>
      </c>
      <c r="K49" s="1" t="s">
        <v>225</v>
      </c>
    </row>
    <row r="50" s="1" customFormat="1" spans="1:11">
      <c r="A50" s="1" t="s">
        <v>226</v>
      </c>
      <c r="B50" s="1">
        <v>1512.3224</v>
      </c>
      <c r="C50" s="1">
        <v>40.1108</v>
      </c>
      <c r="D50" s="1">
        <v>42.7662</v>
      </c>
      <c r="E50" s="1">
        <v>44.1318</v>
      </c>
      <c r="F50" s="1">
        <v>8700</v>
      </c>
      <c r="G50" s="1">
        <v>8.776</v>
      </c>
      <c r="H50" s="1">
        <v>1342936</v>
      </c>
      <c r="I50" s="1">
        <v>298612</v>
      </c>
      <c r="J50" s="1" t="s">
        <v>128</v>
      </c>
      <c r="K50" s="1" t="s">
        <v>227</v>
      </c>
    </row>
    <row r="51" s="1" customFormat="1" spans="1:11">
      <c r="A51" s="1" t="s">
        <v>228</v>
      </c>
      <c r="B51" s="1">
        <v>881.0576</v>
      </c>
      <c r="C51" s="1">
        <v>37.2676</v>
      </c>
      <c r="D51" s="1">
        <v>40.2346</v>
      </c>
      <c r="E51" s="1">
        <v>41.2207</v>
      </c>
      <c r="F51" s="1">
        <v>6569</v>
      </c>
      <c r="G51" s="1">
        <v>7.2</v>
      </c>
      <c r="H51" s="1">
        <v>1338912</v>
      </c>
      <c r="I51" s="1">
        <v>296384</v>
      </c>
      <c r="J51" s="1" t="s">
        <v>128</v>
      </c>
      <c r="K51" s="1" t="s">
        <v>229</v>
      </c>
    </row>
    <row r="52" s="1" customFormat="1" spans="1:11">
      <c r="A52" s="1" t="s">
        <v>230</v>
      </c>
      <c r="B52" s="1">
        <v>510.2688</v>
      </c>
      <c r="C52" s="1">
        <v>34.2969</v>
      </c>
      <c r="D52" s="1">
        <v>38.8433</v>
      </c>
      <c r="E52" s="1">
        <v>39.7154</v>
      </c>
      <c r="F52" s="1">
        <v>4827</v>
      </c>
      <c r="G52" s="1">
        <v>6.351</v>
      </c>
      <c r="H52" s="1">
        <v>1335296</v>
      </c>
      <c r="I52" s="1">
        <v>293300</v>
      </c>
      <c r="J52" s="1" t="s">
        <v>128</v>
      </c>
      <c r="K52" s="1" t="s">
        <v>231</v>
      </c>
    </row>
    <row r="53" s="1" customFormat="1" spans="1:11">
      <c r="A53" s="1" t="s">
        <v>232</v>
      </c>
      <c r="B53" s="1">
        <v>5026.9357</v>
      </c>
      <c r="C53" s="1">
        <v>42.1041</v>
      </c>
      <c r="D53" s="1">
        <v>43.657</v>
      </c>
      <c r="E53" s="1">
        <v>44.7435</v>
      </c>
      <c r="F53" s="1">
        <v>11151</v>
      </c>
      <c r="G53" s="1">
        <v>12.961</v>
      </c>
      <c r="H53" s="1">
        <v>1356056</v>
      </c>
      <c r="I53" s="1">
        <v>318904</v>
      </c>
      <c r="J53" s="1" t="s">
        <v>128</v>
      </c>
      <c r="K53" s="1" t="s">
        <v>233</v>
      </c>
    </row>
    <row r="54" s="1" customFormat="1" spans="1:11">
      <c r="A54" s="1" t="s">
        <v>234</v>
      </c>
      <c r="B54" s="1">
        <v>3075.6706</v>
      </c>
      <c r="C54" s="1">
        <v>37.8567</v>
      </c>
      <c r="D54" s="1">
        <v>40.4915</v>
      </c>
      <c r="E54" s="1">
        <v>41.3129</v>
      </c>
      <c r="F54" s="1">
        <v>10451</v>
      </c>
      <c r="G54" s="1">
        <v>10.374</v>
      </c>
      <c r="H54" s="1">
        <v>1352668</v>
      </c>
      <c r="I54" s="1">
        <v>308944</v>
      </c>
      <c r="J54" s="1" t="s">
        <v>128</v>
      </c>
      <c r="K54" s="1" t="s">
        <v>235</v>
      </c>
    </row>
    <row r="55" s="1" customFormat="1" spans="1:11">
      <c r="A55" s="1" t="s">
        <v>236</v>
      </c>
      <c r="B55" s="1">
        <v>1802.0889</v>
      </c>
      <c r="C55" s="1">
        <v>34.1589</v>
      </c>
      <c r="D55" s="1">
        <v>37.5768</v>
      </c>
      <c r="E55" s="1">
        <v>38.1543</v>
      </c>
      <c r="F55" s="1">
        <v>10833</v>
      </c>
      <c r="G55" s="1">
        <v>9.832</v>
      </c>
      <c r="H55" s="1">
        <v>1347492</v>
      </c>
      <c r="I55" s="1">
        <v>301932</v>
      </c>
      <c r="J55" s="1" t="s">
        <v>128</v>
      </c>
      <c r="K55" s="1" t="s">
        <v>237</v>
      </c>
    </row>
    <row r="56" s="1" customFormat="1" spans="1:11">
      <c r="A56" s="1" t="s">
        <v>238</v>
      </c>
      <c r="B56" s="1">
        <v>975.0611</v>
      </c>
      <c r="C56" s="1">
        <v>30.5607</v>
      </c>
      <c r="D56" s="1">
        <v>36.0084</v>
      </c>
      <c r="E56" s="1">
        <v>36.5744</v>
      </c>
      <c r="F56" s="1">
        <v>7440</v>
      </c>
      <c r="G56" s="1">
        <v>7.036</v>
      </c>
      <c r="H56" s="1">
        <v>1341740</v>
      </c>
      <c r="I56" s="1">
        <v>298060</v>
      </c>
      <c r="J56" s="1" t="s">
        <v>128</v>
      </c>
      <c r="K56" s="1" t="s">
        <v>239</v>
      </c>
    </row>
    <row r="57" s="1" customFormat="1" spans="1:11">
      <c r="A57" s="1" t="s">
        <v>240</v>
      </c>
      <c r="B57" s="1">
        <v>1736.5018</v>
      </c>
      <c r="C57" s="1">
        <v>43.476</v>
      </c>
      <c r="D57" s="1">
        <v>44.226</v>
      </c>
      <c r="E57" s="1">
        <v>45.2037</v>
      </c>
      <c r="F57" s="1">
        <v>7320</v>
      </c>
      <c r="G57" s="1">
        <v>5.91</v>
      </c>
      <c r="H57" s="1">
        <v>1343924</v>
      </c>
      <c r="I57" s="1">
        <v>299508</v>
      </c>
      <c r="J57" s="1" t="s">
        <v>128</v>
      </c>
      <c r="K57" s="1" t="s">
        <v>241</v>
      </c>
    </row>
    <row r="58" s="1" customFormat="1" spans="1:11">
      <c r="A58" s="1" t="s">
        <v>242</v>
      </c>
      <c r="B58" s="1">
        <v>1011.0197</v>
      </c>
      <c r="C58" s="1">
        <v>40.1029</v>
      </c>
      <c r="D58" s="1">
        <v>40.5243</v>
      </c>
      <c r="E58" s="1">
        <v>42.353</v>
      </c>
      <c r="F58" s="1">
        <v>5580</v>
      </c>
      <c r="G58" s="1">
        <v>4.466</v>
      </c>
      <c r="H58" s="1">
        <v>1340696</v>
      </c>
      <c r="I58" s="1">
        <v>297324</v>
      </c>
      <c r="J58" s="1" t="s">
        <v>128</v>
      </c>
      <c r="K58" s="1" t="s">
        <v>243</v>
      </c>
    </row>
    <row r="59" s="1" customFormat="1" spans="1:11">
      <c r="A59" s="1" t="s">
        <v>244</v>
      </c>
      <c r="B59" s="1">
        <v>579.9134</v>
      </c>
      <c r="C59" s="1">
        <v>36.8622</v>
      </c>
      <c r="D59" s="1">
        <v>37.618</v>
      </c>
      <c r="E59" s="1">
        <v>39.9988</v>
      </c>
      <c r="F59" s="1">
        <v>4149</v>
      </c>
      <c r="G59" s="1">
        <v>3.743</v>
      </c>
      <c r="H59" s="1">
        <v>1338216</v>
      </c>
      <c r="I59" s="1">
        <v>295584</v>
      </c>
      <c r="J59" s="1" t="s">
        <v>128</v>
      </c>
      <c r="K59" s="1" t="s">
        <v>245</v>
      </c>
    </row>
    <row r="60" s="1" customFormat="1" spans="1:11">
      <c r="A60" s="1" t="s">
        <v>246</v>
      </c>
      <c r="B60" s="1">
        <v>303.15</v>
      </c>
      <c r="C60" s="1">
        <v>33.4709</v>
      </c>
      <c r="D60" s="1">
        <v>36.5351</v>
      </c>
      <c r="E60" s="1">
        <v>38.609</v>
      </c>
      <c r="F60" s="1">
        <v>3009</v>
      </c>
      <c r="G60" s="1">
        <v>3.285</v>
      </c>
      <c r="H60" s="1">
        <v>1334764</v>
      </c>
      <c r="I60" s="1">
        <v>293948</v>
      </c>
      <c r="J60" s="1" t="s">
        <v>128</v>
      </c>
      <c r="K60" s="1" t="s">
        <v>247</v>
      </c>
    </row>
    <row r="61" s="1" customFormat="1" spans="1:11">
      <c r="A61" s="1" t="s">
        <v>248</v>
      </c>
      <c r="B61" s="1">
        <v>558.6683</v>
      </c>
      <c r="C61" s="1">
        <v>44.1144</v>
      </c>
      <c r="D61" s="1">
        <v>46.4049</v>
      </c>
      <c r="E61" s="1">
        <v>46.3351</v>
      </c>
      <c r="F61" s="1">
        <v>2466</v>
      </c>
      <c r="G61" s="1">
        <v>2.349</v>
      </c>
      <c r="H61" s="1">
        <v>998300</v>
      </c>
      <c r="I61" s="1">
        <v>266764</v>
      </c>
      <c r="J61" s="1" t="s">
        <v>128</v>
      </c>
      <c r="K61" s="1" t="s">
        <v>249</v>
      </c>
    </row>
    <row r="62" s="1" customFormat="1" spans="1:11">
      <c r="A62" s="1" t="s">
        <v>250</v>
      </c>
      <c r="B62" s="1">
        <v>334.6714</v>
      </c>
      <c r="C62" s="1">
        <v>40.6362</v>
      </c>
      <c r="D62" s="1">
        <v>43.2487</v>
      </c>
      <c r="E62" s="1">
        <v>42.7969</v>
      </c>
      <c r="F62" s="1">
        <v>1940</v>
      </c>
      <c r="G62" s="1">
        <v>1.959</v>
      </c>
      <c r="H62" s="1">
        <v>997056</v>
      </c>
      <c r="I62" s="1">
        <v>266040</v>
      </c>
      <c r="J62" s="1" t="s">
        <v>128</v>
      </c>
      <c r="K62" s="1" t="s">
        <v>251</v>
      </c>
    </row>
    <row r="63" s="1" customFormat="1" spans="1:11">
      <c r="A63" s="1" t="s">
        <v>252</v>
      </c>
      <c r="B63" s="1">
        <v>193.9833</v>
      </c>
      <c r="C63" s="1">
        <v>37.3132</v>
      </c>
      <c r="D63" s="1">
        <v>39.9662</v>
      </c>
      <c r="E63" s="1">
        <v>39.2438</v>
      </c>
      <c r="F63" s="1">
        <v>1602</v>
      </c>
      <c r="G63" s="1">
        <v>1.762</v>
      </c>
      <c r="H63" s="1">
        <v>995024</v>
      </c>
      <c r="I63" s="1">
        <v>265344</v>
      </c>
      <c r="J63" s="1" t="s">
        <v>128</v>
      </c>
      <c r="K63" s="1" t="s">
        <v>253</v>
      </c>
    </row>
    <row r="64" s="1" customFormat="1" spans="1:11">
      <c r="A64" s="1" t="s">
        <v>254</v>
      </c>
      <c r="B64" s="1">
        <v>111.0119</v>
      </c>
      <c r="C64" s="1">
        <v>34.1183</v>
      </c>
      <c r="D64" s="1">
        <v>38.2992</v>
      </c>
      <c r="E64" s="1">
        <v>37.3484</v>
      </c>
      <c r="F64" s="1">
        <v>1038</v>
      </c>
      <c r="G64" s="1">
        <v>1.317</v>
      </c>
      <c r="H64" s="1">
        <v>993096</v>
      </c>
      <c r="I64" s="1">
        <v>264672</v>
      </c>
      <c r="J64" s="1" t="s">
        <v>128</v>
      </c>
      <c r="K64" s="1" t="s">
        <v>255</v>
      </c>
    </row>
    <row r="65" s="1" customFormat="1" spans="1:11">
      <c r="A65" s="1" t="s">
        <v>256</v>
      </c>
      <c r="B65" s="1">
        <v>1473.216</v>
      </c>
      <c r="C65" s="1">
        <v>42.185</v>
      </c>
      <c r="D65" s="1">
        <v>44.5057</v>
      </c>
      <c r="E65" s="1">
        <v>45.7581</v>
      </c>
      <c r="F65" s="1">
        <v>3424</v>
      </c>
      <c r="G65" s="1">
        <v>3.587</v>
      </c>
      <c r="H65" s="1">
        <v>1000376</v>
      </c>
      <c r="I65" s="1">
        <v>268024</v>
      </c>
      <c r="J65" s="1" t="s">
        <v>128</v>
      </c>
      <c r="K65" s="1" t="s">
        <v>257</v>
      </c>
    </row>
    <row r="66" s="1" customFormat="1" spans="1:11">
      <c r="A66" s="1" t="s">
        <v>258</v>
      </c>
      <c r="B66" s="1">
        <v>941.0984</v>
      </c>
      <c r="C66" s="1">
        <v>37.7934</v>
      </c>
      <c r="D66" s="1">
        <v>42.0168</v>
      </c>
      <c r="E66" s="1">
        <v>43.1378</v>
      </c>
      <c r="F66" s="1">
        <v>2880</v>
      </c>
      <c r="G66" s="1">
        <v>2.924</v>
      </c>
      <c r="H66" s="1">
        <v>999208</v>
      </c>
      <c r="I66" s="1">
        <v>267104</v>
      </c>
      <c r="J66" s="1" t="s">
        <v>128</v>
      </c>
      <c r="K66" s="1" t="s">
        <v>259</v>
      </c>
    </row>
    <row r="67" s="1" customFormat="1" spans="1:11">
      <c r="A67" s="1" t="s">
        <v>260</v>
      </c>
      <c r="B67" s="1">
        <v>565.8936</v>
      </c>
      <c r="C67" s="1">
        <v>34.0012</v>
      </c>
      <c r="D67" s="1">
        <v>39.5765</v>
      </c>
      <c r="E67" s="1">
        <v>40.2863</v>
      </c>
      <c r="F67" s="1">
        <v>2448</v>
      </c>
      <c r="G67" s="1">
        <v>2.406</v>
      </c>
      <c r="H67" s="1">
        <v>997684</v>
      </c>
      <c r="I67" s="1">
        <v>266216</v>
      </c>
      <c r="J67" s="1" t="s">
        <v>128</v>
      </c>
      <c r="K67" s="1" t="s">
        <v>261</v>
      </c>
    </row>
    <row r="68" s="1" customFormat="1" spans="1:11">
      <c r="A68" s="1" t="s">
        <v>262</v>
      </c>
      <c r="B68" s="1">
        <v>335.7696</v>
      </c>
      <c r="C68" s="1">
        <v>30.5968</v>
      </c>
      <c r="D68" s="1">
        <v>38.166</v>
      </c>
      <c r="E68" s="1">
        <v>38.8236</v>
      </c>
      <c r="F68" s="1">
        <v>1907</v>
      </c>
      <c r="G68" s="1">
        <v>1.993</v>
      </c>
      <c r="H68" s="1">
        <v>996032</v>
      </c>
      <c r="I68" s="1">
        <v>265612</v>
      </c>
      <c r="J68" s="1" t="s">
        <v>128</v>
      </c>
      <c r="K68" s="1" t="s">
        <v>263</v>
      </c>
    </row>
    <row r="69" s="1" customFormat="1" spans="1:11">
      <c r="A69" s="1" t="s">
        <v>264</v>
      </c>
      <c r="B69" s="1">
        <v>1307.7889</v>
      </c>
      <c r="C69" s="1">
        <v>42.0057</v>
      </c>
      <c r="D69" s="1">
        <v>42.9921</v>
      </c>
      <c r="E69" s="1">
        <v>43.9113</v>
      </c>
      <c r="F69" s="1">
        <v>2866</v>
      </c>
      <c r="G69" s="1">
        <v>3.202</v>
      </c>
      <c r="H69" s="1">
        <v>1000036</v>
      </c>
      <c r="I69" s="1">
        <v>268552</v>
      </c>
      <c r="J69" s="1" t="s">
        <v>128</v>
      </c>
      <c r="K69" s="1" t="s">
        <v>265</v>
      </c>
    </row>
    <row r="70" s="1" customFormat="1" spans="1:11">
      <c r="A70" s="1" t="s">
        <v>266</v>
      </c>
      <c r="B70" s="1">
        <v>798.4262</v>
      </c>
      <c r="C70" s="1">
        <v>37.7942</v>
      </c>
      <c r="D70" s="1">
        <v>39.7404</v>
      </c>
      <c r="E70" s="1">
        <v>40.312</v>
      </c>
      <c r="F70" s="1">
        <v>2959</v>
      </c>
      <c r="G70" s="1">
        <v>3.012</v>
      </c>
      <c r="H70" s="1">
        <v>999712</v>
      </c>
      <c r="I70" s="1">
        <v>267724</v>
      </c>
      <c r="J70" s="1" t="s">
        <v>128</v>
      </c>
      <c r="K70" s="1" t="s">
        <v>267</v>
      </c>
    </row>
    <row r="71" s="1" customFormat="1" spans="1:11">
      <c r="A71" s="1" t="s">
        <v>268</v>
      </c>
      <c r="B71" s="1">
        <v>454.1563</v>
      </c>
      <c r="C71" s="1">
        <v>33.9542</v>
      </c>
      <c r="D71" s="1">
        <v>36.6326</v>
      </c>
      <c r="E71" s="1">
        <v>37.0421</v>
      </c>
      <c r="F71" s="1">
        <v>2549</v>
      </c>
      <c r="G71" s="1">
        <v>2.435</v>
      </c>
      <c r="H71" s="1">
        <v>998104</v>
      </c>
      <c r="I71" s="1">
        <v>266456</v>
      </c>
      <c r="J71" s="1" t="s">
        <v>128</v>
      </c>
      <c r="K71" s="1" t="s">
        <v>269</v>
      </c>
    </row>
    <row r="72" s="1" customFormat="1" spans="1:11">
      <c r="A72" s="1" t="s">
        <v>270</v>
      </c>
      <c r="B72" s="1">
        <v>237.6794</v>
      </c>
      <c r="C72" s="1">
        <v>30.3714</v>
      </c>
      <c r="D72" s="1">
        <v>35.1137</v>
      </c>
      <c r="E72" s="1">
        <v>35.5212</v>
      </c>
      <c r="F72" s="1">
        <v>1860</v>
      </c>
      <c r="G72" s="1">
        <v>1.91</v>
      </c>
      <c r="H72" s="1">
        <v>995888</v>
      </c>
      <c r="I72" s="1">
        <v>265556</v>
      </c>
      <c r="J72" s="1" t="s">
        <v>128</v>
      </c>
      <c r="K72" s="1" t="s">
        <v>271</v>
      </c>
    </row>
    <row r="73" s="1" customFormat="1" spans="1:11">
      <c r="A73" s="1" t="s">
        <v>272</v>
      </c>
      <c r="B73" s="1">
        <v>500.7979</v>
      </c>
      <c r="C73" s="1">
        <v>43.9725</v>
      </c>
      <c r="D73" s="1">
        <v>43.9601</v>
      </c>
      <c r="E73" s="1">
        <v>44.996</v>
      </c>
      <c r="F73" s="1">
        <v>1833</v>
      </c>
      <c r="G73" s="1">
        <v>1.622</v>
      </c>
      <c r="H73" s="1">
        <v>998680</v>
      </c>
      <c r="I73" s="1">
        <v>267196</v>
      </c>
      <c r="J73" s="1" t="s">
        <v>128</v>
      </c>
      <c r="K73" s="1" t="s">
        <v>273</v>
      </c>
    </row>
    <row r="74" s="1" customFormat="1" spans="1:11">
      <c r="A74" s="1" t="s">
        <v>274</v>
      </c>
      <c r="B74" s="1">
        <v>303.6466</v>
      </c>
      <c r="C74" s="1">
        <v>40.0558</v>
      </c>
      <c r="D74" s="1">
        <v>40.2336</v>
      </c>
      <c r="E74" s="1">
        <v>41.8498</v>
      </c>
      <c r="F74" s="1">
        <v>1502</v>
      </c>
      <c r="G74" s="1">
        <v>1.303</v>
      </c>
      <c r="H74" s="1">
        <v>997560</v>
      </c>
      <c r="I74" s="1">
        <v>266368</v>
      </c>
      <c r="J74" s="1" t="s">
        <v>128</v>
      </c>
      <c r="K74" s="1" t="s">
        <v>275</v>
      </c>
    </row>
    <row r="75" s="1" customFormat="1" spans="1:11">
      <c r="A75" s="1" t="s">
        <v>276</v>
      </c>
      <c r="B75" s="1">
        <v>170.6068</v>
      </c>
      <c r="C75" s="1">
        <v>36.2247</v>
      </c>
      <c r="D75" s="1">
        <v>37.4483</v>
      </c>
      <c r="E75" s="1">
        <v>38.7988</v>
      </c>
      <c r="F75" s="1">
        <v>1280</v>
      </c>
      <c r="G75" s="1">
        <v>1.229</v>
      </c>
      <c r="H75" s="1">
        <v>996272</v>
      </c>
      <c r="I75" s="1">
        <v>265648</v>
      </c>
      <c r="J75" s="1" t="s">
        <v>128</v>
      </c>
      <c r="K75" s="1" t="s">
        <v>277</v>
      </c>
    </row>
    <row r="76" s="1" customFormat="1" spans="1:11">
      <c r="A76" s="1" t="s">
        <v>278</v>
      </c>
      <c r="B76" s="1">
        <v>86.9613</v>
      </c>
      <c r="C76" s="1">
        <v>32.6656</v>
      </c>
      <c r="D76" s="1">
        <v>36.0183</v>
      </c>
      <c r="E76" s="1">
        <v>37.0804</v>
      </c>
      <c r="F76" s="1">
        <v>803</v>
      </c>
      <c r="G76" s="1">
        <v>0.95</v>
      </c>
      <c r="H76" s="1">
        <v>994284</v>
      </c>
      <c r="I76" s="1">
        <v>264812</v>
      </c>
      <c r="J76" s="1" t="s">
        <v>128</v>
      </c>
      <c r="K76" s="1" t="s">
        <v>279</v>
      </c>
    </row>
    <row r="77" s="1" customFormat="1" spans="1:11">
      <c r="A77" s="1" t="s">
        <v>280</v>
      </c>
      <c r="B77" s="1">
        <v>3142.9896</v>
      </c>
      <c r="C77" s="1">
        <v>44.7548</v>
      </c>
      <c r="D77" s="1">
        <v>48.1121</v>
      </c>
      <c r="E77" s="1">
        <v>49.3585</v>
      </c>
      <c r="F77" s="1">
        <v>19756</v>
      </c>
      <c r="G77" s="1">
        <v>18.438</v>
      </c>
      <c r="H77" s="1">
        <v>1885920</v>
      </c>
      <c r="I77" s="1">
        <v>342680</v>
      </c>
      <c r="J77" s="1" t="s">
        <v>128</v>
      </c>
      <c r="K77" s="1" t="s">
        <v>281</v>
      </c>
    </row>
    <row r="78" s="1" customFormat="1" spans="1:11">
      <c r="A78" s="1" t="s">
        <v>282</v>
      </c>
      <c r="B78" s="1">
        <v>1891.3624</v>
      </c>
      <c r="C78" s="1">
        <v>42.4688</v>
      </c>
      <c r="D78" s="1">
        <v>46.0652</v>
      </c>
      <c r="E78" s="1">
        <v>47.2225</v>
      </c>
      <c r="F78" s="1">
        <v>14424</v>
      </c>
      <c r="G78" s="1">
        <v>16.146</v>
      </c>
      <c r="H78" s="1">
        <v>1879728</v>
      </c>
      <c r="I78" s="1">
        <v>339456</v>
      </c>
      <c r="J78" s="1" t="s">
        <v>128</v>
      </c>
      <c r="K78" s="1" t="s">
        <v>283</v>
      </c>
    </row>
    <row r="79" s="1" customFormat="1" spans="1:11">
      <c r="A79" s="1" t="s">
        <v>284</v>
      </c>
      <c r="B79" s="1">
        <v>1160.9952</v>
      </c>
      <c r="C79" s="1">
        <v>39.8967</v>
      </c>
      <c r="D79" s="1">
        <v>43.6034</v>
      </c>
      <c r="E79" s="1">
        <v>44.6163</v>
      </c>
      <c r="F79" s="1">
        <v>10834</v>
      </c>
      <c r="G79" s="1">
        <v>14.082</v>
      </c>
      <c r="H79" s="1">
        <v>1875540</v>
      </c>
      <c r="I79" s="1">
        <v>336396</v>
      </c>
      <c r="J79" s="1" t="s">
        <v>128</v>
      </c>
      <c r="K79" s="1" t="s">
        <v>285</v>
      </c>
    </row>
    <row r="80" s="1" customFormat="1" spans="1:11">
      <c r="A80" s="1" t="s">
        <v>286</v>
      </c>
      <c r="B80" s="1">
        <v>716.4816</v>
      </c>
      <c r="C80" s="1">
        <v>36.9214</v>
      </c>
      <c r="D80" s="1">
        <v>42.0526</v>
      </c>
      <c r="E80" s="1">
        <v>42.9822</v>
      </c>
      <c r="F80" s="1">
        <v>7523</v>
      </c>
      <c r="G80" s="1">
        <v>12.034</v>
      </c>
      <c r="H80" s="1">
        <v>1870228</v>
      </c>
      <c r="I80" s="1">
        <v>334144</v>
      </c>
      <c r="J80" s="1" t="s">
        <v>128</v>
      </c>
      <c r="K80" s="1" t="s">
        <v>287</v>
      </c>
    </row>
    <row r="81" s="1" customFormat="1" spans="1:11">
      <c r="A81" s="1" t="s">
        <v>288</v>
      </c>
      <c r="B81" s="1">
        <v>2205.1432</v>
      </c>
      <c r="C81" s="1">
        <v>44.9154</v>
      </c>
      <c r="D81" s="1">
        <v>49.2736</v>
      </c>
      <c r="E81" s="1">
        <v>49.8795</v>
      </c>
      <c r="F81" s="1">
        <v>14599</v>
      </c>
      <c r="G81" s="1">
        <v>13.449</v>
      </c>
      <c r="H81" s="1">
        <v>1875432</v>
      </c>
      <c r="I81" s="1">
        <v>337156</v>
      </c>
      <c r="J81" s="1" t="s">
        <v>128</v>
      </c>
      <c r="K81" s="1" t="s">
        <v>289</v>
      </c>
    </row>
    <row r="82" s="1" customFormat="1" spans="1:11">
      <c r="A82" s="1" t="s">
        <v>290</v>
      </c>
      <c r="B82" s="1">
        <v>1162.4864</v>
      </c>
      <c r="C82" s="1">
        <v>42.9014</v>
      </c>
      <c r="D82" s="1">
        <v>47.7908</v>
      </c>
      <c r="E82" s="1">
        <v>48.1773</v>
      </c>
      <c r="F82" s="1">
        <v>10331</v>
      </c>
      <c r="G82" s="1">
        <v>12.472</v>
      </c>
      <c r="H82" s="1">
        <v>1870928</v>
      </c>
      <c r="I82" s="1">
        <v>334992</v>
      </c>
      <c r="J82" s="1" t="s">
        <v>128</v>
      </c>
      <c r="K82" s="1" t="s">
        <v>291</v>
      </c>
    </row>
    <row r="83" s="1" customFormat="1" spans="1:11">
      <c r="A83" s="1" t="s">
        <v>292</v>
      </c>
      <c r="B83" s="1">
        <v>649.8232</v>
      </c>
      <c r="C83" s="1">
        <v>40.8498</v>
      </c>
      <c r="D83" s="1">
        <v>45.5894</v>
      </c>
      <c r="E83" s="1">
        <v>45.8902</v>
      </c>
      <c r="F83" s="1">
        <v>7219</v>
      </c>
      <c r="G83" s="1">
        <v>11.215</v>
      </c>
      <c r="H83" s="1">
        <v>1867964</v>
      </c>
      <c r="I83" s="1">
        <v>331516</v>
      </c>
      <c r="J83" s="1" t="s">
        <v>128</v>
      </c>
      <c r="K83" s="1" t="s">
        <v>293</v>
      </c>
    </row>
    <row r="84" s="1" customFormat="1" spans="1:11">
      <c r="A84" s="1" t="s">
        <v>294</v>
      </c>
      <c r="B84" s="1">
        <v>382.5424</v>
      </c>
      <c r="C84" s="1">
        <v>38.4704</v>
      </c>
      <c r="D84" s="1">
        <v>44.0575</v>
      </c>
      <c r="E84" s="1">
        <v>44.4628</v>
      </c>
      <c r="F84" s="1">
        <v>4301</v>
      </c>
      <c r="G84" s="1">
        <v>9.244</v>
      </c>
      <c r="H84" s="1">
        <v>1865404</v>
      </c>
      <c r="I84" s="1">
        <v>329528</v>
      </c>
      <c r="J84" s="1" t="s">
        <v>128</v>
      </c>
      <c r="K84" s="1" t="s">
        <v>295</v>
      </c>
    </row>
    <row r="85" s="1" customFormat="1" spans="1:11">
      <c r="A85" s="1" t="s">
        <v>296</v>
      </c>
      <c r="B85" s="1">
        <v>2343.3976</v>
      </c>
      <c r="C85" s="1">
        <v>45.3087</v>
      </c>
      <c r="D85" s="1">
        <v>48.6791</v>
      </c>
      <c r="E85" s="1">
        <v>49.5915</v>
      </c>
      <c r="F85" s="1">
        <v>16785</v>
      </c>
      <c r="G85" s="1">
        <v>16.093</v>
      </c>
      <c r="H85" s="1">
        <v>1878120</v>
      </c>
      <c r="I85" s="1">
        <v>337772</v>
      </c>
      <c r="J85" s="1" t="s">
        <v>128</v>
      </c>
      <c r="K85" s="1" t="s">
        <v>297</v>
      </c>
    </row>
    <row r="86" s="1" customFormat="1" spans="1:11">
      <c r="A86" s="1" t="s">
        <v>298</v>
      </c>
      <c r="B86" s="1">
        <v>1361.6336</v>
      </c>
      <c r="C86" s="1">
        <v>43.2443</v>
      </c>
      <c r="D86" s="1">
        <v>46.8988</v>
      </c>
      <c r="E86" s="1">
        <v>47.7644</v>
      </c>
      <c r="F86" s="1">
        <v>10441</v>
      </c>
      <c r="G86" s="1">
        <v>13.098</v>
      </c>
      <c r="H86" s="1">
        <v>1874252</v>
      </c>
      <c r="I86" s="1">
        <v>335672</v>
      </c>
      <c r="J86" s="1" t="s">
        <v>128</v>
      </c>
      <c r="K86" s="1" t="s">
        <v>299</v>
      </c>
    </row>
    <row r="87" s="1" customFormat="1" spans="1:11">
      <c r="A87" s="1" t="s">
        <v>300</v>
      </c>
      <c r="B87" s="1">
        <v>810.8288</v>
      </c>
      <c r="C87" s="1">
        <v>40.8872</v>
      </c>
      <c r="D87" s="1">
        <v>44.7754</v>
      </c>
      <c r="E87" s="1">
        <v>45.4297</v>
      </c>
      <c r="F87" s="1">
        <v>7611</v>
      </c>
      <c r="G87" s="1">
        <v>11.921</v>
      </c>
      <c r="H87" s="1">
        <v>1868972</v>
      </c>
      <c r="I87" s="1">
        <v>333924</v>
      </c>
      <c r="J87" s="1" t="s">
        <v>128</v>
      </c>
      <c r="K87" s="1" t="s">
        <v>301</v>
      </c>
    </row>
    <row r="88" s="1" customFormat="1" spans="1:11">
      <c r="A88" s="1" t="s">
        <v>302</v>
      </c>
      <c r="B88" s="1">
        <v>496.0408</v>
      </c>
      <c r="C88" s="1">
        <v>38.236</v>
      </c>
      <c r="D88" s="1">
        <v>43.284</v>
      </c>
      <c r="E88" s="1">
        <v>43.8443</v>
      </c>
      <c r="F88" s="1">
        <v>5672</v>
      </c>
      <c r="G88" s="1">
        <v>11.388</v>
      </c>
      <c r="H88" s="1">
        <v>1866148</v>
      </c>
      <c r="I88" s="1">
        <v>330784</v>
      </c>
      <c r="J88" s="1" t="s">
        <v>128</v>
      </c>
      <c r="K88" s="1" t="s">
        <v>303</v>
      </c>
    </row>
    <row r="89" s="1" customFormat="1" spans="1:11">
      <c r="A89" s="1" t="s">
        <v>304</v>
      </c>
      <c r="B89" s="1">
        <v>2113.8167</v>
      </c>
      <c r="C89" s="1">
        <v>43.2293</v>
      </c>
      <c r="D89" s="1">
        <v>45.1492</v>
      </c>
      <c r="E89" s="1">
        <v>46.4062</v>
      </c>
      <c r="F89" s="1">
        <v>15216</v>
      </c>
      <c r="G89" s="1">
        <v>9.618</v>
      </c>
      <c r="H89" s="1">
        <v>1492496</v>
      </c>
      <c r="I89" s="1">
        <v>304972</v>
      </c>
      <c r="J89" s="1" t="s">
        <v>128</v>
      </c>
      <c r="K89" s="1" t="s">
        <v>305</v>
      </c>
    </row>
    <row r="90" s="1" customFormat="1" spans="1:11">
      <c r="A90" s="1" t="s">
        <v>306</v>
      </c>
      <c r="B90" s="1">
        <v>1194.4421</v>
      </c>
      <c r="C90" s="1">
        <v>40.0437</v>
      </c>
      <c r="D90" s="1">
        <v>42.5279</v>
      </c>
      <c r="E90" s="1">
        <v>43.4072</v>
      </c>
      <c r="F90" s="1">
        <v>13181</v>
      </c>
      <c r="G90" s="1">
        <v>7.912</v>
      </c>
      <c r="H90" s="1">
        <v>1486528</v>
      </c>
      <c r="I90" s="1">
        <v>299900</v>
      </c>
      <c r="J90" s="1" t="s">
        <v>128</v>
      </c>
      <c r="K90" s="1" t="s">
        <v>307</v>
      </c>
    </row>
    <row r="91" s="1" customFormat="1" spans="1:11">
      <c r="A91" s="1" t="s">
        <v>308</v>
      </c>
      <c r="B91" s="1">
        <v>670.3659</v>
      </c>
      <c r="C91" s="1">
        <v>37.0224</v>
      </c>
      <c r="D91" s="1">
        <v>39.6954</v>
      </c>
      <c r="E91" s="1">
        <v>40.1678</v>
      </c>
      <c r="F91" s="1">
        <v>8506</v>
      </c>
      <c r="G91" s="1">
        <v>5.848</v>
      </c>
      <c r="H91" s="1">
        <v>1480592</v>
      </c>
      <c r="I91" s="1">
        <v>296844</v>
      </c>
      <c r="J91" s="1" t="s">
        <v>128</v>
      </c>
      <c r="K91" s="1" t="s">
        <v>309</v>
      </c>
    </row>
    <row r="92" s="1" customFormat="1" spans="1:11">
      <c r="A92" s="1" t="s">
        <v>310</v>
      </c>
      <c r="B92" s="1">
        <v>390.7627</v>
      </c>
      <c r="C92" s="1">
        <v>34.1623</v>
      </c>
      <c r="D92" s="1">
        <v>37.9794</v>
      </c>
      <c r="E92" s="1">
        <v>38.275</v>
      </c>
      <c r="F92" s="1">
        <v>5629</v>
      </c>
      <c r="G92" s="1">
        <v>5.133</v>
      </c>
      <c r="H92" s="1">
        <v>1477812</v>
      </c>
      <c r="I92" s="1">
        <v>293288</v>
      </c>
      <c r="J92" s="1" t="s">
        <v>128</v>
      </c>
      <c r="K92" s="1" t="s">
        <v>311</v>
      </c>
    </row>
    <row r="93" s="1" customFormat="1" spans="1:11">
      <c r="A93" s="1" t="s">
        <v>312</v>
      </c>
      <c r="B93" s="1">
        <v>11262.936</v>
      </c>
      <c r="C93" s="1">
        <v>45.3552</v>
      </c>
      <c r="D93" s="1">
        <v>46.1406</v>
      </c>
      <c r="E93" s="1">
        <v>46.8801</v>
      </c>
      <c r="F93" s="1">
        <v>89927</v>
      </c>
      <c r="G93" s="1">
        <v>51.227</v>
      </c>
      <c r="H93" s="1">
        <v>3332824</v>
      </c>
      <c r="I93" s="1">
        <v>582752</v>
      </c>
      <c r="J93" s="1" t="s">
        <v>128</v>
      </c>
      <c r="K93" s="1" t="s">
        <v>313</v>
      </c>
    </row>
    <row r="94" s="1" customFormat="1" spans="1:11">
      <c r="A94" s="1" t="s">
        <v>314</v>
      </c>
      <c r="B94" s="1">
        <v>6408.244</v>
      </c>
      <c r="C94" s="1">
        <v>41.9104</v>
      </c>
      <c r="D94" s="1">
        <v>43.064</v>
      </c>
      <c r="E94" s="1">
        <v>43.5964</v>
      </c>
      <c r="F94" s="1">
        <v>75537</v>
      </c>
      <c r="G94" s="1">
        <v>45.056</v>
      </c>
      <c r="H94" s="1">
        <v>3307176</v>
      </c>
      <c r="I94" s="1">
        <v>558404</v>
      </c>
      <c r="J94" s="1" t="s">
        <v>128</v>
      </c>
      <c r="K94" s="1" t="s">
        <v>315</v>
      </c>
    </row>
    <row r="95" s="1" customFormat="1" spans="1:11">
      <c r="A95" s="1" t="s">
        <v>316</v>
      </c>
      <c r="B95" s="1">
        <v>3530.1152</v>
      </c>
      <c r="C95" s="1">
        <v>38.6705</v>
      </c>
      <c r="D95" s="1">
        <v>39.9874</v>
      </c>
      <c r="E95" s="1">
        <v>40.268</v>
      </c>
      <c r="F95" s="1">
        <v>54978</v>
      </c>
      <c r="G95" s="1">
        <v>36.074</v>
      </c>
      <c r="H95" s="1">
        <v>3290832</v>
      </c>
      <c r="I95" s="1">
        <v>536784</v>
      </c>
      <c r="J95" s="1" t="s">
        <v>128</v>
      </c>
      <c r="K95" s="1" t="s">
        <v>317</v>
      </c>
    </row>
    <row r="96" s="1" customFormat="1" spans="1:11">
      <c r="A96" s="1" t="s">
        <v>318</v>
      </c>
      <c r="B96" s="1">
        <v>1989.6384</v>
      </c>
      <c r="C96" s="1">
        <v>35.5983</v>
      </c>
      <c r="D96" s="1">
        <v>38.3595</v>
      </c>
      <c r="E96" s="1">
        <v>38.4924</v>
      </c>
      <c r="F96" s="1">
        <v>32062</v>
      </c>
      <c r="G96" s="1">
        <v>28.67</v>
      </c>
      <c r="H96" s="1">
        <v>3275992</v>
      </c>
      <c r="I96" s="1">
        <v>492012</v>
      </c>
      <c r="J96" s="1" t="s">
        <v>128</v>
      </c>
      <c r="K96" s="1" t="s">
        <v>319</v>
      </c>
    </row>
    <row r="97" s="1" customFormat="1" spans="1:11">
      <c r="A97" s="1" t="s">
        <v>320</v>
      </c>
      <c r="B97" s="1">
        <v>1501.2055</v>
      </c>
      <c r="C97" s="1">
        <v>49.0968</v>
      </c>
      <c r="D97" s="1">
        <v>48.2983</v>
      </c>
      <c r="E97" s="1">
        <v>48.6324</v>
      </c>
      <c r="F97" s="1">
        <v>10840</v>
      </c>
      <c r="G97" s="1">
        <v>7.104</v>
      </c>
      <c r="H97" s="1">
        <v>1987860</v>
      </c>
      <c r="I97" s="1">
        <v>365152</v>
      </c>
      <c r="J97" s="1" t="s">
        <v>128</v>
      </c>
      <c r="K97" s="1" t="s">
        <v>321</v>
      </c>
    </row>
    <row r="98" s="1" customFormat="1" spans="1:11">
      <c r="A98" s="1" t="s">
        <v>322</v>
      </c>
      <c r="B98" s="1">
        <v>1179.0853</v>
      </c>
      <c r="C98" s="1">
        <v>45.2248</v>
      </c>
      <c r="D98" s="1">
        <v>45.7315</v>
      </c>
      <c r="E98" s="1">
        <v>46.2535</v>
      </c>
      <c r="F98" s="1">
        <v>11543</v>
      </c>
      <c r="G98" s="1">
        <v>7.125</v>
      </c>
      <c r="H98" s="1">
        <v>1981672</v>
      </c>
      <c r="I98" s="1">
        <v>355216</v>
      </c>
      <c r="J98" s="1" t="s">
        <v>128</v>
      </c>
      <c r="K98" s="1" t="s">
        <v>323</v>
      </c>
    </row>
    <row r="99" s="1" customFormat="1" spans="1:11">
      <c r="A99" s="1" t="s">
        <v>324</v>
      </c>
      <c r="B99" s="1">
        <v>934.1676</v>
      </c>
      <c r="C99" s="1">
        <v>41.2784</v>
      </c>
      <c r="D99" s="1">
        <v>42.7047</v>
      </c>
      <c r="E99" s="1">
        <v>43.3576</v>
      </c>
      <c r="F99" s="1">
        <v>10505</v>
      </c>
      <c r="G99" s="1">
        <v>6.304</v>
      </c>
      <c r="H99" s="1">
        <v>1980004</v>
      </c>
      <c r="I99" s="1">
        <v>345464</v>
      </c>
      <c r="J99" s="1" t="s">
        <v>128</v>
      </c>
      <c r="K99" s="1" t="s">
        <v>325</v>
      </c>
    </row>
    <row r="100" s="1" customFormat="1" spans="1:11">
      <c r="A100" s="1" t="s">
        <v>326</v>
      </c>
      <c r="B100" s="1">
        <v>718.3279</v>
      </c>
      <c r="C100" s="1">
        <v>36.3317</v>
      </c>
      <c r="D100" s="1">
        <v>40.2736</v>
      </c>
      <c r="E100" s="1">
        <v>41.1316</v>
      </c>
      <c r="F100" s="1">
        <v>8684</v>
      </c>
      <c r="G100" s="1">
        <v>5.27</v>
      </c>
      <c r="H100" s="1">
        <v>1978632</v>
      </c>
      <c r="I100" s="1">
        <v>349216</v>
      </c>
      <c r="J100" s="1" t="s">
        <v>128</v>
      </c>
      <c r="K100" s="1" t="s">
        <v>327</v>
      </c>
    </row>
    <row r="101" s="1" customFormat="1" spans="1:11">
      <c r="A101" s="1" t="s">
        <v>328</v>
      </c>
      <c r="B101" s="1">
        <v>411.4968</v>
      </c>
      <c r="C101" s="1">
        <v>51.8008</v>
      </c>
      <c r="D101" s="1">
        <v>55.2031</v>
      </c>
      <c r="E101" s="1">
        <v>56.5005</v>
      </c>
      <c r="F101" s="1">
        <v>8740</v>
      </c>
      <c r="G101" s="1">
        <v>8.207</v>
      </c>
      <c r="H101" s="1">
        <v>1997592</v>
      </c>
      <c r="I101" s="1">
        <v>347436</v>
      </c>
      <c r="J101" s="1" t="s">
        <v>128</v>
      </c>
      <c r="K101" s="1" t="s">
        <v>329</v>
      </c>
    </row>
    <row r="102" s="1" customFormat="1" spans="1:11">
      <c r="A102" s="1" t="s">
        <v>330</v>
      </c>
      <c r="B102" s="1">
        <v>257.8546</v>
      </c>
      <c r="C102" s="1">
        <v>48.2876</v>
      </c>
      <c r="D102" s="1">
        <v>52.0517</v>
      </c>
      <c r="E102" s="1">
        <v>53.6961</v>
      </c>
      <c r="F102" s="1">
        <v>7405</v>
      </c>
      <c r="G102" s="1">
        <v>8.257</v>
      </c>
      <c r="H102" s="1">
        <v>1994256</v>
      </c>
      <c r="I102" s="1">
        <v>347884</v>
      </c>
      <c r="J102" s="1" t="s">
        <v>128</v>
      </c>
      <c r="K102" s="1" t="s">
        <v>331</v>
      </c>
    </row>
    <row r="103" s="1" customFormat="1" spans="1:11">
      <c r="A103" s="1" t="s">
        <v>332</v>
      </c>
      <c r="B103" s="1">
        <v>166.0016</v>
      </c>
      <c r="C103" s="1">
        <v>44.9321</v>
      </c>
      <c r="D103" s="1">
        <v>48.9002</v>
      </c>
      <c r="E103" s="1">
        <v>50.8509</v>
      </c>
      <c r="F103" s="1">
        <v>6084</v>
      </c>
      <c r="G103" s="1">
        <v>7.606</v>
      </c>
      <c r="H103" s="1">
        <v>1991772</v>
      </c>
      <c r="I103" s="1">
        <v>341856</v>
      </c>
      <c r="J103" s="1" t="s">
        <v>128</v>
      </c>
      <c r="K103" s="1" t="s">
        <v>333</v>
      </c>
    </row>
    <row r="104" s="1" customFormat="1" spans="1:11">
      <c r="A104" s="1" t="s">
        <v>334</v>
      </c>
      <c r="B104" s="1">
        <v>107.4873</v>
      </c>
      <c r="C104" s="1">
        <v>41.3637</v>
      </c>
      <c r="D104" s="1">
        <v>47.0717</v>
      </c>
      <c r="E104" s="1">
        <v>49.025</v>
      </c>
      <c r="F104" s="1">
        <v>5014</v>
      </c>
      <c r="G104" s="1">
        <v>7.606</v>
      </c>
      <c r="H104" s="1">
        <v>1989024</v>
      </c>
      <c r="I104" s="1">
        <v>339424</v>
      </c>
      <c r="J104" s="1" t="s">
        <v>128</v>
      </c>
      <c r="K104" s="1" t="s">
        <v>335</v>
      </c>
    </row>
    <row r="105" s="1" customFormat="1" spans="1:11">
      <c r="A105" s="1" t="s">
        <v>336</v>
      </c>
      <c r="B105" s="1">
        <v>5444.8326</v>
      </c>
      <c r="C105" s="1">
        <v>50.2173</v>
      </c>
      <c r="D105" s="1">
        <v>49.4653</v>
      </c>
      <c r="E105" s="1">
        <v>49.6173</v>
      </c>
      <c r="F105" s="1">
        <v>23606</v>
      </c>
      <c r="G105" s="1">
        <v>17.639</v>
      </c>
      <c r="H105" s="1">
        <v>3179492</v>
      </c>
      <c r="I105" s="1">
        <v>548584</v>
      </c>
      <c r="J105" s="1" t="s">
        <v>128</v>
      </c>
      <c r="K105" s="1" t="s">
        <v>337</v>
      </c>
    </row>
    <row r="106" s="1" customFormat="1" spans="1:11">
      <c r="A106" s="1" t="s">
        <v>338</v>
      </c>
      <c r="B106" s="1">
        <v>4074.9079</v>
      </c>
      <c r="C106" s="1">
        <v>45.5019</v>
      </c>
      <c r="D106" s="1">
        <v>45.2494</v>
      </c>
      <c r="E106" s="1">
        <v>45.5915</v>
      </c>
      <c r="F106" s="1">
        <v>22124</v>
      </c>
      <c r="G106" s="1">
        <v>15.736</v>
      </c>
      <c r="H106" s="1">
        <v>3177412</v>
      </c>
      <c r="I106" s="1">
        <v>526532</v>
      </c>
      <c r="J106" s="1" t="s">
        <v>128</v>
      </c>
      <c r="K106" s="1" t="s">
        <v>339</v>
      </c>
    </row>
    <row r="107" s="1" customFormat="1" spans="1:11">
      <c r="A107" s="1" t="s">
        <v>340</v>
      </c>
      <c r="B107" s="1">
        <v>2970.3837</v>
      </c>
      <c r="C107" s="1">
        <v>40.9148</v>
      </c>
      <c r="D107" s="1">
        <v>41.0047</v>
      </c>
      <c r="E107" s="1">
        <v>41.5775</v>
      </c>
      <c r="F107" s="1">
        <v>20117</v>
      </c>
      <c r="G107" s="1">
        <v>14.151</v>
      </c>
      <c r="H107" s="1">
        <v>3173596</v>
      </c>
      <c r="I107" s="1">
        <v>508828</v>
      </c>
      <c r="J107" s="1" t="s">
        <v>128</v>
      </c>
      <c r="K107" s="1" t="s">
        <v>341</v>
      </c>
    </row>
    <row r="108" s="1" customFormat="1" spans="1:11">
      <c r="A108" s="1" t="s">
        <v>342</v>
      </c>
      <c r="B108" s="1">
        <v>2193.3742</v>
      </c>
      <c r="C108" s="1">
        <v>36.4582</v>
      </c>
      <c r="D108" s="1">
        <v>38.2982</v>
      </c>
      <c r="E108" s="1">
        <v>38.9524</v>
      </c>
      <c r="F108" s="1">
        <v>19837</v>
      </c>
      <c r="G108" s="1">
        <v>14.57</v>
      </c>
      <c r="H108" s="1">
        <v>3169496</v>
      </c>
      <c r="I108" s="1">
        <v>500496</v>
      </c>
      <c r="J108" s="1" t="s">
        <v>128</v>
      </c>
      <c r="K108" s="1" t="s">
        <v>343</v>
      </c>
    </row>
    <row r="109" s="1" customFormat="1" spans="1:11">
      <c r="A109" s="1" t="s">
        <v>344</v>
      </c>
      <c r="B109" s="1">
        <v>3321.284</v>
      </c>
      <c r="C109" s="1">
        <v>53.7282</v>
      </c>
      <c r="D109" s="1">
        <v>49.7168</v>
      </c>
      <c r="E109" s="1">
        <v>49.7373</v>
      </c>
      <c r="F109" s="1">
        <v>32463</v>
      </c>
      <c r="G109" s="1">
        <v>24.138</v>
      </c>
      <c r="H109" s="1">
        <v>3146008</v>
      </c>
      <c r="I109" s="1">
        <v>507868</v>
      </c>
      <c r="J109" s="1" t="s">
        <v>128</v>
      </c>
      <c r="K109" s="1" t="s">
        <v>345</v>
      </c>
    </row>
    <row r="110" s="1" customFormat="1" spans="1:11">
      <c r="A110" s="1" t="s">
        <v>346</v>
      </c>
      <c r="B110" s="1">
        <v>2733.5152</v>
      </c>
      <c r="C110" s="1">
        <v>48.902</v>
      </c>
      <c r="D110" s="1">
        <v>46.7726</v>
      </c>
      <c r="E110" s="1">
        <v>46.6009</v>
      </c>
      <c r="F110" s="1">
        <v>32301</v>
      </c>
      <c r="G110" s="1">
        <v>22.085</v>
      </c>
      <c r="H110" s="1">
        <v>3142896</v>
      </c>
      <c r="I110" s="1">
        <v>484148</v>
      </c>
      <c r="J110" s="1" t="s">
        <v>128</v>
      </c>
      <c r="K110" s="1" t="s">
        <v>347</v>
      </c>
    </row>
    <row r="111" s="1" customFormat="1" spans="1:11">
      <c r="A111" s="1" t="s">
        <v>348</v>
      </c>
      <c r="B111" s="1">
        <v>2270.5328</v>
      </c>
      <c r="C111" s="1">
        <v>43.9598</v>
      </c>
      <c r="D111" s="1">
        <v>43.6482</v>
      </c>
      <c r="E111" s="1">
        <v>43.1758</v>
      </c>
      <c r="F111" s="1">
        <v>28914</v>
      </c>
      <c r="G111" s="1">
        <v>19.907</v>
      </c>
      <c r="H111" s="1">
        <v>3139484</v>
      </c>
      <c r="I111" s="1">
        <v>475860</v>
      </c>
      <c r="J111" s="1" t="s">
        <v>128</v>
      </c>
      <c r="K111" s="1" t="s">
        <v>349</v>
      </c>
    </row>
    <row r="112" s="1" customFormat="1" spans="1:11">
      <c r="A112" s="1" t="s">
        <v>350</v>
      </c>
      <c r="B112" s="1">
        <v>1895.6144</v>
      </c>
      <c r="C112" s="1">
        <v>38.4022</v>
      </c>
      <c r="D112" s="1">
        <v>41.3346</v>
      </c>
      <c r="E112" s="1">
        <v>41.0039</v>
      </c>
      <c r="F112" s="1">
        <v>27581</v>
      </c>
      <c r="G112" s="1">
        <v>19.111</v>
      </c>
      <c r="H112" s="1">
        <v>3139584</v>
      </c>
      <c r="I112" s="1">
        <v>470548</v>
      </c>
      <c r="J112" s="1" t="s">
        <v>128</v>
      </c>
      <c r="K112" s="1" t="s">
        <v>351</v>
      </c>
    </row>
    <row r="113" s="1" customFormat="1" spans="1:11">
      <c r="A113" s="1" t="s">
        <v>352</v>
      </c>
      <c r="B113" s="1">
        <v>2993.7032</v>
      </c>
      <c r="C113" s="1">
        <v>56.6126</v>
      </c>
      <c r="D113" s="1">
        <v>54.1064</v>
      </c>
      <c r="E113" s="1">
        <v>52.9288</v>
      </c>
      <c r="F113" s="1">
        <v>23278</v>
      </c>
      <c r="G113" s="1">
        <v>21.669</v>
      </c>
      <c r="H113" s="1">
        <v>3142176</v>
      </c>
      <c r="I113" s="1">
        <v>527660</v>
      </c>
      <c r="J113" s="1" t="s">
        <v>128</v>
      </c>
      <c r="K113" s="1" t="s">
        <v>353</v>
      </c>
    </row>
    <row r="114" s="1" customFormat="1" spans="1:11">
      <c r="A114" s="1" t="s">
        <v>354</v>
      </c>
      <c r="B114" s="1">
        <v>2317.8312</v>
      </c>
      <c r="C114" s="1">
        <v>50.4517</v>
      </c>
      <c r="D114" s="1">
        <v>48.4731</v>
      </c>
      <c r="E114" s="1">
        <v>46.5203</v>
      </c>
      <c r="F114" s="1">
        <v>23050</v>
      </c>
      <c r="G114" s="1">
        <v>21.231</v>
      </c>
      <c r="H114" s="1">
        <v>3142572</v>
      </c>
      <c r="I114" s="1">
        <v>527336</v>
      </c>
      <c r="J114" s="1" t="s">
        <v>128</v>
      </c>
      <c r="K114" s="1" t="s">
        <v>355</v>
      </c>
    </row>
    <row r="115" s="1" customFormat="1" spans="1:11">
      <c r="A115" s="1" t="s">
        <v>356</v>
      </c>
      <c r="B115" s="1">
        <v>1771.3696</v>
      </c>
      <c r="C115" s="1">
        <v>45.0401</v>
      </c>
      <c r="D115" s="1">
        <v>43.9394</v>
      </c>
      <c r="E115" s="1">
        <v>41.3312</v>
      </c>
      <c r="F115" s="1">
        <v>22955</v>
      </c>
      <c r="G115" s="1">
        <v>21.201</v>
      </c>
      <c r="H115" s="1">
        <v>3143672</v>
      </c>
      <c r="I115" s="1">
        <v>512900</v>
      </c>
      <c r="J115" s="1" t="s">
        <v>128</v>
      </c>
      <c r="K115" s="1" t="s">
        <v>357</v>
      </c>
    </row>
    <row r="116" s="1" customFormat="1" spans="1:11">
      <c r="A116" s="1" t="s">
        <v>358</v>
      </c>
      <c r="B116" s="1">
        <v>1356.772</v>
      </c>
      <c r="C116" s="1">
        <v>39.5991</v>
      </c>
      <c r="D116" s="1">
        <v>41.3494</v>
      </c>
      <c r="E116" s="1">
        <v>38.5761</v>
      </c>
      <c r="F116" s="1">
        <v>21319</v>
      </c>
      <c r="G116" s="1">
        <v>21.043</v>
      </c>
      <c r="H116" s="1">
        <v>3140916</v>
      </c>
      <c r="I116" s="1">
        <v>503724</v>
      </c>
      <c r="J116" s="1" t="s">
        <v>128</v>
      </c>
      <c r="K116" s="1" t="s">
        <v>359</v>
      </c>
    </row>
    <row r="117" s="1" customFormat="1" spans="1:11">
      <c r="A117" s="1" t="s">
        <v>360</v>
      </c>
      <c r="B117" s="1">
        <v>10203.1488</v>
      </c>
      <c r="C117" s="1">
        <v>49.1673</v>
      </c>
      <c r="D117" s="1">
        <v>48.4595</v>
      </c>
      <c r="E117" s="1">
        <v>48.7073</v>
      </c>
      <c r="F117" s="1">
        <v>60453</v>
      </c>
      <c r="G117" s="1">
        <v>32.89</v>
      </c>
      <c r="H117" s="1">
        <v>3217696</v>
      </c>
      <c r="I117" s="1">
        <v>530528</v>
      </c>
      <c r="J117" s="1" t="s">
        <v>128</v>
      </c>
      <c r="K117" s="1" t="s">
        <v>361</v>
      </c>
    </row>
    <row r="118" s="1" customFormat="1" spans="1:11">
      <c r="A118" s="1" t="s">
        <v>362</v>
      </c>
      <c r="B118" s="1">
        <v>8175.7816</v>
      </c>
      <c r="C118" s="1">
        <v>44.6921</v>
      </c>
      <c r="D118" s="1">
        <v>45.064</v>
      </c>
      <c r="E118" s="1">
        <v>45.4448</v>
      </c>
      <c r="F118" s="1">
        <v>53566</v>
      </c>
      <c r="G118" s="1">
        <v>28.501</v>
      </c>
      <c r="H118" s="1">
        <v>3204136</v>
      </c>
      <c r="I118" s="1">
        <v>511544</v>
      </c>
      <c r="J118" s="1" t="s">
        <v>128</v>
      </c>
      <c r="K118" s="1" t="s">
        <v>363</v>
      </c>
    </row>
    <row r="119" s="1" customFormat="1" spans="1:11">
      <c r="A119" s="1" t="s">
        <v>364</v>
      </c>
      <c r="B119" s="1">
        <v>6587.6592</v>
      </c>
      <c r="C119" s="1">
        <v>40.1735</v>
      </c>
      <c r="D119" s="1">
        <v>41.8574</v>
      </c>
      <c r="E119" s="1">
        <v>42.5271</v>
      </c>
      <c r="F119" s="1">
        <v>54650</v>
      </c>
      <c r="G119" s="1">
        <v>27.726</v>
      </c>
      <c r="H119" s="1">
        <v>3200208</v>
      </c>
      <c r="I119" s="1">
        <v>509500</v>
      </c>
      <c r="J119" s="1" t="s">
        <v>128</v>
      </c>
      <c r="K119" s="1" t="s">
        <v>365</v>
      </c>
    </row>
    <row r="120" s="1" customFormat="1" spans="1:11">
      <c r="A120" s="1" t="s">
        <v>366</v>
      </c>
      <c r="B120" s="1">
        <v>5076.0608</v>
      </c>
      <c r="C120" s="1">
        <v>35.2162</v>
      </c>
      <c r="D120" s="1">
        <v>39.3922</v>
      </c>
      <c r="E120" s="1">
        <v>40.0619</v>
      </c>
      <c r="F120" s="1">
        <v>49445</v>
      </c>
      <c r="G120" s="1">
        <v>25.372</v>
      </c>
      <c r="H120" s="1">
        <v>3198080</v>
      </c>
      <c r="I120" s="1">
        <v>519840</v>
      </c>
      <c r="J120" s="1" t="s">
        <v>128</v>
      </c>
      <c r="K120" s="1" t="s">
        <v>367</v>
      </c>
    </row>
    <row r="121" s="1" customFormat="1" spans="1:11">
      <c r="A121" s="1" t="s">
        <v>368</v>
      </c>
      <c r="B121" s="1">
        <v>13744.9959</v>
      </c>
      <c r="C121" s="1">
        <v>40.2697</v>
      </c>
      <c r="D121" s="1">
        <v>49.4838</v>
      </c>
      <c r="E121" s="1">
        <v>47.8216</v>
      </c>
      <c r="F121" s="1">
        <v>1844769</v>
      </c>
      <c r="G121" s="1">
        <v>360.993</v>
      </c>
      <c r="H121" s="1">
        <v>15153008</v>
      </c>
      <c r="I121" s="1">
        <v>2498136</v>
      </c>
      <c r="J121" s="1" t="s">
        <v>128</v>
      </c>
      <c r="K121" s="1" t="s">
        <v>369</v>
      </c>
    </row>
    <row r="122" s="1" customFormat="1" spans="1:11">
      <c r="A122" s="1" t="s">
        <v>370</v>
      </c>
      <c r="B122" s="1">
        <v>5702.4947</v>
      </c>
      <c r="C122" s="1">
        <v>39.7765</v>
      </c>
      <c r="D122" s="1">
        <v>48.8101</v>
      </c>
      <c r="E122" s="1">
        <v>46.659</v>
      </c>
      <c r="F122" s="1">
        <v>1142716</v>
      </c>
      <c r="G122" s="1">
        <v>405.506</v>
      </c>
      <c r="H122" s="1">
        <v>15110872</v>
      </c>
      <c r="I122" s="1">
        <v>2367520</v>
      </c>
      <c r="J122" s="1" t="s">
        <v>128</v>
      </c>
      <c r="K122" s="1" t="s">
        <v>371</v>
      </c>
    </row>
    <row r="123" s="1" customFormat="1" spans="1:11">
      <c r="A123" s="1" t="s">
        <v>372</v>
      </c>
      <c r="B123" s="1">
        <v>3031.5135</v>
      </c>
      <c r="C123" s="1">
        <v>39.0224</v>
      </c>
      <c r="D123" s="1">
        <v>47.9848</v>
      </c>
      <c r="E123" s="1">
        <v>45.3558</v>
      </c>
      <c r="F123" s="1">
        <v>433814</v>
      </c>
      <c r="G123" s="1">
        <v>205.951</v>
      </c>
      <c r="H123" s="1">
        <v>9894304</v>
      </c>
      <c r="I123" s="1">
        <v>1310740</v>
      </c>
      <c r="J123" s="1" t="s">
        <v>128</v>
      </c>
      <c r="K123" s="1" t="s">
        <v>373</v>
      </c>
    </row>
    <row r="124" s="1" customFormat="1" spans="1:11">
      <c r="A124" s="1" t="s">
        <v>374</v>
      </c>
      <c r="B124" s="1">
        <v>1622.3837</v>
      </c>
      <c r="C124" s="1">
        <v>37.809</v>
      </c>
      <c r="D124" s="1">
        <v>46.9503</v>
      </c>
      <c r="E124" s="1">
        <v>43.771</v>
      </c>
      <c r="F124" s="1">
        <v>194418</v>
      </c>
      <c r="G124" s="1">
        <v>103.064</v>
      </c>
      <c r="H124" s="1">
        <v>9351256</v>
      </c>
      <c r="I124" s="1">
        <v>1241788</v>
      </c>
      <c r="J124" s="1" t="s">
        <v>128</v>
      </c>
      <c r="K124" s="1" t="s">
        <v>375</v>
      </c>
    </row>
    <row r="125" s="1" customFormat="1" spans="1:11">
      <c r="A125" s="1" t="s">
        <v>376</v>
      </c>
      <c r="B125" s="1">
        <v>12792.408</v>
      </c>
      <c r="C125" s="1">
        <v>44.3988</v>
      </c>
      <c r="D125" s="1">
        <v>49.7691</v>
      </c>
      <c r="E125" s="1">
        <v>50.4498</v>
      </c>
      <c r="F125" s="1">
        <v>2010758</v>
      </c>
      <c r="G125" s="1">
        <v>484.523</v>
      </c>
      <c r="H125" s="1">
        <v>15375536</v>
      </c>
      <c r="I125" s="1">
        <v>2429700</v>
      </c>
      <c r="J125" s="1" t="s">
        <v>128</v>
      </c>
      <c r="K125" s="1" t="s">
        <v>377</v>
      </c>
    </row>
    <row r="126" s="1" customFormat="1" spans="1:11">
      <c r="A126" s="1" t="s">
        <v>378</v>
      </c>
      <c r="B126" s="1">
        <v>6374.9744</v>
      </c>
      <c r="C126" s="1">
        <v>43.2592</v>
      </c>
      <c r="D126" s="1">
        <v>48.1474</v>
      </c>
      <c r="E126" s="1">
        <v>48.5508</v>
      </c>
      <c r="F126" s="1">
        <v>1111108</v>
      </c>
      <c r="G126" s="1">
        <v>443.334</v>
      </c>
      <c r="H126" s="1">
        <v>15251320</v>
      </c>
      <c r="I126" s="1">
        <v>2372116</v>
      </c>
      <c r="J126" s="1" t="s">
        <v>128</v>
      </c>
      <c r="K126" s="1" t="s">
        <v>379</v>
      </c>
    </row>
    <row r="127" s="1" customFormat="1" spans="1:11">
      <c r="A127" s="1" t="s">
        <v>380</v>
      </c>
      <c r="B127" s="1">
        <v>3336.8352</v>
      </c>
      <c r="C127" s="1">
        <v>41.5065</v>
      </c>
      <c r="D127" s="1">
        <v>46.2779</v>
      </c>
      <c r="E127" s="1">
        <v>46.4667</v>
      </c>
      <c r="F127" s="1">
        <v>389427</v>
      </c>
      <c r="G127" s="1">
        <v>150.185</v>
      </c>
      <c r="H127" s="1">
        <v>10265660</v>
      </c>
      <c r="I127" s="1">
        <v>1654888</v>
      </c>
      <c r="J127" s="1" t="s">
        <v>128</v>
      </c>
      <c r="K127" s="1" t="s">
        <v>381</v>
      </c>
    </row>
    <row r="128" s="1" customFormat="1" spans="1:11">
      <c r="A128" s="1" t="s">
        <v>382</v>
      </c>
      <c r="B128" s="1">
        <v>1745.8464</v>
      </c>
      <c r="C128" s="1">
        <v>39.4865</v>
      </c>
      <c r="D128" s="1">
        <v>44.6073</v>
      </c>
      <c r="E128" s="1">
        <v>44.6407</v>
      </c>
      <c r="F128" s="1">
        <v>204168</v>
      </c>
      <c r="G128" s="1">
        <v>87.552</v>
      </c>
      <c r="H128" s="1">
        <v>8270568</v>
      </c>
      <c r="I128" s="1">
        <v>1265480</v>
      </c>
      <c r="J128" s="1" t="s">
        <v>128</v>
      </c>
      <c r="K128" s="1" t="s">
        <v>383</v>
      </c>
    </row>
    <row r="129" s="1" customFormat="1" spans="1:11">
      <c r="A129" s="1" t="s">
        <v>384</v>
      </c>
      <c r="B129" s="1">
        <v>43486.7616</v>
      </c>
      <c r="C129" s="1">
        <v>39.3802</v>
      </c>
      <c r="D129" s="1">
        <v>41.3233</v>
      </c>
      <c r="E129" s="1">
        <v>42.9549</v>
      </c>
      <c r="F129" s="1">
        <v>3486562</v>
      </c>
      <c r="G129" s="1">
        <v>466.005</v>
      </c>
      <c r="H129" s="1">
        <v>15090804</v>
      </c>
      <c r="I129" s="1">
        <v>2934776</v>
      </c>
      <c r="J129" s="1" t="s">
        <v>128</v>
      </c>
      <c r="K129" s="1" t="s">
        <v>385</v>
      </c>
    </row>
    <row r="130" s="1" customFormat="1" spans="1:11">
      <c r="A130" s="1" t="s">
        <v>386</v>
      </c>
      <c r="B130" s="1">
        <v>10474.9288</v>
      </c>
      <c r="C130" s="1">
        <v>37.6816</v>
      </c>
      <c r="D130" s="1">
        <v>37.7133</v>
      </c>
      <c r="E130" s="1">
        <v>41.7541</v>
      </c>
      <c r="F130" s="1">
        <v>2066209</v>
      </c>
      <c r="G130" s="1">
        <v>318.842</v>
      </c>
      <c r="H130" s="1">
        <v>15008912</v>
      </c>
      <c r="I130" s="1">
        <v>2821892</v>
      </c>
      <c r="J130" s="1" t="s">
        <v>128</v>
      </c>
      <c r="K130" s="1" t="s">
        <v>387</v>
      </c>
    </row>
    <row r="131" s="1" customFormat="1" spans="1:11">
      <c r="A131" s="1" t="s">
        <v>388</v>
      </c>
      <c r="B131" s="1">
        <v>5551.2448</v>
      </c>
      <c r="C131" s="1">
        <v>36.7502</v>
      </c>
      <c r="D131" s="1">
        <v>35.7607</v>
      </c>
      <c r="E131" s="1">
        <v>40.5615</v>
      </c>
      <c r="F131" s="1">
        <v>1296916</v>
      </c>
      <c r="G131" s="1">
        <v>226.833</v>
      </c>
      <c r="H131" s="1">
        <v>14932136</v>
      </c>
      <c r="I131" s="1">
        <v>2903660</v>
      </c>
      <c r="J131" s="1" t="s">
        <v>128</v>
      </c>
      <c r="K131" s="1" t="s">
        <v>389</v>
      </c>
    </row>
    <row r="132" s="1" customFormat="1" spans="1:11">
      <c r="A132" s="1" t="s">
        <v>390</v>
      </c>
      <c r="B132" s="1">
        <v>2668.6648</v>
      </c>
      <c r="C132" s="1">
        <v>35.4444</v>
      </c>
      <c r="D132" s="1">
        <v>33.0139</v>
      </c>
      <c r="E132" s="1">
        <v>38.8236</v>
      </c>
      <c r="F132" s="1">
        <v>536630</v>
      </c>
      <c r="G132" s="1">
        <v>113.058</v>
      </c>
      <c r="H132" s="1">
        <v>15008004</v>
      </c>
      <c r="I132" s="1">
        <v>2476084</v>
      </c>
      <c r="J132" s="1" t="s">
        <v>128</v>
      </c>
      <c r="K132" s="1" t="s">
        <v>391</v>
      </c>
    </row>
    <row r="133" s="1" customFormat="1" spans="1:11">
      <c r="A133" s="1" t="s">
        <v>392</v>
      </c>
      <c r="B133" s="1">
        <v>15271.0304</v>
      </c>
      <c r="C133" s="1">
        <v>40.3945</v>
      </c>
      <c r="D133" s="1">
        <v>42.0855</v>
      </c>
      <c r="E133" s="1">
        <v>43.9757</v>
      </c>
      <c r="F133" s="1">
        <v>1257941</v>
      </c>
      <c r="G133" s="1">
        <v>421.412</v>
      </c>
      <c r="H133" s="1">
        <v>15102560</v>
      </c>
      <c r="I133" s="1">
        <v>2694684</v>
      </c>
      <c r="J133" s="1" t="s">
        <v>128</v>
      </c>
      <c r="K133" s="1" t="s">
        <v>393</v>
      </c>
    </row>
    <row r="134" s="1" customFormat="1" spans="1:11">
      <c r="A134" s="1" t="s">
        <v>394</v>
      </c>
      <c r="B134" s="1">
        <v>6880.3216</v>
      </c>
      <c r="C134" s="1">
        <v>39.732</v>
      </c>
      <c r="D134" s="1">
        <v>41.6558</v>
      </c>
      <c r="E134" s="1">
        <v>43.0093</v>
      </c>
      <c r="F134" s="1">
        <v>794747</v>
      </c>
      <c r="G134" s="1">
        <v>308.107</v>
      </c>
      <c r="H134" s="1">
        <v>15049200</v>
      </c>
      <c r="I134" s="1">
        <v>2536424</v>
      </c>
      <c r="J134" s="1" t="s">
        <v>128</v>
      </c>
      <c r="K134" s="1" t="s">
        <v>395</v>
      </c>
    </row>
    <row r="135" s="1" customFormat="1" spans="1:11">
      <c r="A135" s="1" t="s">
        <v>396</v>
      </c>
      <c r="B135" s="1">
        <v>3438.3728</v>
      </c>
      <c r="C135" s="1">
        <v>38.5389</v>
      </c>
      <c r="D135" s="1">
        <v>40.9621</v>
      </c>
      <c r="E135" s="1">
        <v>41.52</v>
      </c>
      <c r="F135" s="1">
        <v>379263</v>
      </c>
      <c r="G135" s="1">
        <v>187.512</v>
      </c>
      <c r="H135" s="1">
        <v>13980700</v>
      </c>
      <c r="I135" s="1">
        <v>2241248</v>
      </c>
      <c r="J135" s="1" t="s">
        <v>128</v>
      </c>
      <c r="K135" s="1" t="s">
        <v>397</v>
      </c>
    </row>
    <row r="136" s="1" customFormat="1" spans="1:11">
      <c r="A136" s="1" t="s">
        <v>398</v>
      </c>
      <c r="B136" s="1">
        <v>1882.7424</v>
      </c>
      <c r="C136" s="1">
        <v>37.0847</v>
      </c>
      <c r="D136" s="1">
        <v>40.2101</v>
      </c>
      <c r="E136" s="1">
        <v>40.0827</v>
      </c>
      <c r="F136" s="1">
        <v>290220</v>
      </c>
      <c r="G136" s="1">
        <v>161.823</v>
      </c>
      <c r="H136" s="1">
        <v>11640520</v>
      </c>
      <c r="I136" s="1">
        <v>1638544</v>
      </c>
      <c r="J136" s="1" t="s">
        <v>128</v>
      </c>
      <c r="K136" s="1" t="s">
        <v>399</v>
      </c>
    </row>
    <row r="137" s="1" customFormat="1" spans="1:11">
      <c r="A137" s="1" t="s">
        <v>400</v>
      </c>
      <c r="B137" s="1">
        <v>18935.888</v>
      </c>
      <c r="C137" s="1">
        <v>37.983</v>
      </c>
      <c r="D137" s="1">
        <v>46.0982</v>
      </c>
      <c r="E137" s="1">
        <v>43.8994</v>
      </c>
      <c r="F137" s="1">
        <v>1654995</v>
      </c>
      <c r="G137" s="1">
        <v>495.487</v>
      </c>
      <c r="H137" s="1">
        <v>15259992</v>
      </c>
      <c r="I137" s="1">
        <v>2425348</v>
      </c>
      <c r="J137" s="1" t="s">
        <v>128</v>
      </c>
      <c r="K137" s="1" t="s">
        <v>401</v>
      </c>
    </row>
    <row r="138" s="1" customFormat="1" spans="1:11">
      <c r="A138" s="1" t="s">
        <v>402</v>
      </c>
      <c r="B138" s="1">
        <v>6879.6944</v>
      </c>
      <c r="C138" s="1">
        <v>37.4704</v>
      </c>
      <c r="D138" s="1">
        <v>45.4505</v>
      </c>
      <c r="E138" s="1">
        <v>43.2441</v>
      </c>
      <c r="F138" s="1">
        <v>993267</v>
      </c>
      <c r="G138" s="1">
        <v>398.378</v>
      </c>
      <c r="H138" s="1">
        <v>15158060</v>
      </c>
      <c r="I138" s="1">
        <v>2302300</v>
      </c>
      <c r="J138" s="1" t="s">
        <v>128</v>
      </c>
      <c r="K138" s="1" t="s">
        <v>403</v>
      </c>
    </row>
    <row r="139" s="1" customFormat="1" spans="1:11">
      <c r="A139" s="1" t="s">
        <v>404</v>
      </c>
      <c r="B139" s="1">
        <v>3318.3024</v>
      </c>
      <c r="C139" s="1">
        <v>36.6889</v>
      </c>
      <c r="D139" s="1">
        <v>44.521</v>
      </c>
      <c r="E139" s="1">
        <v>42.2859</v>
      </c>
      <c r="F139" s="1">
        <v>540722</v>
      </c>
      <c r="G139" s="1">
        <v>289.541</v>
      </c>
      <c r="H139" s="1">
        <v>15149784</v>
      </c>
      <c r="I139" s="1">
        <v>2207300</v>
      </c>
      <c r="J139" s="1" t="s">
        <v>128</v>
      </c>
      <c r="K139" s="1" t="s">
        <v>405</v>
      </c>
    </row>
    <row r="140" s="1" customFormat="1" spans="1:11">
      <c r="A140" s="1" t="s">
        <v>406</v>
      </c>
      <c r="B140" s="1">
        <v>1736.0944</v>
      </c>
      <c r="C140" s="1">
        <v>35.4716</v>
      </c>
      <c r="D140" s="1">
        <v>43.4542</v>
      </c>
      <c r="E140" s="1">
        <v>41.0157</v>
      </c>
      <c r="F140" s="1">
        <v>270971</v>
      </c>
      <c r="G140" s="1">
        <v>160.741</v>
      </c>
      <c r="H140" s="1">
        <v>14310672</v>
      </c>
      <c r="I140" s="1">
        <v>1984896</v>
      </c>
      <c r="J140" s="1" t="s">
        <v>128</v>
      </c>
      <c r="K140" s="1" t="s">
        <v>407</v>
      </c>
    </row>
    <row r="141" s="1" customFormat="1" spans="1:11">
      <c r="A141" s="1" t="s">
        <v>408</v>
      </c>
      <c r="B141" s="1">
        <v>81638.8533</v>
      </c>
      <c r="C141" s="1">
        <v>43.9042</v>
      </c>
      <c r="D141" s="1">
        <v>37.5192</v>
      </c>
      <c r="E141" s="1">
        <v>38.6855</v>
      </c>
      <c r="F141" s="1">
        <v>2041818</v>
      </c>
      <c r="G141" s="1">
        <v>580.829</v>
      </c>
      <c r="H141" s="1">
        <v>15360600</v>
      </c>
      <c r="I141" s="1">
        <v>2479048</v>
      </c>
      <c r="J141" s="1" t="s">
        <v>128</v>
      </c>
      <c r="K141" s="1" t="s">
        <v>409</v>
      </c>
    </row>
    <row r="142" s="1" customFormat="1" spans="1:11">
      <c r="A142" s="1" t="s">
        <v>410</v>
      </c>
      <c r="B142" s="1">
        <v>31928.328</v>
      </c>
      <c r="C142" s="1">
        <v>40.1973</v>
      </c>
      <c r="D142" s="1">
        <v>34.9218</v>
      </c>
      <c r="E142" s="1">
        <v>36.6553</v>
      </c>
      <c r="F142" s="1">
        <v>1479966</v>
      </c>
      <c r="G142" s="1">
        <v>552.038</v>
      </c>
      <c r="H142" s="1">
        <v>15320140</v>
      </c>
      <c r="I142" s="1">
        <v>2396844</v>
      </c>
      <c r="J142" s="1" t="s">
        <v>128</v>
      </c>
      <c r="K142" s="1" t="s">
        <v>411</v>
      </c>
    </row>
    <row r="143" s="1" customFormat="1" spans="1:11">
      <c r="A143" s="1" t="s">
        <v>412</v>
      </c>
      <c r="B143" s="1">
        <v>14260.0173</v>
      </c>
      <c r="C143" s="1">
        <v>36.9196</v>
      </c>
      <c r="D143" s="1">
        <v>33.1147</v>
      </c>
      <c r="E143" s="1">
        <v>35.211</v>
      </c>
      <c r="F143" s="1">
        <v>1076263</v>
      </c>
      <c r="G143" s="1">
        <v>495.789</v>
      </c>
      <c r="H143" s="1">
        <v>15291976</v>
      </c>
      <c r="I143" s="1">
        <v>2381728</v>
      </c>
      <c r="J143" s="1" t="s">
        <v>128</v>
      </c>
      <c r="K143" s="1" t="s">
        <v>413</v>
      </c>
    </row>
    <row r="144" s="1" customFormat="1" spans="1:11">
      <c r="A144" s="1" t="s">
        <v>414</v>
      </c>
      <c r="B144" s="1">
        <v>6281.664</v>
      </c>
      <c r="C144" s="1">
        <v>33.9025</v>
      </c>
      <c r="D144" s="1">
        <v>31.4345</v>
      </c>
      <c r="E144" s="1">
        <v>33.6474</v>
      </c>
      <c r="F144" s="1">
        <v>707939</v>
      </c>
      <c r="G144" s="1">
        <v>415.517</v>
      </c>
      <c r="H144" s="1">
        <v>15192204</v>
      </c>
      <c r="I144" s="1">
        <v>2343676</v>
      </c>
      <c r="J144" s="1" t="s">
        <v>128</v>
      </c>
      <c r="K144" s="1" t="s">
        <v>415</v>
      </c>
    </row>
    <row r="145" s="1" customFormat="1" spans="1:11">
      <c r="A145" s="1" t="s">
        <v>416</v>
      </c>
      <c r="B145" s="1">
        <v>10628.9992</v>
      </c>
      <c r="C145" s="1">
        <v>41.1617</v>
      </c>
      <c r="D145" s="1">
        <v>45.1414</v>
      </c>
      <c r="E145" s="1">
        <v>46.1203</v>
      </c>
      <c r="F145" s="1">
        <v>724381</v>
      </c>
      <c r="G145" s="1">
        <v>216.486</v>
      </c>
      <c r="H145" s="1">
        <v>5642840</v>
      </c>
      <c r="I145" s="1">
        <v>847636</v>
      </c>
      <c r="J145" s="1" t="s">
        <v>128</v>
      </c>
      <c r="K145" s="1" t="s">
        <v>417</v>
      </c>
    </row>
    <row r="146" s="1" customFormat="1" spans="1:11">
      <c r="A146" s="1" t="s">
        <v>418</v>
      </c>
      <c r="B146" s="1">
        <v>4384.9904</v>
      </c>
      <c r="C146" s="1">
        <v>39.3329</v>
      </c>
      <c r="D146" s="1">
        <v>43.8697</v>
      </c>
      <c r="E146" s="1">
        <v>44.854</v>
      </c>
      <c r="F146" s="1">
        <v>487851</v>
      </c>
      <c r="G146" s="1">
        <v>190.573</v>
      </c>
      <c r="H146" s="1">
        <v>5630700</v>
      </c>
      <c r="I146" s="1">
        <v>819860</v>
      </c>
      <c r="J146" s="1" t="s">
        <v>128</v>
      </c>
      <c r="K146" s="1" t="s">
        <v>419</v>
      </c>
    </row>
    <row r="147" s="1" customFormat="1" spans="1:11">
      <c r="A147" s="1" t="s">
        <v>420</v>
      </c>
      <c r="B147" s="1">
        <v>2008.6376</v>
      </c>
      <c r="C147" s="1">
        <v>37.275</v>
      </c>
      <c r="D147" s="1">
        <v>42.4533</v>
      </c>
      <c r="E147" s="1">
        <v>43.3342</v>
      </c>
      <c r="F147" s="1">
        <v>295848</v>
      </c>
      <c r="G147" s="1">
        <v>132.522</v>
      </c>
      <c r="H147" s="1">
        <v>5611752</v>
      </c>
      <c r="I147" s="1">
        <v>777484</v>
      </c>
      <c r="J147" s="1" t="s">
        <v>128</v>
      </c>
      <c r="K147" s="1" t="s">
        <v>421</v>
      </c>
    </row>
    <row r="148" s="1" customFormat="1" spans="1:11">
      <c r="A148" s="1" t="s">
        <v>422</v>
      </c>
      <c r="B148" s="1">
        <v>931.104</v>
      </c>
      <c r="C148" s="1">
        <v>35.1567</v>
      </c>
      <c r="D148" s="1">
        <v>41.0768</v>
      </c>
      <c r="E148" s="1">
        <v>41.9094</v>
      </c>
      <c r="F148" s="1">
        <v>181763</v>
      </c>
      <c r="G148" s="1">
        <v>98.147</v>
      </c>
      <c r="H148" s="1">
        <v>5606080</v>
      </c>
      <c r="I148" s="1">
        <v>784400</v>
      </c>
      <c r="J148" s="1" t="s">
        <v>128</v>
      </c>
      <c r="K148" s="1" t="s">
        <v>423</v>
      </c>
    </row>
    <row r="149" s="1" customFormat="1" spans="1:11">
      <c r="A149" s="1" t="s">
        <v>424</v>
      </c>
      <c r="B149" s="1">
        <v>7811.8296</v>
      </c>
      <c r="C149" s="1">
        <v>45.2285</v>
      </c>
      <c r="D149" s="1">
        <v>48.7127</v>
      </c>
      <c r="E149" s="1">
        <v>49.3827</v>
      </c>
      <c r="F149" s="1">
        <v>768126</v>
      </c>
      <c r="G149" s="1">
        <v>220.147</v>
      </c>
      <c r="H149" s="1">
        <v>5634800</v>
      </c>
      <c r="I149" s="1">
        <v>843292</v>
      </c>
      <c r="J149" s="1" t="s">
        <v>128</v>
      </c>
      <c r="K149" s="1" t="s">
        <v>425</v>
      </c>
    </row>
    <row r="150" s="1" customFormat="1" spans="1:11">
      <c r="A150" s="1" t="s">
        <v>426</v>
      </c>
      <c r="B150" s="1">
        <v>4001.3192</v>
      </c>
      <c r="C150" s="1">
        <v>42.2945</v>
      </c>
      <c r="D150" s="1">
        <v>46.5277</v>
      </c>
      <c r="E150" s="1">
        <v>46.7858</v>
      </c>
      <c r="F150" s="1">
        <v>575435</v>
      </c>
      <c r="G150" s="1">
        <v>174.276</v>
      </c>
      <c r="H150" s="1">
        <v>5618912</v>
      </c>
      <c r="I150" s="1">
        <v>820648</v>
      </c>
      <c r="J150" s="1" t="s">
        <v>128</v>
      </c>
      <c r="K150" s="1" t="s">
        <v>427</v>
      </c>
    </row>
    <row r="151" s="1" customFormat="1" spans="1:11">
      <c r="A151" s="1" t="s">
        <v>428</v>
      </c>
      <c r="B151" s="1">
        <v>2144.6288</v>
      </c>
      <c r="C151" s="1">
        <v>39.2314</v>
      </c>
      <c r="D151" s="1">
        <v>44.6626</v>
      </c>
      <c r="E151" s="1">
        <v>44.6414</v>
      </c>
      <c r="F151" s="1">
        <v>437147</v>
      </c>
      <c r="G151" s="1">
        <v>138.18</v>
      </c>
      <c r="H151" s="1">
        <v>5608628</v>
      </c>
      <c r="I151" s="1">
        <v>764068</v>
      </c>
      <c r="J151" s="1" t="s">
        <v>128</v>
      </c>
      <c r="K151" s="1" t="s">
        <v>429</v>
      </c>
    </row>
    <row r="152" s="1" customFormat="1" spans="1:11">
      <c r="A152" s="1" t="s">
        <v>430</v>
      </c>
      <c r="B152" s="1">
        <v>1151.68</v>
      </c>
      <c r="C152" s="1">
        <v>36.3664</v>
      </c>
      <c r="D152" s="1">
        <v>42.8852</v>
      </c>
      <c r="E152" s="1">
        <v>42.7318</v>
      </c>
      <c r="F152" s="1">
        <v>265276</v>
      </c>
      <c r="G152" s="1">
        <v>95.062</v>
      </c>
      <c r="H152" s="1">
        <v>5468932</v>
      </c>
      <c r="I152" s="1">
        <v>750584</v>
      </c>
      <c r="J152" s="1" t="s">
        <v>128</v>
      </c>
      <c r="K152" s="1" t="s">
        <v>431</v>
      </c>
    </row>
    <row r="153" s="1" customFormat="1" spans="1:11">
      <c r="A153" s="1" t="s">
        <v>432</v>
      </c>
      <c r="B153" s="1">
        <v>7804.136</v>
      </c>
      <c r="C153" s="1">
        <v>38.7142</v>
      </c>
      <c r="D153" s="1">
        <v>40.3825</v>
      </c>
      <c r="E153" s="1">
        <v>44.7336</v>
      </c>
      <c r="F153" s="1">
        <v>585505</v>
      </c>
      <c r="G153" s="1">
        <v>156.588</v>
      </c>
      <c r="H153" s="1">
        <v>5644844</v>
      </c>
      <c r="I153" s="1">
        <v>826408</v>
      </c>
      <c r="J153" s="1" t="s">
        <v>128</v>
      </c>
      <c r="K153" s="1" t="s">
        <v>433</v>
      </c>
    </row>
    <row r="154" s="1" customFormat="1" spans="1:11">
      <c r="A154" s="1" t="s">
        <v>434</v>
      </c>
      <c r="B154" s="1">
        <v>3073.8304</v>
      </c>
      <c r="C154" s="1">
        <v>37.5068</v>
      </c>
      <c r="D154" s="1">
        <v>39.8405</v>
      </c>
      <c r="E154" s="1">
        <v>43.2208</v>
      </c>
      <c r="F154" s="1">
        <v>441692</v>
      </c>
      <c r="G154" s="1">
        <v>128.023</v>
      </c>
      <c r="H154" s="1">
        <v>5624208</v>
      </c>
      <c r="I154" s="1">
        <v>803052</v>
      </c>
      <c r="J154" s="1" t="s">
        <v>128</v>
      </c>
      <c r="K154" s="1" t="s">
        <v>435</v>
      </c>
    </row>
    <row r="155" s="1" customFormat="1" spans="1:11">
      <c r="A155" s="1" t="s">
        <v>436</v>
      </c>
      <c r="B155" s="1">
        <v>1492.3096</v>
      </c>
      <c r="C155" s="1">
        <v>35.9185</v>
      </c>
      <c r="D155" s="1">
        <v>39.15</v>
      </c>
      <c r="E155" s="1">
        <v>41.5722</v>
      </c>
      <c r="F155" s="1">
        <v>325110</v>
      </c>
      <c r="G155" s="1">
        <v>105.162</v>
      </c>
      <c r="H155" s="1">
        <v>5611304</v>
      </c>
      <c r="I155" s="1">
        <v>764704</v>
      </c>
      <c r="J155" s="1" t="s">
        <v>128</v>
      </c>
      <c r="K155" s="1" t="s">
        <v>437</v>
      </c>
    </row>
    <row r="156" s="1" customFormat="1" spans="1:11">
      <c r="A156" s="1" t="s">
        <v>438</v>
      </c>
      <c r="B156" s="1">
        <v>748.8616</v>
      </c>
      <c r="C156" s="1">
        <v>33.9625</v>
      </c>
      <c r="D156" s="1">
        <v>38.2072</v>
      </c>
      <c r="E156" s="1">
        <v>39.837</v>
      </c>
      <c r="F156" s="1">
        <v>234150</v>
      </c>
      <c r="G156" s="1">
        <v>101.569</v>
      </c>
      <c r="H156" s="1">
        <v>5601492</v>
      </c>
      <c r="I156" s="1">
        <v>731724</v>
      </c>
      <c r="J156" s="1" t="s">
        <v>128</v>
      </c>
      <c r="K156" s="1" t="s">
        <v>439</v>
      </c>
    </row>
    <row r="157" s="1" customFormat="1" spans="1:11">
      <c r="A157" s="1" t="s">
        <v>440</v>
      </c>
      <c r="B157" s="1">
        <v>9552.6576</v>
      </c>
      <c r="C157" s="1">
        <v>39.4261</v>
      </c>
      <c r="D157" s="1">
        <v>44.5402</v>
      </c>
      <c r="E157" s="1">
        <v>46.19</v>
      </c>
      <c r="F157" s="1">
        <v>894749</v>
      </c>
      <c r="G157" s="1">
        <v>216.26</v>
      </c>
      <c r="H157" s="1">
        <v>5645388</v>
      </c>
      <c r="I157" s="1">
        <v>825340</v>
      </c>
      <c r="J157" s="1" t="s">
        <v>128</v>
      </c>
      <c r="K157" s="1" t="s">
        <v>441</v>
      </c>
    </row>
    <row r="158" s="1" customFormat="1" spans="1:11">
      <c r="A158" s="1" t="s">
        <v>442</v>
      </c>
      <c r="B158" s="1">
        <v>3815.7152</v>
      </c>
      <c r="C158" s="1">
        <v>38.1845</v>
      </c>
      <c r="D158" s="1">
        <v>43.4463</v>
      </c>
      <c r="E158" s="1">
        <v>44.2451</v>
      </c>
      <c r="F158" s="1">
        <v>463880</v>
      </c>
      <c r="G158" s="1">
        <v>134.126</v>
      </c>
      <c r="H158" s="1">
        <v>5624256</v>
      </c>
      <c r="I158" s="1">
        <v>784088</v>
      </c>
      <c r="J158" s="1" t="s">
        <v>128</v>
      </c>
      <c r="K158" s="1" t="s">
        <v>443</v>
      </c>
    </row>
    <row r="159" s="1" customFormat="1" spans="1:11">
      <c r="A159" s="1" t="s">
        <v>444</v>
      </c>
      <c r="B159" s="1">
        <v>1849.4224</v>
      </c>
      <c r="C159" s="1">
        <v>36.6523</v>
      </c>
      <c r="D159" s="1">
        <v>42.3123</v>
      </c>
      <c r="E159" s="1">
        <v>42.5156</v>
      </c>
      <c r="F159" s="1">
        <v>321538</v>
      </c>
      <c r="G159" s="1">
        <v>105.326</v>
      </c>
      <c r="H159" s="1">
        <v>5607412</v>
      </c>
      <c r="I159" s="1">
        <v>776768</v>
      </c>
      <c r="J159" s="1" t="s">
        <v>128</v>
      </c>
      <c r="K159" s="1" t="s">
        <v>445</v>
      </c>
    </row>
    <row r="160" s="1" customFormat="1" spans="1:11">
      <c r="A160" s="1" t="s">
        <v>446</v>
      </c>
      <c r="B160" s="1">
        <v>933.7904</v>
      </c>
      <c r="C160" s="1">
        <v>34.7939</v>
      </c>
      <c r="D160" s="1">
        <v>41.0689</v>
      </c>
      <c r="E160" s="1">
        <v>40.5739</v>
      </c>
      <c r="F160" s="1">
        <v>217546</v>
      </c>
      <c r="G160" s="1">
        <v>99.996</v>
      </c>
      <c r="H160" s="1">
        <v>5596748</v>
      </c>
      <c r="I160" s="1">
        <v>759872</v>
      </c>
      <c r="J160" s="1" t="s">
        <v>447</v>
      </c>
      <c r="K160" s="1" t="s">
        <v>448</v>
      </c>
    </row>
    <row r="161" s="1" customFormat="1" spans="1:11">
      <c r="A161" s="1" t="s">
        <v>449</v>
      </c>
      <c r="B161" s="1">
        <v>19482.8856</v>
      </c>
      <c r="C161" s="1">
        <v>37.1986</v>
      </c>
      <c r="D161" s="1">
        <v>43.1862</v>
      </c>
      <c r="E161" s="1">
        <v>45.4779</v>
      </c>
      <c r="F161" s="1">
        <v>698488</v>
      </c>
      <c r="G161" s="1">
        <v>160.52</v>
      </c>
      <c r="H161" s="1">
        <v>5659604</v>
      </c>
      <c r="I161" s="1">
        <v>798700</v>
      </c>
      <c r="J161" s="1" t="s">
        <v>128</v>
      </c>
      <c r="K161" s="1" t="s">
        <v>450</v>
      </c>
    </row>
    <row r="162" s="1" customFormat="1" spans="1:11">
      <c r="A162" s="1" t="s">
        <v>451</v>
      </c>
      <c r="B162" s="1">
        <v>3312.4512</v>
      </c>
      <c r="C162" s="1">
        <v>35.8191</v>
      </c>
      <c r="D162" s="1">
        <v>42.4576</v>
      </c>
      <c r="E162" s="1">
        <v>44.8117</v>
      </c>
      <c r="F162" s="1">
        <v>300164</v>
      </c>
      <c r="G162" s="1">
        <v>118.499</v>
      </c>
      <c r="H162" s="1">
        <v>5636168</v>
      </c>
      <c r="I162" s="1">
        <v>771056</v>
      </c>
      <c r="J162" s="1" t="s">
        <v>128</v>
      </c>
      <c r="K162" s="1" t="s">
        <v>452</v>
      </c>
    </row>
    <row r="163" s="1" customFormat="1" spans="1:11">
      <c r="A163" s="1" t="s">
        <v>453</v>
      </c>
      <c r="B163" s="1">
        <v>1381.6424</v>
      </c>
      <c r="C163" s="1">
        <v>34.7801</v>
      </c>
      <c r="D163" s="1">
        <v>41.4284</v>
      </c>
      <c r="E163" s="1">
        <v>43.8678</v>
      </c>
      <c r="F163" s="1">
        <v>152345</v>
      </c>
      <c r="G163" s="1">
        <v>112.871</v>
      </c>
      <c r="H163" s="1">
        <v>5621552</v>
      </c>
      <c r="I163" s="1">
        <v>760220</v>
      </c>
      <c r="J163" s="1" t="s">
        <v>128</v>
      </c>
      <c r="K163" s="1" t="s">
        <v>454</v>
      </c>
    </row>
    <row r="164" s="1" customFormat="1" spans="1:11">
      <c r="A164" s="1" t="s">
        <v>455</v>
      </c>
      <c r="B164" s="1">
        <v>656.3432</v>
      </c>
      <c r="C164" s="1">
        <v>33.3811</v>
      </c>
      <c r="D164" s="1">
        <v>40.1969</v>
      </c>
      <c r="E164" s="1">
        <v>42.6986</v>
      </c>
      <c r="F164" s="1">
        <v>88352</v>
      </c>
      <c r="G164" s="1">
        <v>92.111</v>
      </c>
      <c r="H164" s="1">
        <v>5609024</v>
      </c>
      <c r="I164" s="1">
        <v>745216</v>
      </c>
      <c r="J164" s="1" t="s">
        <v>128</v>
      </c>
      <c r="K164" s="1" t="s">
        <v>456</v>
      </c>
    </row>
    <row r="165" s="1" customFormat="1" spans="1:11">
      <c r="A165" s="1" t="s">
        <v>457</v>
      </c>
      <c r="B165" s="1">
        <v>2241.6184</v>
      </c>
      <c r="C165" s="1">
        <v>42.2519</v>
      </c>
      <c r="D165" s="1">
        <v>44.5586</v>
      </c>
      <c r="E165" s="1">
        <v>45.5385</v>
      </c>
      <c r="F165" s="1">
        <v>65654</v>
      </c>
      <c r="G165" s="1">
        <v>32.658</v>
      </c>
      <c r="H165" s="1">
        <v>2055340</v>
      </c>
      <c r="I165" s="1">
        <v>431164</v>
      </c>
      <c r="J165" s="1" t="s">
        <v>128</v>
      </c>
      <c r="K165" s="1" t="s">
        <v>458</v>
      </c>
    </row>
    <row r="166" s="1" customFormat="1" spans="1:11">
      <c r="A166" s="1" t="s">
        <v>459</v>
      </c>
      <c r="B166" s="1">
        <v>1074.5136</v>
      </c>
      <c r="C166" s="1">
        <v>39.3384</v>
      </c>
      <c r="D166" s="1">
        <v>42.333</v>
      </c>
      <c r="E166" s="1">
        <v>42.7897</v>
      </c>
      <c r="F166" s="1">
        <v>48538</v>
      </c>
      <c r="G166" s="1">
        <v>27.539</v>
      </c>
      <c r="H166" s="1">
        <v>2047648</v>
      </c>
      <c r="I166" s="1">
        <v>422220</v>
      </c>
      <c r="J166" s="1" t="s">
        <v>128</v>
      </c>
      <c r="K166" s="1" t="s">
        <v>460</v>
      </c>
    </row>
    <row r="167" s="1" customFormat="1" spans="1:11">
      <c r="A167" s="1" t="s">
        <v>461</v>
      </c>
      <c r="B167" s="1">
        <v>542.2048</v>
      </c>
      <c r="C167" s="1">
        <v>36.4531</v>
      </c>
      <c r="D167" s="1">
        <v>40.4073</v>
      </c>
      <c r="E167" s="1">
        <v>40.6432</v>
      </c>
      <c r="F167" s="1">
        <v>36068</v>
      </c>
      <c r="G167" s="1">
        <v>22.2</v>
      </c>
      <c r="H167" s="1">
        <v>2041316</v>
      </c>
      <c r="I167" s="1">
        <v>416832</v>
      </c>
      <c r="J167" s="1" t="s">
        <v>128</v>
      </c>
      <c r="K167" s="1" t="s">
        <v>462</v>
      </c>
    </row>
    <row r="168" s="1" customFormat="1" spans="1:11">
      <c r="A168" s="1" t="s">
        <v>463</v>
      </c>
      <c r="B168" s="1">
        <v>277.9728</v>
      </c>
      <c r="C168" s="1">
        <v>33.7377</v>
      </c>
      <c r="D168" s="1">
        <v>38.4197</v>
      </c>
      <c r="E168" s="1">
        <v>38.4108</v>
      </c>
      <c r="F168" s="1">
        <v>25664</v>
      </c>
      <c r="G168" s="1">
        <v>19.165</v>
      </c>
      <c r="H168" s="1">
        <v>2035988</v>
      </c>
      <c r="I168" s="1">
        <v>412824</v>
      </c>
      <c r="J168" s="1" t="s">
        <v>128</v>
      </c>
      <c r="K168" s="1" t="s">
        <v>464</v>
      </c>
    </row>
    <row r="169" s="1" customFormat="1" spans="1:11">
      <c r="A169" s="1" t="s">
        <v>465</v>
      </c>
      <c r="B169" s="1">
        <v>2345.3464</v>
      </c>
      <c r="C169" s="1">
        <v>40.9965</v>
      </c>
      <c r="D169" s="1">
        <v>44.8853</v>
      </c>
      <c r="E169" s="1">
        <v>46.7601</v>
      </c>
      <c r="F169" s="1">
        <v>66407</v>
      </c>
      <c r="G169" s="1">
        <v>41.636</v>
      </c>
      <c r="H169" s="1">
        <v>2051224</v>
      </c>
      <c r="I169" s="1">
        <v>425252</v>
      </c>
      <c r="J169" s="1" t="s">
        <v>128</v>
      </c>
      <c r="K169" s="1" t="s">
        <v>466</v>
      </c>
    </row>
    <row r="170" s="1" customFormat="1" spans="1:11">
      <c r="A170" s="1" t="s">
        <v>467</v>
      </c>
      <c r="B170" s="1">
        <v>1125.0792</v>
      </c>
      <c r="C170" s="1">
        <v>38.8295</v>
      </c>
      <c r="D170" s="1">
        <v>43.2829</v>
      </c>
      <c r="E170" s="1">
        <v>44.6383</v>
      </c>
      <c r="F170" s="1">
        <v>48500</v>
      </c>
      <c r="G170" s="1">
        <v>34.211</v>
      </c>
      <c r="H170" s="1">
        <v>2046800</v>
      </c>
      <c r="I170" s="1">
        <v>422488</v>
      </c>
      <c r="J170" s="1" t="s">
        <v>128</v>
      </c>
      <c r="K170" s="1" t="s">
        <v>468</v>
      </c>
    </row>
    <row r="171" s="1" customFormat="1" spans="1:11">
      <c r="A171" s="1" t="s">
        <v>469</v>
      </c>
      <c r="B171" s="1">
        <v>576.4432</v>
      </c>
      <c r="C171" s="1">
        <v>36.368</v>
      </c>
      <c r="D171" s="1">
        <v>41.387</v>
      </c>
      <c r="E171" s="1">
        <v>42.3847</v>
      </c>
      <c r="F171" s="1">
        <v>34962</v>
      </c>
      <c r="G171" s="1">
        <v>25.686</v>
      </c>
      <c r="H171" s="1">
        <v>2042472</v>
      </c>
      <c r="I171" s="1">
        <v>419516</v>
      </c>
      <c r="J171" s="1" t="s">
        <v>128</v>
      </c>
      <c r="K171" s="1" t="s">
        <v>470</v>
      </c>
    </row>
    <row r="172" s="1" customFormat="1" spans="1:11">
      <c r="A172" s="1" t="s">
        <v>471</v>
      </c>
      <c r="B172" s="1">
        <v>306.3136</v>
      </c>
      <c r="C172" s="1">
        <v>33.7937</v>
      </c>
      <c r="D172" s="1">
        <v>39.6462</v>
      </c>
      <c r="E172" s="1">
        <v>40.3925</v>
      </c>
      <c r="F172" s="1">
        <v>24284</v>
      </c>
      <c r="G172" s="1">
        <v>21.219</v>
      </c>
      <c r="H172" s="1">
        <v>2038944</v>
      </c>
      <c r="I172" s="1">
        <v>412764</v>
      </c>
      <c r="J172" s="1" t="s">
        <v>128</v>
      </c>
      <c r="K172" s="1" t="s">
        <v>472</v>
      </c>
    </row>
    <row r="173" s="1" customFormat="1" spans="1:11">
      <c r="A173" s="1" t="s">
        <v>473</v>
      </c>
      <c r="B173" s="1">
        <v>4367.6696</v>
      </c>
      <c r="C173" s="1">
        <v>39.4735</v>
      </c>
      <c r="D173" s="1">
        <v>43.0965</v>
      </c>
      <c r="E173" s="1">
        <v>44.4112</v>
      </c>
      <c r="F173" s="1">
        <v>78681</v>
      </c>
      <c r="G173" s="1">
        <v>46.175</v>
      </c>
      <c r="H173" s="1">
        <v>2064196</v>
      </c>
      <c r="I173" s="1">
        <v>453144</v>
      </c>
      <c r="J173" s="1" t="s">
        <v>128</v>
      </c>
      <c r="K173" s="1" t="s">
        <v>474</v>
      </c>
    </row>
    <row r="174" s="1" customFormat="1" spans="1:11">
      <c r="A174" s="1" t="s">
        <v>475</v>
      </c>
      <c r="B174" s="1">
        <v>2040.6168</v>
      </c>
      <c r="C174" s="1">
        <v>36.3853</v>
      </c>
      <c r="D174" s="1">
        <v>40.6034</v>
      </c>
      <c r="E174" s="1">
        <v>41.6842</v>
      </c>
      <c r="F174" s="1">
        <v>56840</v>
      </c>
      <c r="G174" s="1">
        <v>39.793</v>
      </c>
      <c r="H174" s="1">
        <v>2059484</v>
      </c>
      <c r="I174" s="1">
        <v>432732</v>
      </c>
      <c r="J174" s="1" t="s">
        <v>128</v>
      </c>
      <c r="K174" s="1" t="s">
        <v>476</v>
      </c>
    </row>
    <row r="175" s="1" customFormat="1" spans="1:11">
      <c r="A175" s="1" t="s">
        <v>477</v>
      </c>
      <c r="B175" s="1">
        <v>997.3808</v>
      </c>
      <c r="C175" s="1">
        <v>33.3823</v>
      </c>
      <c r="D175" s="1">
        <v>38.4549</v>
      </c>
      <c r="E175" s="1">
        <v>39.2922</v>
      </c>
      <c r="F175" s="1">
        <v>42041</v>
      </c>
      <c r="G175" s="1">
        <v>33.838</v>
      </c>
      <c r="H175" s="1">
        <v>2054664</v>
      </c>
      <c r="I175" s="1">
        <v>428592</v>
      </c>
      <c r="J175" s="1" t="s">
        <v>128</v>
      </c>
      <c r="K175" s="1" t="s">
        <v>478</v>
      </c>
    </row>
    <row r="176" s="1" customFormat="1" spans="1:11">
      <c r="A176" s="1" t="s">
        <v>479</v>
      </c>
      <c r="B176" s="1">
        <v>483.7096</v>
      </c>
      <c r="C176" s="1">
        <v>30.5691</v>
      </c>
      <c r="D176" s="1">
        <v>36.6063</v>
      </c>
      <c r="E176" s="1">
        <v>37.2499</v>
      </c>
      <c r="F176" s="1">
        <v>29479</v>
      </c>
      <c r="G176" s="1">
        <v>28.349</v>
      </c>
      <c r="H176" s="1">
        <v>2048356</v>
      </c>
      <c r="I176" s="1">
        <v>423664</v>
      </c>
      <c r="J176" s="1" t="s">
        <v>128</v>
      </c>
      <c r="K176" s="1" t="s">
        <v>480</v>
      </c>
    </row>
    <row r="177" s="1" customFormat="1" spans="1:11">
      <c r="A177" s="1" t="s">
        <v>481</v>
      </c>
      <c r="B177" s="1">
        <v>3308.1488</v>
      </c>
      <c r="C177" s="1">
        <v>39.4571</v>
      </c>
      <c r="D177" s="1">
        <v>41.8455</v>
      </c>
      <c r="E177" s="1">
        <v>43.4905</v>
      </c>
      <c r="F177" s="1">
        <v>72891</v>
      </c>
      <c r="G177" s="1">
        <v>30.869</v>
      </c>
      <c r="H177" s="1">
        <v>2048140</v>
      </c>
      <c r="I177" s="1">
        <v>424428</v>
      </c>
      <c r="J177" s="1" t="s">
        <v>128</v>
      </c>
      <c r="K177" s="1" t="s">
        <v>482</v>
      </c>
    </row>
    <row r="178" s="1" customFormat="1" spans="1:11">
      <c r="A178" s="1" t="s">
        <v>483</v>
      </c>
      <c r="B178" s="1">
        <v>1361.7976</v>
      </c>
      <c r="C178" s="1">
        <v>36.6613</v>
      </c>
      <c r="D178" s="1">
        <v>39.5587</v>
      </c>
      <c r="E178" s="1">
        <v>41.3142</v>
      </c>
      <c r="F178" s="1">
        <v>50215</v>
      </c>
      <c r="G178" s="1">
        <v>25.433</v>
      </c>
      <c r="H178" s="1">
        <v>2043292</v>
      </c>
      <c r="I178" s="1">
        <v>417792</v>
      </c>
      <c r="J178" s="1" t="s">
        <v>128</v>
      </c>
      <c r="K178" s="1" t="s">
        <v>484</v>
      </c>
    </row>
    <row r="179" s="1" customFormat="1" spans="1:11">
      <c r="A179" s="1" t="s">
        <v>485</v>
      </c>
      <c r="B179" s="1">
        <v>636.6088</v>
      </c>
      <c r="C179" s="1">
        <v>33.9865</v>
      </c>
      <c r="D179" s="1">
        <v>37.5407</v>
      </c>
      <c r="E179" s="1">
        <v>39.6141</v>
      </c>
      <c r="F179" s="1">
        <v>35232</v>
      </c>
      <c r="G179" s="1">
        <v>20.182</v>
      </c>
      <c r="H179" s="1">
        <v>2041248</v>
      </c>
      <c r="I179" s="1">
        <v>415540</v>
      </c>
      <c r="J179" s="1" t="s">
        <v>128</v>
      </c>
      <c r="K179" s="1" t="s">
        <v>486</v>
      </c>
    </row>
    <row r="180" s="1" customFormat="1" spans="1:11">
      <c r="A180" s="1" t="s">
        <v>487</v>
      </c>
      <c r="B180" s="1">
        <v>307.4736</v>
      </c>
      <c r="C180" s="1">
        <v>31.2867</v>
      </c>
      <c r="D180" s="1">
        <v>35.9654</v>
      </c>
      <c r="E180" s="1">
        <v>37.9088</v>
      </c>
      <c r="F180" s="1">
        <v>22894</v>
      </c>
      <c r="G180" s="1">
        <v>16.458</v>
      </c>
      <c r="H180" s="1">
        <v>2037888</v>
      </c>
      <c r="I180" s="1">
        <v>414968</v>
      </c>
      <c r="J180" s="1" t="s">
        <v>128</v>
      </c>
      <c r="K180" s="1" t="s">
        <v>488</v>
      </c>
    </row>
    <row r="181" s="1" customFormat="1" spans="1:11">
      <c r="A181" s="1" t="s">
        <v>489</v>
      </c>
      <c r="B181" s="1">
        <v>1062.8808</v>
      </c>
      <c r="C181" s="1">
        <v>41.8751</v>
      </c>
      <c r="D181" s="1">
        <v>45.132</v>
      </c>
      <c r="E181" s="1">
        <v>44.0554</v>
      </c>
      <c r="F181" s="1">
        <v>29126</v>
      </c>
      <c r="G181" s="1">
        <v>14.338</v>
      </c>
      <c r="H181" s="1">
        <v>1335304</v>
      </c>
      <c r="I181" s="1">
        <v>337360</v>
      </c>
      <c r="J181" s="1" t="s">
        <v>128</v>
      </c>
      <c r="K181" s="1" t="s">
        <v>490</v>
      </c>
    </row>
    <row r="182" s="1" customFormat="1" spans="1:11">
      <c r="A182" s="1" t="s">
        <v>491</v>
      </c>
      <c r="B182" s="1">
        <v>508.0784</v>
      </c>
      <c r="C182" s="1">
        <v>37.9875</v>
      </c>
      <c r="D182" s="1">
        <v>42.4418</v>
      </c>
      <c r="E182" s="1">
        <v>40.8654</v>
      </c>
      <c r="F182" s="1">
        <v>22729</v>
      </c>
      <c r="G182" s="1">
        <v>12.236</v>
      </c>
      <c r="H182" s="1">
        <v>1334132</v>
      </c>
      <c r="I182" s="1">
        <v>336376</v>
      </c>
      <c r="J182" s="1" t="s">
        <v>128</v>
      </c>
      <c r="K182" s="1" t="s">
        <v>492</v>
      </c>
    </row>
    <row r="183" s="1" customFormat="1" spans="1:11">
      <c r="A183" s="1" t="s">
        <v>493</v>
      </c>
      <c r="B183" s="1">
        <v>253.1016</v>
      </c>
      <c r="C183" s="1">
        <v>34.6856</v>
      </c>
      <c r="D183" s="1">
        <v>40.2215</v>
      </c>
      <c r="E183" s="1">
        <v>38.5513</v>
      </c>
      <c r="F183" s="1">
        <v>17051</v>
      </c>
      <c r="G183" s="1">
        <v>10.012</v>
      </c>
      <c r="H183" s="1">
        <v>1332900</v>
      </c>
      <c r="I183" s="1">
        <v>335180</v>
      </c>
      <c r="J183" s="1" t="s">
        <v>128</v>
      </c>
      <c r="K183" s="1" t="s">
        <v>494</v>
      </c>
    </row>
    <row r="184" s="1" customFormat="1" spans="1:11">
      <c r="A184" s="1" t="s">
        <v>495</v>
      </c>
      <c r="B184" s="1">
        <v>129.4048</v>
      </c>
      <c r="C184" s="1">
        <v>31.8004</v>
      </c>
      <c r="D184" s="1">
        <v>38.2699</v>
      </c>
      <c r="E184" s="1">
        <v>36.3386</v>
      </c>
      <c r="F184" s="1">
        <v>11909</v>
      </c>
      <c r="G184" s="1">
        <v>8.491</v>
      </c>
      <c r="H184" s="1">
        <v>1332308</v>
      </c>
      <c r="I184" s="1">
        <v>333924</v>
      </c>
      <c r="J184" s="1" t="s">
        <v>128</v>
      </c>
      <c r="K184" s="1" t="s">
        <v>496</v>
      </c>
    </row>
    <row r="185" s="1" customFormat="1" spans="1:11">
      <c r="A185" s="1" t="s">
        <v>497</v>
      </c>
      <c r="B185" s="1">
        <v>977.2328</v>
      </c>
      <c r="C185" s="1">
        <v>39.2461</v>
      </c>
      <c r="D185" s="1">
        <v>45.3587</v>
      </c>
      <c r="E185" s="1">
        <v>46.8792</v>
      </c>
      <c r="F185" s="1">
        <v>27054</v>
      </c>
      <c r="G185" s="1">
        <v>15.706</v>
      </c>
      <c r="H185" s="1">
        <v>1335376</v>
      </c>
      <c r="I185" s="1">
        <v>338464</v>
      </c>
      <c r="J185" s="1" t="s">
        <v>128</v>
      </c>
      <c r="K185" s="1" t="s">
        <v>498</v>
      </c>
    </row>
    <row r="186" s="1" customFormat="1" spans="1:11">
      <c r="A186" s="1" t="s">
        <v>499</v>
      </c>
      <c r="B186" s="1">
        <v>389.1392</v>
      </c>
      <c r="C186" s="1">
        <v>36.4403</v>
      </c>
      <c r="D186" s="1">
        <v>43.4896</v>
      </c>
      <c r="E186" s="1">
        <v>44.8318</v>
      </c>
      <c r="F186" s="1">
        <v>13863</v>
      </c>
      <c r="G186" s="1">
        <v>12.905</v>
      </c>
      <c r="H186" s="1">
        <v>1334440</v>
      </c>
      <c r="I186" s="1">
        <v>336852</v>
      </c>
      <c r="J186" s="1" t="s">
        <v>128</v>
      </c>
      <c r="K186" s="1" t="s">
        <v>500</v>
      </c>
    </row>
    <row r="187" s="1" customFormat="1" spans="1:11">
      <c r="A187" s="1" t="s">
        <v>501</v>
      </c>
      <c r="B187" s="1">
        <v>188.0048</v>
      </c>
      <c r="C187" s="1">
        <v>33.8278</v>
      </c>
      <c r="D187" s="1">
        <v>41.3363</v>
      </c>
      <c r="E187" s="1">
        <v>42.6101</v>
      </c>
      <c r="F187" s="1">
        <v>8282</v>
      </c>
      <c r="G187" s="1">
        <v>11.418</v>
      </c>
      <c r="H187" s="1">
        <v>1332960</v>
      </c>
      <c r="I187" s="1">
        <v>336464</v>
      </c>
      <c r="J187" s="1" t="s">
        <v>128</v>
      </c>
      <c r="K187" s="1" t="s">
        <v>502</v>
      </c>
    </row>
    <row r="188" s="1" customFormat="1" spans="1:11">
      <c r="A188" s="1" t="s">
        <v>503</v>
      </c>
      <c r="B188" s="1">
        <v>101.7992</v>
      </c>
      <c r="C188" s="1">
        <v>31.3658</v>
      </c>
      <c r="D188" s="1">
        <v>39.2371</v>
      </c>
      <c r="E188" s="1">
        <v>40.3563</v>
      </c>
      <c r="F188" s="1">
        <v>5926</v>
      </c>
      <c r="G188" s="1">
        <v>10.319</v>
      </c>
      <c r="H188" s="1">
        <v>1331504</v>
      </c>
      <c r="I188" s="1">
        <v>334448</v>
      </c>
      <c r="J188" s="1" t="s">
        <v>128</v>
      </c>
      <c r="K188" s="1" t="s">
        <v>504</v>
      </c>
    </row>
    <row r="189" s="1" customFormat="1" spans="1:11">
      <c r="A189" s="1" t="s">
        <v>505</v>
      </c>
      <c r="B189" s="1">
        <v>1085.3032</v>
      </c>
      <c r="C189" s="1">
        <v>39.1634</v>
      </c>
      <c r="D189" s="1">
        <v>42.7247</v>
      </c>
      <c r="E189" s="1">
        <v>44.1563</v>
      </c>
      <c r="F189" s="1">
        <v>24193</v>
      </c>
      <c r="G189" s="1">
        <v>14.231</v>
      </c>
      <c r="H189" s="1">
        <v>1337276</v>
      </c>
      <c r="I189" s="1">
        <v>338800</v>
      </c>
      <c r="J189" s="1" t="s">
        <v>128</v>
      </c>
      <c r="K189" s="1" t="s">
        <v>506</v>
      </c>
    </row>
    <row r="190" s="1" customFormat="1" spans="1:11">
      <c r="A190" s="1" t="s">
        <v>507</v>
      </c>
      <c r="B190" s="1">
        <v>512.9536</v>
      </c>
      <c r="C190" s="1">
        <v>36.2072</v>
      </c>
      <c r="D190" s="1">
        <v>40.2755</v>
      </c>
      <c r="E190" s="1">
        <v>41.4281</v>
      </c>
      <c r="F190" s="1">
        <v>17972</v>
      </c>
      <c r="G190" s="1">
        <v>12.439</v>
      </c>
      <c r="H190" s="1">
        <v>1336464</v>
      </c>
      <c r="I190" s="1">
        <v>337996</v>
      </c>
      <c r="J190" s="1" t="s">
        <v>128</v>
      </c>
      <c r="K190" s="1" t="s">
        <v>508</v>
      </c>
    </row>
    <row r="191" s="1" customFormat="1" spans="1:11">
      <c r="A191" s="1" t="s">
        <v>509</v>
      </c>
      <c r="B191" s="1">
        <v>250.3832</v>
      </c>
      <c r="C191" s="1">
        <v>33.3137</v>
      </c>
      <c r="D191" s="1">
        <v>37.9198</v>
      </c>
      <c r="E191" s="1">
        <v>38.7658</v>
      </c>
      <c r="F191" s="1">
        <v>13418</v>
      </c>
      <c r="G191" s="1">
        <v>9.955</v>
      </c>
      <c r="H191" s="1">
        <v>1334740</v>
      </c>
      <c r="I191" s="1">
        <v>336760</v>
      </c>
      <c r="J191" s="1" t="s">
        <v>128</v>
      </c>
      <c r="K191" s="1" t="s">
        <v>510</v>
      </c>
    </row>
    <row r="192" s="1" customFormat="1" spans="1:11">
      <c r="A192" s="1" t="s">
        <v>511</v>
      </c>
      <c r="B192" s="1">
        <v>122.324</v>
      </c>
      <c r="C192" s="1">
        <v>30.557</v>
      </c>
      <c r="D192" s="1">
        <v>35.937</v>
      </c>
      <c r="E192" s="1">
        <v>36.6135</v>
      </c>
      <c r="F192" s="1">
        <v>9280</v>
      </c>
      <c r="G192" s="1">
        <v>8.278</v>
      </c>
      <c r="H192" s="1">
        <v>1333284</v>
      </c>
      <c r="I192" s="1">
        <v>335612</v>
      </c>
      <c r="J192" s="1" t="s">
        <v>128</v>
      </c>
      <c r="K192" s="1" t="s">
        <v>512</v>
      </c>
    </row>
    <row r="193" s="1" customFormat="1" spans="1:11">
      <c r="A193" s="1" t="s">
        <v>513</v>
      </c>
      <c r="B193" s="1">
        <v>806.9912</v>
      </c>
      <c r="C193" s="1">
        <v>40.2281</v>
      </c>
      <c r="D193" s="1">
        <v>42.1574</v>
      </c>
      <c r="E193" s="1">
        <v>43.3657</v>
      </c>
      <c r="F193" s="1">
        <v>22260</v>
      </c>
      <c r="G193" s="1">
        <v>10.497</v>
      </c>
      <c r="H193" s="1">
        <v>1334136</v>
      </c>
      <c r="I193" s="1">
        <v>336460</v>
      </c>
      <c r="J193" s="1" t="s">
        <v>128</v>
      </c>
      <c r="K193" s="1" t="s">
        <v>514</v>
      </c>
    </row>
    <row r="194" s="1" customFormat="1" spans="1:11">
      <c r="A194" s="1" t="s">
        <v>515</v>
      </c>
      <c r="B194" s="1">
        <v>402.1064</v>
      </c>
      <c r="C194" s="1">
        <v>36.6851</v>
      </c>
      <c r="D194" s="1">
        <v>39.3189</v>
      </c>
      <c r="E194" s="1">
        <v>40.6358</v>
      </c>
      <c r="F194" s="1">
        <v>16975</v>
      </c>
      <c r="G194" s="1">
        <v>9.012</v>
      </c>
      <c r="H194" s="1">
        <v>1333460</v>
      </c>
      <c r="I194" s="1">
        <v>336460</v>
      </c>
      <c r="J194" s="1" t="s">
        <v>128</v>
      </c>
      <c r="K194" s="1" t="s">
        <v>516</v>
      </c>
    </row>
    <row r="195" s="1" customFormat="1" spans="1:11">
      <c r="A195" s="1" t="s">
        <v>517</v>
      </c>
      <c r="B195" s="1">
        <v>196.8168</v>
      </c>
      <c r="C195" s="1">
        <v>33.2942</v>
      </c>
      <c r="D195" s="1">
        <v>37.1185</v>
      </c>
      <c r="E195" s="1">
        <v>38.4918</v>
      </c>
      <c r="F195" s="1">
        <v>12097</v>
      </c>
      <c r="G195" s="1">
        <v>7.264</v>
      </c>
      <c r="H195" s="1">
        <v>1332840</v>
      </c>
      <c r="I195" s="1">
        <v>334868</v>
      </c>
      <c r="J195" s="1" t="s">
        <v>128</v>
      </c>
      <c r="K195" s="1" t="s">
        <v>518</v>
      </c>
    </row>
    <row r="196" s="1" customFormat="1" spans="1:11">
      <c r="A196" s="1" t="s">
        <v>519</v>
      </c>
      <c r="B196" s="1">
        <v>96.6232</v>
      </c>
      <c r="C196" s="1">
        <v>30.4066</v>
      </c>
      <c r="D196" s="1">
        <v>35.386</v>
      </c>
      <c r="E196" s="1">
        <v>36.5292</v>
      </c>
      <c r="F196" s="1">
        <v>8173</v>
      </c>
      <c r="G196" s="1">
        <v>6.225</v>
      </c>
      <c r="H196" s="1">
        <v>1331572</v>
      </c>
      <c r="I196" s="1">
        <v>333928</v>
      </c>
      <c r="J196" s="1" t="s">
        <v>128</v>
      </c>
      <c r="K196" s="1" t="s">
        <v>520</v>
      </c>
    </row>
    <row r="197" s="1" customFormat="1" spans="1:1">
      <c r="A197" s="1" t="s">
        <v>521</v>
      </c>
    </row>
    <row r="198" s="1" customFormat="1" spans="1:1">
      <c r="A198" s="1" t="s">
        <v>522</v>
      </c>
    </row>
    <row r="199" s="1" customFormat="1" spans="1:1">
      <c r="A199" s="1" t="s">
        <v>523</v>
      </c>
    </row>
    <row r="200" s="1" customFormat="1" spans="1:1">
      <c r="A200" s="1" t="s">
        <v>524</v>
      </c>
    </row>
    <row r="201" s="1" customFormat="1" spans="1:1">
      <c r="A201" s="1" t="s">
        <v>525</v>
      </c>
    </row>
    <row r="202" s="1" customFormat="1" spans="1:1">
      <c r="A202" s="1" t="s">
        <v>526</v>
      </c>
    </row>
    <row r="203" s="1" customFormat="1" spans="1:1">
      <c r="A203" s="1" t="s">
        <v>527</v>
      </c>
    </row>
    <row r="204" s="1" customFormat="1" spans="1:1">
      <c r="A204" s="1" t="s">
        <v>528</v>
      </c>
    </row>
    <row r="205" s="1" customFormat="1" spans="1:1">
      <c r="A205" s="1" t="s">
        <v>529</v>
      </c>
    </row>
    <row r="206" s="1" customFormat="1" spans="1:1">
      <c r="A206" s="1" t="s">
        <v>530</v>
      </c>
    </row>
    <row r="207" s="1" customFormat="1" spans="1:1">
      <c r="A207" s="1" t="s">
        <v>531</v>
      </c>
    </row>
    <row r="208" s="1" customFormat="1" spans="1:1">
      <c r="A208" s="1" t="s">
        <v>532</v>
      </c>
    </row>
    <row r="209" s="1" customFormat="1" spans="1:11">
      <c r="A209" s="1" t="s">
        <v>533</v>
      </c>
      <c r="B209" s="1">
        <v>2399.8856</v>
      </c>
      <c r="C209" s="1">
        <v>42.3828</v>
      </c>
      <c r="D209" s="1">
        <v>44.5533</v>
      </c>
      <c r="E209" s="1">
        <v>45.4705</v>
      </c>
      <c r="F209" s="1">
        <v>46971</v>
      </c>
      <c r="G209" s="1">
        <v>33.642</v>
      </c>
      <c r="H209" s="1">
        <v>2317452</v>
      </c>
      <c r="I209" s="1">
        <v>431868</v>
      </c>
      <c r="J209" s="1" t="s">
        <v>128</v>
      </c>
      <c r="K209" s="1" t="s">
        <v>534</v>
      </c>
    </row>
    <row r="210" s="1" customFormat="1" spans="1:11">
      <c r="A210" s="1" t="s">
        <v>535</v>
      </c>
      <c r="B210" s="1">
        <v>1134.452</v>
      </c>
      <c r="C210" s="1">
        <v>39.3626</v>
      </c>
      <c r="D210" s="1">
        <v>42.1228</v>
      </c>
      <c r="E210" s="1">
        <v>42.5477</v>
      </c>
      <c r="F210" s="1">
        <v>33939</v>
      </c>
      <c r="G210" s="1">
        <v>28.269</v>
      </c>
      <c r="H210" s="1">
        <v>2309628</v>
      </c>
      <c r="I210" s="1">
        <v>424288</v>
      </c>
      <c r="J210" s="1" t="s">
        <v>128</v>
      </c>
      <c r="K210" s="1" t="s">
        <v>536</v>
      </c>
    </row>
    <row r="211" s="1" customFormat="1" spans="1:11">
      <c r="A211" s="1" t="s">
        <v>537</v>
      </c>
      <c r="B211" s="1">
        <v>578.7024</v>
      </c>
      <c r="C211" s="1">
        <v>36.3886</v>
      </c>
      <c r="D211" s="1">
        <v>40.0817</v>
      </c>
      <c r="E211" s="1">
        <v>40.3316</v>
      </c>
      <c r="F211" s="1">
        <v>25357</v>
      </c>
      <c r="G211" s="1">
        <v>22.916</v>
      </c>
      <c r="H211" s="1">
        <v>2303368</v>
      </c>
      <c r="I211" s="1">
        <v>418976</v>
      </c>
      <c r="J211" s="1" t="s">
        <v>128</v>
      </c>
      <c r="K211" s="1" t="s">
        <v>538</v>
      </c>
    </row>
    <row r="212" s="1" customFormat="1" spans="1:11">
      <c r="A212" s="1" t="s">
        <v>539</v>
      </c>
      <c r="B212" s="1">
        <v>301.716</v>
      </c>
      <c r="C212" s="1">
        <v>33.6121</v>
      </c>
      <c r="D212" s="1">
        <v>38.0885</v>
      </c>
      <c r="E212" s="1">
        <v>38.1029</v>
      </c>
      <c r="F212" s="1">
        <v>18455</v>
      </c>
      <c r="G212" s="1">
        <v>20.259</v>
      </c>
      <c r="H212" s="1">
        <v>2299100</v>
      </c>
      <c r="I212" s="1">
        <v>418072</v>
      </c>
      <c r="J212" s="1" t="s">
        <v>128</v>
      </c>
      <c r="K212" s="1" t="s">
        <v>540</v>
      </c>
    </row>
    <row r="213" s="1" customFormat="1" spans="1:11">
      <c r="A213" s="1" t="s">
        <v>541</v>
      </c>
      <c r="B213" s="1">
        <v>11019.704</v>
      </c>
      <c r="C213" s="1">
        <v>44.2305</v>
      </c>
      <c r="D213" s="1">
        <v>46.1434</v>
      </c>
      <c r="E213" s="1">
        <v>46.5154</v>
      </c>
      <c r="F213" s="1">
        <v>206827</v>
      </c>
      <c r="G213" s="1">
        <v>182.823</v>
      </c>
      <c r="H213" s="1">
        <v>6112528</v>
      </c>
      <c r="I213" s="1">
        <v>992804</v>
      </c>
      <c r="J213" s="1" t="s">
        <v>128</v>
      </c>
      <c r="K213" s="1" t="s">
        <v>542</v>
      </c>
    </row>
    <row r="214" s="1" customFormat="1" spans="1:11">
      <c r="A214" s="1" t="s">
        <v>543</v>
      </c>
      <c r="B214" s="1">
        <v>4768.7272</v>
      </c>
      <c r="C214" s="1">
        <v>40.9474</v>
      </c>
      <c r="D214" s="1">
        <v>43.2637</v>
      </c>
      <c r="E214" s="1">
        <v>43.5358</v>
      </c>
      <c r="F214" s="1">
        <v>144800</v>
      </c>
      <c r="G214" s="1">
        <v>147.424</v>
      </c>
      <c r="H214" s="1">
        <v>6083460</v>
      </c>
      <c r="I214" s="1">
        <v>945660</v>
      </c>
      <c r="J214" s="1" t="s">
        <v>128</v>
      </c>
      <c r="K214" s="1" t="s">
        <v>544</v>
      </c>
    </row>
    <row r="215" s="1" customFormat="1" spans="1:11">
      <c r="A215" s="1" t="s">
        <v>545</v>
      </c>
      <c r="B215" s="1">
        <v>2250.6648</v>
      </c>
      <c r="C215" s="1">
        <v>38.0905</v>
      </c>
      <c r="D215" s="1">
        <v>40.9302</v>
      </c>
      <c r="E215" s="1">
        <v>41.1033</v>
      </c>
      <c r="F215" s="1">
        <v>102271</v>
      </c>
      <c r="G215" s="1">
        <v>110.047</v>
      </c>
      <c r="H215" s="1">
        <v>6055656</v>
      </c>
      <c r="I215" s="1">
        <v>889528</v>
      </c>
      <c r="J215" s="1" t="s">
        <v>128</v>
      </c>
      <c r="K215" s="1" t="s">
        <v>546</v>
      </c>
    </row>
    <row r="216" s="1" customFormat="1" spans="1:11">
      <c r="A216" s="1" t="s">
        <v>547</v>
      </c>
      <c r="B216" s="1">
        <v>1122.188</v>
      </c>
      <c r="C216" s="1">
        <v>35.4215</v>
      </c>
      <c r="D216" s="1">
        <v>38.9305</v>
      </c>
      <c r="E216" s="1">
        <v>38.9693</v>
      </c>
      <c r="F216" s="1">
        <v>74163</v>
      </c>
      <c r="G216" s="1">
        <v>88.257</v>
      </c>
      <c r="H216" s="1">
        <v>6037212</v>
      </c>
      <c r="I216" s="1">
        <v>840048</v>
      </c>
      <c r="J216" s="1" t="s">
        <v>128</v>
      </c>
      <c r="K216" s="1" t="s">
        <v>548</v>
      </c>
    </row>
    <row r="217" s="1" customFormat="1" spans="1:11">
      <c r="A217" s="1" t="s">
        <v>549</v>
      </c>
      <c r="B217" s="1">
        <v>582.9624</v>
      </c>
      <c r="C217" s="1">
        <v>52.9976</v>
      </c>
      <c r="D217" s="1">
        <v>51.8368</v>
      </c>
      <c r="E217" s="1">
        <v>51.899</v>
      </c>
      <c r="F217" s="1">
        <v>10206</v>
      </c>
      <c r="G217" s="1">
        <v>5.535</v>
      </c>
      <c r="H217" s="1">
        <v>4186568</v>
      </c>
      <c r="I217" s="1">
        <v>537284</v>
      </c>
      <c r="J217" s="1" t="s">
        <v>128</v>
      </c>
      <c r="K217" s="1" t="s">
        <v>550</v>
      </c>
    </row>
    <row r="218" s="1" customFormat="1" spans="1:11">
      <c r="A218" s="1" t="s">
        <v>551</v>
      </c>
      <c r="B218" s="1">
        <v>416.0536</v>
      </c>
      <c r="C218" s="1">
        <v>49.5038</v>
      </c>
      <c r="D218" s="1">
        <v>48.4086</v>
      </c>
      <c r="E218" s="1">
        <v>48.4906</v>
      </c>
      <c r="F218" s="1">
        <v>9266</v>
      </c>
      <c r="G218" s="1">
        <v>5.073</v>
      </c>
      <c r="H218" s="1">
        <v>4181132</v>
      </c>
      <c r="I218" s="1">
        <v>529848</v>
      </c>
      <c r="J218" s="1" t="s">
        <v>128</v>
      </c>
      <c r="K218" s="1" t="s">
        <v>552</v>
      </c>
    </row>
    <row r="219" s="1" customFormat="1" spans="1:11">
      <c r="A219" s="1" t="s">
        <v>553</v>
      </c>
      <c r="B219" s="1">
        <v>324.9336</v>
      </c>
      <c r="C219" s="1">
        <v>45.4559</v>
      </c>
      <c r="D219" s="1">
        <v>45.9468</v>
      </c>
      <c r="E219" s="1">
        <v>46.0302</v>
      </c>
      <c r="F219" s="1">
        <v>8620</v>
      </c>
      <c r="G219" s="1">
        <v>5.087</v>
      </c>
      <c r="H219" s="1">
        <v>4176048</v>
      </c>
      <c r="I219" s="1">
        <v>530604</v>
      </c>
      <c r="J219" s="1" t="s">
        <v>128</v>
      </c>
      <c r="K219" s="1" t="s">
        <v>554</v>
      </c>
    </row>
    <row r="220" s="1" customFormat="1" spans="1:11">
      <c r="A220" s="1" t="s">
        <v>555</v>
      </c>
      <c r="B220" s="1">
        <v>258.6272</v>
      </c>
      <c r="C220" s="1">
        <v>41.5225</v>
      </c>
      <c r="D220" s="1">
        <v>42.7334</v>
      </c>
      <c r="E220" s="1">
        <v>43.31</v>
      </c>
      <c r="F220" s="1">
        <v>8115</v>
      </c>
      <c r="G220" s="1">
        <v>4.853</v>
      </c>
      <c r="H220" s="1">
        <v>4176680</v>
      </c>
      <c r="I220" s="1">
        <v>532980</v>
      </c>
      <c r="J220" s="1" t="s">
        <v>128</v>
      </c>
      <c r="K220" s="1" t="s">
        <v>556</v>
      </c>
    </row>
    <row r="221" s="1" customFormat="1" spans="1:11">
      <c r="A221" s="1" t="s">
        <v>557</v>
      </c>
      <c r="B221" s="1">
        <v>383.7837</v>
      </c>
      <c r="C221" s="1">
        <v>52.7809</v>
      </c>
      <c r="D221" s="1">
        <v>56.4797</v>
      </c>
      <c r="E221" s="1">
        <v>57.7296</v>
      </c>
      <c r="F221" s="1">
        <v>23375</v>
      </c>
      <c r="G221" s="1">
        <v>20.021</v>
      </c>
      <c r="H221" s="1">
        <v>4117780</v>
      </c>
      <c r="I221" s="1">
        <v>534704</v>
      </c>
      <c r="J221" s="1" t="s">
        <v>128</v>
      </c>
      <c r="K221" s="1" t="s">
        <v>558</v>
      </c>
    </row>
    <row r="222" s="1" customFormat="1" spans="1:11">
      <c r="A222" s="1" t="s">
        <v>559</v>
      </c>
      <c r="B222" s="1">
        <v>204.1888</v>
      </c>
      <c r="C222" s="1">
        <v>49.0643</v>
      </c>
      <c r="D222" s="1">
        <v>53.2711</v>
      </c>
      <c r="E222" s="1">
        <v>54.8092</v>
      </c>
      <c r="F222" s="1">
        <v>20542</v>
      </c>
      <c r="G222" s="1">
        <v>18.608</v>
      </c>
      <c r="H222" s="1">
        <v>4116020</v>
      </c>
      <c r="I222" s="1">
        <v>535768</v>
      </c>
      <c r="J222" s="1" t="s">
        <v>128</v>
      </c>
      <c r="K222" s="1" t="s">
        <v>560</v>
      </c>
    </row>
    <row r="223" s="1" customFormat="1" spans="1:11">
      <c r="A223" s="1" t="s">
        <v>561</v>
      </c>
      <c r="B223" s="1">
        <v>117.7072</v>
      </c>
      <c r="C223" s="1">
        <v>45.6294</v>
      </c>
      <c r="D223" s="1">
        <v>50.6615</v>
      </c>
      <c r="E223" s="1">
        <v>52.4349</v>
      </c>
      <c r="F223" s="1">
        <v>17297</v>
      </c>
      <c r="G223" s="1">
        <v>17.796</v>
      </c>
      <c r="H223" s="1">
        <v>4112232</v>
      </c>
      <c r="I223" s="1">
        <v>522556</v>
      </c>
      <c r="J223" s="1" t="s">
        <v>128</v>
      </c>
      <c r="K223" s="1" t="s">
        <v>562</v>
      </c>
    </row>
    <row r="224" s="1" customFormat="1" spans="1:11">
      <c r="A224" s="1" t="s">
        <v>563</v>
      </c>
      <c r="B224" s="1">
        <v>73.9997</v>
      </c>
      <c r="C224" s="1">
        <v>42.3361</v>
      </c>
      <c r="D224" s="1">
        <v>48.2853</v>
      </c>
      <c r="E224" s="1">
        <v>50.2632</v>
      </c>
      <c r="F224" s="1">
        <v>14204</v>
      </c>
      <c r="G224" s="1">
        <v>16.939</v>
      </c>
      <c r="H224" s="1">
        <v>4109236</v>
      </c>
      <c r="I224" s="1">
        <v>520172</v>
      </c>
      <c r="J224" s="1" t="s">
        <v>128</v>
      </c>
      <c r="K224" s="1" t="s">
        <v>564</v>
      </c>
    </row>
    <row r="225" s="1" customFormat="1" spans="1:11">
      <c r="A225" s="1" t="s">
        <v>565</v>
      </c>
      <c r="B225" s="1">
        <v>17899.4368</v>
      </c>
      <c r="C225" s="1">
        <v>46.0851</v>
      </c>
      <c r="D225" s="1">
        <v>45.1855</v>
      </c>
      <c r="E225" s="1">
        <v>45.3497</v>
      </c>
      <c r="F225" s="1">
        <v>140544</v>
      </c>
      <c r="G225" s="1">
        <v>86.067</v>
      </c>
      <c r="H225" s="1">
        <v>7609368</v>
      </c>
      <c r="I225" s="1">
        <v>894816</v>
      </c>
      <c r="J225" s="1" t="s">
        <v>128</v>
      </c>
      <c r="K225" s="1" t="s">
        <v>566</v>
      </c>
    </row>
    <row r="226" s="1" customFormat="1" spans="1:11">
      <c r="A226" s="1" t="s">
        <v>567</v>
      </c>
      <c r="B226" s="1">
        <v>9682.1184</v>
      </c>
      <c r="C226" s="1">
        <v>41.0911</v>
      </c>
      <c r="D226" s="1">
        <v>41.5059</v>
      </c>
      <c r="E226" s="1">
        <v>41.8386</v>
      </c>
      <c r="F226" s="1">
        <v>120789</v>
      </c>
      <c r="G226" s="1">
        <v>94.193</v>
      </c>
      <c r="H226" s="1">
        <v>7605992</v>
      </c>
      <c r="I226" s="1">
        <v>871656</v>
      </c>
      <c r="J226" s="1" t="s">
        <v>128</v>
      </c>
      <c r="K226" s="1" t="s">
        <v>568</v>
      </c>
    </row>
    <row r="227" s="1" customFormat="1" spans="1:11">
      <c r="A227" s="1" t="s">
        <v>569</v>
      </c>
      <c r="B227" s="1">
        <v>5871.544</v>
      </c>
      <c r="C227" s="1">
        <v>37.1225</v>
      </c>
      <c r="D227" s="1">
        <v>39.0548</v>
      </c>
      <c r="E227" s="1">
        <v>39.5516</v>
      </c>
      <c r="F227" s="1">
        <v>100824</v>
      </c>
      <c r="G227" s="1">
        <v>94.729</v>
      </c>
      <c r="H227" s="1">
        <v>7595380</v>
      </c>
      <c r="I227" s="1">
        <v>860836</v>
      </c>
      <c r="J227" s="1" t="s">
        <v>128</v>
      </c>
      <c r="K227" s="1" t="s">
        <v>570</v>
      </c>
    </row>
    <row r="228" s="1" customFormat="1" spans="1:11">
      <c r="A228" s="1" t="s">
        <v>571</v>
      </c>
      <c r="B228" s="1">
        <v>3401.4976</v>
      </c>
      <c r="C228" s="1">
        <v>33.2712</v>
      </c>
      <c r="D228" s="1">
        <v>36.1048</v>
      </c>
      <c r="E228" s="1">
        <v>36.7521</v>
      </c>
      <c r="F228" s="1">
        <v>77070</v>
      </c>
      <c r="G228" s="1">
        <v>92.913</v>
      </c>
      <c r="H228" s="1">
        <v>7591476</v>
      </c>
      <c r="I228" s="1">
        <v>834052</v>
      </c>
      <c r="J228" s="1" t="s">
        <v>128</v>
      </c>
      <c r="K228" s="1" t="s">
        <v>572</v>
      </c>
    </row>
    <row r="229" s="1" customFormat="1" spans="1:11">
      <c r="A229" s="1" t="s">
        <v>573</v>
      </c>
      <c r="B229" s="1">
        <v>1244.388</v>
      </c>
      <c r="C229" s="1">
        <v>57.4059</v>
      </c>
      <c r="D229" s="1">
        <v>52.0259</v>
      </c>
      <c r="E229" s="1">
        <v>52.0712</v>
      </c>
      <c r="F229" s="1">
        <v>60012</v>
      </c>
      <c r="G229" s="1">
        <v>68.579</v>
      </c>
      <c r="H229" s="1">
        <v>7530300</v>
      </c>
      <c r="I229" s="1">
        <v>863292</v>
      </c>
      <c r="J229" s="1" t="s">
        <v>128</v>
      </c>
      <c r="K229" s="1" t="s">
        <v>574</v>
      </c>
    </row>
    <row r="230" s="1" customFormat="1" spans="1:11">
      <c r="A230" s="1" t="s">
        <v>575</v>
      </c>
      <c r="B230" s="1">
        <v>944.1776</v>
      </c>
      <c r="C230" s="1">
        <v>52.1036</v>
      </c>
      <c r="D230" s="1">
        <v>48.4505</v>
      </c>
      <c r="E230" s="1">
        <v>48.4035</v>
      </c>
      <c r="F230" s="1">
        <v>61164</v>
      </c>
      <c r="G230" s="1">
        <v>45.983</v>
      </c>
      <c r="H230" s="1">
        <v>7515964</v>
      </c>
      <c r="I230" s="1">
        <v>840340</v>
      </c>
      <c r="J230" s="1" t="s">
        <v>128</v>
      </c>
      <c r="K230" s="1" t="s">
        <v>576</v>
      </c>
    </row>
    <row r="231" s="1" customFormat="1" spans="1:11">
      <c r="A231" s="1" t="s">
        <v>577</v>
      </c>
      <c r="B231" s="1">
        <v>801.9912</v>
      </c>
      <c r="C231" s="1">
        <v>47.5319</v>
      </c>
      <c r="D231" s="1">
        <v>45.6484</v>
      </c>
      <c r="E231" s="1">
        <v>45.483</v>
      </c>
      <c r="F231" s="1">
        <v>57011</v>
      </c>
      <c r="G231" s="1">
        <v>53.978</v>
      </c>
      <c r="H231" s="1">
        <v>7514824</v>
      </c>
      <c r="I231" s="1">
        <v>829004</v>
      </c>
      <c r="J231" s="1" t="s">
        <v>128</v>
      </c>
      <c r="K231" s="1" t="s">
        <v>578</v>
      </c>
    </row>
    <row r="232" s="1" customFormat="1" spans="1:11">
      <c r="A232" s="1" t="s">
        <v>579</v>
      </c>
      <c r="B232" s="1">
        <v>690.4584</v>
      </c>
      <c r="C232" s="1">
        <v>42.1046</v>
      </c>
      <c r="D232" s="1">
        <v>42.3912</v>
      </c>
      <c r="E232" s="1">
        <v>42.2494</v>
      </c>
      <c r="F232" s="1">
        <v>53582</v>
      </c>
      <c r="G232" s="1">
        <v>58.096</v>
      </c>
      <c r="H232" s="1">
        <v>7509292</v>
      </c>
      <c r="I232" s="1">
        <v>795484</v>
      </c>
      <c r="J232" s="1" t="s">
        <v>128</v>
      </c>
      <c r="K232" s="1" t="s">
        <v>580</v>
      </c>
    </row>
    <row r="233" s="1" customFormat="1" spans="1:11">
      <c r="A233" s="1" t="s">
        <v>581</v>
      </c>
      <c r="B233" s="1">
        <v>3018.2384</v>
      </c>
      <c r="C233" s="1">
        <v>55.5621</v>
      </c>
      <c r="D233" s="1">
        <v>53.3517</v>
      </c>
      <c r="E233" s="1">
        <v>52.0916</v>
      </c>
      <c r="F233" s="1">
        <v>103335</v>
      </c>
      <c r="G233" s="1">
        <v>91.683</v>
      </c>
      <c r="H233" s="1">
        <v>7428632</v>
      </c>
      <c r="I233" s="1">
        <v>874620</v>
      </c>
      <c r="J233" s="1" t="s">
        <v>128</v>
      </c>
      <c r="K233" s="1" t="s">
        <v>582</v>
      </c>
    </row>
    <row r="234" s="1" customFormat="1" spans="1:11">
      <c r="A234" s="1" t="s">
        <v>583</v>
      </c>
      <c r="B234" s="1">
        <v>2204.4672</v>
      </c>
      <c r="C234" s="1">
        <v>50.8208</v>
      </c>
      <c r="D234" s="1">
        <v>48.7018</v>
      </c>
      <c r="E234" s="1">
        <v>46.7767</v>
      </c>
      <c r="F234" s="1">
        <v>95255</v>
      </c>
      <c r="G234" s="1">
        <v>89.621</v>
      </c>
      <c r="H234" s="1">
        <v>7427256</v>
      </c>
      <c r="I234" s="1">
        <v>888340</v>
      </c>
      <c r="J234" s="1" t="s">
        <v>128</v>
      </c>
      <c r="K234" s="1" t="s">
        <v>584</v>
      </c>
    </row>
    <row r="235" s="1" customFormat="1" spans="1:11">
      <c r="A235" s="1" t="s">
        <v>585</v>
      </c>
      <c r="B235" s="1">
        <v>1667.208</v>
      </c>
      <c r="C235" s="1">
        <v>45.405</v>
      </c>
      <c r="D235" s="1">
        <v>45.0407</v>
      </c>
      <c r="E235" s="1">
        <v>42.6039</v>
      </c>
      <c r="F235" s="1">
        <v>87306</v>
      </c>
      <c r="G235" s="1">
        <v>93.447</v>
      </c>
      <c r="H235" s="1">
        <v>7438028</v>
      </c>
      <c r="I235" s="1">
        <v>903508</v>
      </c>
      <c r="J235" s="1" t="s">
        <v>128</v>
      </c>
      <c r="K235" s="1" t="s">
        <v>586</v>
      </c>
    </row>
    <row r="236" s="1" customFormat="1" spans="1:11">
      <c r="A236" s="1" t="s">
        <v>587</v>
      </c>
      <c r="B236" s="1">
        <v>1274.06</v>
      </c>
      <c r="C236" s="1">
        <v>40.264</v>
      </c>
      <c r="D236" s="1">
        <v>41.3997</v>
      </c>
      <c r="E236" s="1">
        <v>39.0528</v>
      </c>
      <c r="F236" s="1">
        <v>77227</v>
      </c>
      <c r="G236" s="1">
        <v>92.413</v>
      </c>
      <c r="H236" s="1">
        <v>7426696</v>
      </c>
      <c r="I236" s="1">
        <v>881924</v>
      </c>
      <c r="J236" s="1" t="s">
        <v>128</v>
      </c>
      <c r="K236" s="1" t="s">
        <v>588</v>
      </c>
    </row>
    <row r="237" s="1" customFormat="1" spans="1:11">
      <c r="A237" s="1" t="s">
        <v>589</v>
      </c>
      <c r="B237" s="1">
        <v>2993.7536</v>
      </c>
      <c r="C237" s="1">
        <v>52.2146</v>
      </c>
      <c r="D237" s="1">
        <v>51.3051</v>
      </c>
      <c r="E237" s="1">
        <v>51.1333</v>
      </c>
      <c r="F237" s="1">
        <v>65980</v>
      </c>
      <c r="G237" s="1">
        <v>48.46</v>
      </c>
      <c r="H237" s="1">
        <v>7853884</v>
      </c>
      <c r="I237" s="1">
        <v>890472</v>
      </c>
      <c r="J237" s="1" t="s">
        <v>128</v>
      </c>
      <c r="K237" s="1" t="s">
        <v>590</v>
      </c>
    </row>
    <row r="238" s="1" customFormat="1" spans="1:11">
      <c r="A238" s="1" t="s">
        <v>591</v>
      </c>
      <c r="B238" s="1">
        <v>2233.7832</v>
      </c>
      <c r="C238" s="1">
        <v>47.5552</v>
      </c>
      <c r="D238" s="1">
        <v>47.1981</v>
      </c>
      <c r="E238" s="1">
        <v>47.1388</v>
      </c>
      <c r="F238" s="1">
        <v>64201</v>
      </c>
      <c r="G238" s="1">
        <v>38.944</v>
      </c>
      <c r="H238" s="1">
        <v>7844824</v>
      </c>
      <c r="I238" s="1">
        <v>872464</v>
      </c>
      <c r="J238" s="1" t="s">
        <v>128</v>
      </c>
      <c r="K238" s="1" t="s">
        <v>592</v>
      </c>
    </row>
    <row r="239" s="1" customFormat="1" spans="1:11">
      <c r="A239" s="1" t="s">
        <v>593</v>
      </c>
      <c r="B239" s="1">
        <v>1678.0352</v>
      </c>
      <c r="C239" s="1">
        <v>42.7502</v>
      </c>
      <c r="D239" s="1">
        <v>44.036</v>
      </c>
      <c r="E239" s="1">
        <v>43.9746</v>
      </c>
      <c r="F239" s="1">
        <v>61318</v>
      </c>
      <c r="G239" s="1">
        <v>39.581</v>
      </c>
      <c r="H239" s="1">
        <v>7839404</v>
      </c>
      <c r="I239" s="1">
        <v>895176</v>
      </c>
      <c r="J239" s="1" t="s">
        <v>128</v>
      </c>
      <c r="K239" s="1" t="s">
        <v>594</v>
      </c>
    </row>
    <row r="240" s="1" customFormat="1" spans="1:11">
      <c r="A240" s="1" t="s">
        <v>595</v>
      </c>
      <c r="B240" s="1">
        <v>1256.5904</v>
      </c>
      <c r="C240" s="1">
        <v>38.0448</v>
      </c>
      <c r="D240" s="1">
        <v>40.8853</v>
      </c>
      <c r="E240" s="1">
        <v>40.9927</v>
      </c>
      <c r="F240" s="1">
        <v>57585</v>
      </c>
      <c r="G240" s="1">
        <v>39.307</v>
      </c>
      <c r="H240" s="1">
        <v>7835688</v>
      </c>
      <c r="I240" s="1">
        <v>901304</v>
      </c>
      <c r="J240" s="1" t="s">
        <v>128</v>
      </c>
      <c r="K240" s="1" t="s">
        <v>596</v>
      </c>
    </row>
    <row r="241" s="1" customFormat="1" spans="1:1">
      <c r="A241" s="1" t="s">
        <v>597</v>
      </c>
    </row>
    <row r="242" s="1" customFormat="1" spans="1:1">
      <c r="A242" s="1" t="s">
        <v>598</v>
      </c>
    </row>
    <row r="243" s="1" customFormat="1" spans="1:1">
      <c r="A243" s="1" t="s">
        <v>599</v>
      </c>
    </row>
    <row r="244" s="1" customFormat="1" spans="1:1">
      <c r="A244" s="1" t="s">
        <v>600</v>
      </c>
    </row>
    <row r="245" s="1" customFormat="1" spans="1:1">
      <c r="A245" s="1" t="s">
        <v>601</v>
      </c>
    </row>
    <row r="246" s="1" customFormat="1" spans="1:1">
      <c r="A246" s="1" t="s">
        <v>602</v>
      </c>
    </row>
    <row r="247" s="1" customFormat="1" spans="1:1">
      <c r="A247" s="1" t="s">
        <v>603</v>
      </c>
    </row>
    <row r="248" s="1" customFormat="1" spans="1:1">
      <c r="A248" s="1" t="s">
        <v>604</v>
      </c>
    </row>
    <row r="249" s="1" customFormat="1" spans="1:1">
      <c r="A249" s="1" t="s">
        <v>605</v>
      </c>
    </row>
    <row r="250" s="1" customFormat="1" spans="1:1">
      <c r="A250" s="1" t="s">
        <v>606</v>
      </c>
    </row>
    <row r="251" s="1" customFormat="1" spans="1:1">
      <c r="A251" s="1" t="s">
        <v>607</v>
      </c>
    </row>
    <row r="252" s="1" customFormat="1" spans="1:1">
      <c r="A252" s="1" t="s">
        <v>608</v>
      </c>
    </row>
    <row r="253" s="1" customFormat="1" spans="1:1">
      <c r="A253" s="1" t="s">
        <v>609</v>
      </c>
    </row>
    <row r="254" s="1" customFormat="1" spans="1:1">
      <c r="A254" s="1" t="s">
        <v>610</v>
      </c>
    </row>
    <row r="255" s="1" customFormat="1" spans="1:1">
      <c r="A255" s="1" t="s">
        <v>611</v>
      </c>
    </row>
    <row r="256" s="1" customFormat="1" spans="1:1">
      <c r="A256" s="1" t="s">
        <v>612</v>
      </c>
    </row>
    <row r="257" s="1" customFormat="1" spans="1:1">
      <c r="A257" s="1" t="s">
        <v>613</v>
      </c>
    </row>
    <row r="258" s="1" customFormat="1" spans="1:1">
      <c r="A258" s="1" t="s">
        <v>614</v>
      </c>
    </row>
    <row r="259" s="1" customFormat="1" spans="1:1">
      <c r="A259" s="1" t="s">
        <v>615</v>
      </c>
    </row>
    <row r="260" s="1" customFormat="1" spans="1:1">
      <c r="A260" s="1" t="s">
        <v>616</v>
      </c>
    </row>
    <row r="261" s="1" customFormat="1" spans="1:1">
      <c r="A261" s="1" t="s">
        <v>617</v>
      </c>
    </row>
    <row r="262" s="1" customFormat="1" spans="1:1">
      <c r="A262" s="1" t="s">
        <v>618</v>
      </c>
    </row>
    <row r="263" s="1" customFormat="1" spans="1:1">
      <c r="A263" s="1" t="s">
        <v>619</v>
      </c>
    </row>
    <row r="264" s="1" customFormat="1" spans="1:1">
      <c r="A264" s="1" t="s">
        <v>620</v>
      </c>
    </row>
    <row r="265" s="1" customFormat="1" spans="1:11">
      <c r="A265" s="1" t="s">
        <v>621</v>
      </c>
      <c r="B265" s="1">
        <v>9258.3792</v>
      </c>
      <c r="C265" s="1">
        <v>40.5867</v>
      </c>
      <c r="D265" s="1">
        <v>44.4432</v>
      </c>
      <c r="E265" s="1">
        <v>45.0589</v>
      </c>
      <c r="F265" s="1">
        <v>107659</v>
      </c>
      <c r="G265" s="1">
        <v>83.006</v>
      </c>
      <c r="H265" s="1">
        <v>4068232</v>
      </c>
      <c r="I265" s="1">
        <v>818880</v>
      </c>
      <c r="J265" s="1" t="s">
        <v>128</v>
      </c>
      <c r="K265" s="1" t="s">
        <v>622</v>
      </c>
    </row>
    <row r="266" s="1" customFormat="1" spans="1:11">
      <c r="A266" s="1" t="s">
        <v>623</v>
      </c>
      <c r="B266" s="1">
        <v>3046.1632</v>
      </c>
      <c r="C266" s="1">
        <v>38.8761</v>
      </c>
      <c r="D266" s="1">
        <v>43.1623</v>
      </c>
      <c r="E266" s="1">
        <v>43.5444</v>
      </c>
      <c r="F266" s="1">
        <v>60335</v>
      </c>
      <c r="G266" s="1">
        <v>61.736</v>
      </c>
      <c r="H266" s="1">
        <v>4045636</v>
      </c>
      <c r="I266" s="1">
        <v>817156</v>
      </c>
      <c r="J266" s="1" t="s">
        <v>128</v>
      </c>
      <c r="K266" s="1" t="s">
        <v>624</v>
      </c>
    </row>
    <row r="267" s="1" customFormat="1" spans="1:11">
      <c r="A267" s="1" t="s">
        <v>625</v>
      </c>
      <c r="B267" s="1">
        <v>1362.1424</v>
      </c>
      <c r="C267" s="1">
        <v>36.94</v>
      </c>
      <c r="D267" s="1">
        <v>42.0506</v>
      </c>
      <c r="E267" s="1">
        <v>42.1599</v>
      </c>
      <c r="F267" s="1">
        <v>42007</v>
      </c>
      <c r="G267" s="1">
        <v>51.471</v>
      </c>
      <c r="H267" s="1">
        <v>4376396</v>
      </c>
      <c r="I267" s="1">
        <v>830340</v>
      </c>
      <c r="J267" s="1" t="s">
        <v>128</v>
      </c>
      <c r="K267" s="1" t="s">
        <v>626</v>
      </c>
    </row>
    <row r="268" s="1" customFormat="1" spans="1:11">
      <c r="A268" s="1" t="s">
        <v>627</v>
      </c>
      <c r="B268" s="1">
        <v>655.2016</v>
      </c>
      <c r="C268" s="1">
        <v>34.8411</v>
      </c>
      <c r="D268" s="1">
        <v>40.9802</v>
      </c>
      <c r="E268" s="1">
        <v>41.0485</v>
      </c>
      <c r="F268" s="1">
        <v>32611</v>
      </c>
      <c r="G268" s="1">
        <v>44.639</v>
      </c>
      <c r="H268" s="1">
        <v>3160188</v>
      </c>
      <c r="I268" s="1">
        <v>647956</v>
      </c>
      <c r="J268" s="1" t="s">
        <v>128</v>
      </c>
      <c r="K268" s="1" t="s">
        <v>628</v>
      </c>
    </row>
    <row r="269" s="1" customFormat="1" spans="1:11">
      <c r="A269" s="1" t="s">
        <v>629</v>
      </c>
      <c r="B269" s="1">
        <v>7538.8048</v>
      </c>
      <c r="C269" s="1">
        <v>44.8474</v>
      </c>
      <c r="D269" s="1">
        <v>48.0447</v>
      </c>
      <c r="E269" s="1">
        <v>48.5713</v>
      </c>
      <c r="F269" s="1">
        <v>110887</v>
      </c>
      <c r="G269" s="1">
        <v>104.708</v>
      </c>
      <c r="H269" s="1">
        <v>4011680</v>
      </c>
      <c r="I269" s="1">
        <v>790800</v>
      </c>
      <c r="J269" s="1" t="s">
        <v>128</v>
      </c>
      <c r="K269" s="1" t="s">
        <v>630</v>
      </c>
    </row>
    <row r="270" s="1" customFormat="1" spans="1:11">
      <c r="A270" s="1" t="s">
        <v>631</v>
      </c>
      <c r="B270" s="1">
        <v>3649.4352</v>
      </c>
      <c r="C270" s="1">
        <v>41.51</v>
      </c>
      <c r="D270" s="1">
        <v>45.5163</v>
      </c>
      <c r="E270" s="1">
        <v>45.5656</v>
      </c>
      <c r="F270" s="1">
        <v>55023</v>
      </c>
      <c r="G270" s="1">
        <v>55.904</v>
      </c>
      <c r="H270" s="1">
        <v>3991872</v>
      </c>
      <c r="I270" s="1">
        <v>826264</v>
      </c>
      <c r="J270" s="1" t="s">
        <v>128</v>
      </c>
      <c r="K270" s="1" t="s">
        <v>632</v>
      </c>
    </row>
    <row r="271" s="1" customFormat="1" spans="1:11">
      <c r="A271" s="1" t="s">
        <v>633</v>
      </c>
      <c r="B271" s="1">
        <v>1885.9056</v>
      </c>
      <c r="C271" s="1">
        <v>38.2652</v>
      </c>
      <c r="D271" s="1">
        <v>43.8151</v>
      </c>
      <c r="E271" s="1">
        <v>43.6304</v>
      </c>
      <c r="F271" s="1">
        <v>55192</v>
      </c>
      <c r="G271" s="1">
        <v>58.047</v>
      </c>
      <c r="H271" s="1">
        <v>4044516</v>
      </c>
      <c r="I271" s="1">
        <v>825096</v>
      </c>
      <c r="J271" s="1" t="s">
        <v>128</v>
      </c>
      <c r="K271" s="1" t="s">
        <v>634</v>
      </c>
    </row>
    <row r="272" s="1" customFormat="1" spans="1:11">
      <c r="A272" s="1" t="s">
        <v>635</v>
      </c>
      <c r="B272" s="1">
        <v>1023.6144</v>
      </c>
      <c r="C272" s="1">
        <v>35.5456</v>
      </c>
      <c r="D272" s="1">
        <v>42.3424</v>
      </c>
      <c r="E272" s="1">
        <v>42.0477</v>
      </c>
      <c r="F272" s="1">
        <v>35753</v>
      </c>
      <c r="G272" s="1">
        <v>34.687</v>
      </c>
      <c r="H272" s="1">
        <v>3879868</v>
      </c>
      <c r="I272" s="1">
        <v>766016</v>
      </c>
      <c r="J272" s="1" t="s">
        <v>128</v>
      </c>
      <c r="K272" s="1" t="s">
        <v>636</v>
      </c>
    </row>
    <row r="273" s="1" customFormat="1" spans="1:11">
      <c r="A273" s="1" t="s">
        <v>637</v>
      </c>
      <c r="B273" s="1">
        <v>10163.0032</v>
      </c>
      <c r="C273" s="1">
        <v>38.6754</v>
      </c>
      <c r="D273" s="1">
        <v>40.1807</v>
      </c>
      <c r="E273" s="1">
        <v>43.8575</v>
      </c>
      <c r="F273" s="1">
        <v>123690</v>
      </c>
      <c r="G273" s="1">
        <v>85.418</v>
      </c>
      <c r="H273" s="1">
        <v>3996436</v>
      </c>
      <c r="I273" s="1">
        <v>808788</v>
      </c>
      <c r="J273" s="1" t="s">
        <v>128</v>
      </c>
      <c r="K273" s="1" t="s">
        <v>638</v>
      </c>
    </row>
    <row r="274" s="1" customFormat="1" spans="1:11">
      <c r="A274" s="1" t="s">
        <v>639</v>
      </c>
      <c r="B274" s="1">
        <v>3073.9616</v>
      </c>
      <c r="C274" s="1">
        <v>36.8377</v>
      </c>
      <c r="D274" s="1">
        <v>39.2891</v>
      </c>
      <c r="E274" s="1">
        <v>41.9174</v>
      </c>
      <c r="F274" s="1">
        <v>51010</v>
      </c>
      <c r="G274" s="1">
        <v>40.372</v>
      </c>
      <c r="H274" s="1">
        <v>3979680</v>
      </c>
      <c r="I274" s="1">
        <v>819932</v>
      </c>
      <c r="J274" s="1" t="s">
        <v>128</v>
      </c>
      <c r="K274" s="1" t="s">
        <v>640</v>
      </c>
    </row>
    <row r="275" s="1" customFormat="1" spans="1:11">
      <c r="A275" s="1" t="s">
        <v>641</v>
      </c>
      <c r="B275" s="1">
        <v>1408.3744</v>
      </c>
      <c r="C275" s="1">
        <v>34.8538</v>
      </c>
      <c r="D275" s="1">
        <v>38.4643</v>
      </c>
      <c r="E275" s="1">
        <v>40.2084</v>
      </c>
      <c r="F275" s="1">
        <v>35141</v>
      </c>
      <c r="G275" s="1">
        <v>30.029</v>
      </c>
      <c r="H275" s="1">
        <v>3968236</v>
      </c>
      <c r="I275" s="1">
        <v>803352</v>
      </c>
      <c r="J275" s="1" t="s">
        <v>128</v>
      </c>
      <c r="K275" s="1" t="s">
        <v>642</v>
      </c>
    </row>
    <row r="276" s="1" customFormat="1" spans="1:11">
      <c r="A276" s="1" t="s">
        <v>643</v>
      </c>
      <c r="B276" s="1">
        <v>694.5264</v>
      </c>
      <c r="C276" s="1">
        <v>32.6939</v>
      </c>
      <c r="D276" s="1">
        <v>37.4156</v>
      </c>
      <c r="E276" s="1">
        <v>38.567</v>
      </c>
      <c r="F276" s="1">
        <v>27124</v>
      </c>
      <c r="G276" s="1">
        <v>26.585</v>
      </c>
      <c r="H276" s="1">
        <v>3958932</v>
      </c>
      <c r="I276" s="1">
        <v>777348</v>
      </c>
      <c r="J276" s="1" t="s">
        <v>128</v>
      </c>
      <c r="K276" s="1" t="s">
        <v>644</v>
      </c>
    </row>
    <row r="277" s="1" customFormat="1" spans="1:11">
      <c r="A277" s="1" t="s">
        <v>645</v>
      </c>
      <c r="B277" s="1">
        <v>13118.7216</v>
      </c>
      <c r="C277" s="1">
        <v>39.5612</v>
      </c>
      <c r="D277" s="1">
        <v>44.2584</v>
      </c>
      <c r="E277" s="1">
        <v>45.5693</v>
      </c>
      <c r="F277" s="1">
        <v>168689</v>
      </c>
      <c r="G277" s="1">
        <v>97.901</v>
      </c>
      <c r="H277" s="1">
        <v>4125364</v>
      </c>
      <c r="I277" s="1">
        <v>799016</v>
      </c>
      <c r="J277" s="1" t="s">
        <v>128</v>
      </c>
      <c r="K277" s="1" t="s">
        <v>646</v>
      </c>
    </row>
    <row r="278" s="1" customFormat="1" spans="1:11">
      <c r="A278" s="1" t="s">
        <v>647</v>
      </c>
      <c r="B278" s="1">
        <v>4130.424</v>
      </c>
      <c r="C278" s="1">
        <v>37.7724</v>
      </c>
      <c r="D278" s="1">
        <v>42.7129</v>
      </c>
      <c r="E278" s="1">
        <v>43.099</v>
      </c>
      <c r="F278" s="1">
        <v>65364</v>
      </c>
      <c r="G278" s="1">
        <v>52.564</v>
      </c>
      <c r="H278" s="1">
        <v>4135288</v>
      </c>
      <c r="I278" s="1">
        <v>846308</v>
      </c>
      <c r="J278" s="1" t="s">
        <v>128</v>
      </c>
      <c r="K278" s="1" t="s">
        <v>648</v>
      </c>
    </row>
    <row r="279" s="1" customFormat="1" spans="1:11">
      <c r="A279" s="1" t="s">
        <v>649</v>
      </c>
      <c r="B279" s="1">
        <v>1979.0816</v>
      </c>
      <c r="C279" s="1">
        <v>35.9507</v>
      </c>
      <c r="D279" s="1">
        <v>41.5407</v>
      </c>
      <c r="E279" s="1">
        <v>41.4075</v>
      </c>
      <c r="F279" s="1">
        <v>45451</v>
      </c>
      <c r="G279" s="1">
        <v>46.366</v>
      </c>
      <c r="H279" s="1">
        <v>4120428</v>
      </c>
      <c r="I279" s="1">
        <v>800264</v>
      </c>
      <c r="J279" s="1" t="s">
        <v>128</v>
      </c>
      <c r="K279" s="1" t="s">
        <v>650</v>
      </c>
    </row>
    <row r="280" s="1" customFormat="1" spans="1:11">
      <c r="A280" s="1" t="s">
        <v>651</v>
      </c>
      <c r="B280" s="1">
        <v>1019.4736</v>
      </c>
      <c r="C280" s="1">
        <v>33.99</v>
      </c>
      <c r="D280" s="1">
        <v>40.2568</v>
      </c>
      <c r="E280" s="1">
        <v>39.4332</v>
      </c>
      <c r="F280" s="1">
        <v>45149</v>
      </c>
      <c r="G280" s="1">
        <v>60.738</v>
      </c>
      <c r="H280" s="1">
        <v>4101924</v>
      </c>
      <c r="I280" s="1">
        <v>795724</v>
      </c>
      <c r="J280" s="1" t="s">
        <v>128</v>
      </c>
      <c r="K280" s="1" t="s">
        <v>652</v>
      </c>
    </row>
    <row r="281" s="1" customFormat="1" spans="1:11">
      <c r="A281" s="1" t="s">
        <v>653</v>
      </c>
      <c r="B281" s="1">
        <v>28642.616</v>
      </c>
      <c r="C281" s="1">
        <v>38.2232</v>
      </c>
      <c r="D281" s="1">
        <v>42.9341</v>
      </c>
      <c r="E281" s="1">
        <v>45.3832</v>
      </c>
      <c r="F281" s="1">
        <v>126996</v>
      </c>
      <c r="G281" s="1">
        <v>71.616</v>
      </c>
      <c r="H281" s="1">
        <v>4183108</v>
      </c>
      <c r="I281" s="1">
        <v>845860</v>
      </c>
      <c r="J281" s="1" t="s">
        <v>128</v>
      </c>
      <c r="K281" s="1" t="s">
        <v>654</v>
      </c>
    </row>
    <row r="282" s="1" customFormat="1" spans="1:11">
      <c r="A282" s="1" t="s">
        <v>655</v>
      </c>
      <c r="B282" s="1">
        <v>3625.1632</v>
      </c>
      <c r="C282" s="1">
        <v>35.9183</v>
      </c>
      <c r="D282" s="1">
        <v>41.8958</v>
      </c>
      <c r="E282" s="1">
        <v>44.3897</v>
      </c>
      <c r="F282" s="1">
        <v>86102</v>
      </c>
      <c r="G282" s="1">
        <v>68.719</v>
      </c>
      <c r="H282" s="1">
        <v>4164964</v>
      </c>
      <c r="I282" s="1">
        <v>905520</v>
      </c>
      <c r="J282" s="1" t="s">
        <v>128</v>
      </c>
      <c r="K282" s="1" t="s">
        <v>656</v>
      </c>
    </row>
    <row r="283" s="1" customFormat="1" spans="1:11">
      <c r="A283" s="1" t="s">
        <v>657</v>
      </c>
      <c r="B283" s="1">
        <v>1234.6176</v>
      </c>
      <c r="C283" s="1">
        <v>34.376</v>
      </c>
      <c r="D283" s="1">
        <v>40.745</v>
      </c>
      <c r="E283" s="1">
        <v>43.192</v>
      </c>
      <c r="F283" s="1">
        <v>36429</v>
      </c>
      <c r="G283" s="1">
        <v>39.799</v>
      </c>
      <c r="H283" s="1">
        <v>4262920</v>
      </c>
      <c r="I283" s="1">
        <v>818028</v>
      </c>
      <c r="J283" s="1" t="s">
        <v>128</v>
      </c>
      <c r="K283" s="1" t="s">
        <v>658</v>
      </c>
    </row>
    <row r="284" s="1" customFormat="1" spans="1:11">
      <c r="A284" s="1" t="s">
        <v>659</v>
      </c>
      <c r="B284" s="1">
        <v>505.2032</v>
      </c>
      <c r="C284" s="1">
        <v>32.6649</v>
      </c>
      <c r="D284" s="1">
        <v>39.6092</v>
      </c>
      <c r="E284" s="1">
        <v>42.1495</v>
      </c>
      <c r="F284" s="1">
        <v>25592</v>
      </c>
      <c r="G284" s="1">
        <v>31.788</v>
      </c>
      <c r="H284" s="1">
        <v>4104808</v>
      </c>
      <c r="I284" s="1">
        <v>822048</v>
      </c>
      <c r="J284" s="1" t="s">
        <v>128</v>
      </c>
      <c r="K284" s="1" t="s">
        <v>660</v>
      </c>
    </row>
    <row r="285" s="1" customFormat="1" spans="1:11">
      <c r="A285" s="1" t="s">
        <v>661</v>
      </c>
      <c r="B285" s="1">
        <v>2278.9664</v>
      </c>
      <c r="C285" s="1">
        <v>41.5883</v>
      </c>
      <c r="D285" s="1">
        <v>43.8425</v>
      </c>
      <c r="E285" s="1">
        <v>44.8196</v>
      </c>
      <c r="F285" s="1">
        <v>18370</v>
      </c>
      <c r="G285" s="1">
        <v>13.753</v>
      </c>
      <c r="H285" s="1">
        <v>1597800</v>
      </c>
      <c r="I285" s="1">
        <v>471252</v>
      </c>
      <c r="J285" s="1" t="s">
        <v>128</v>
      </c>
      <c r="K285" s="1" t="s">
        <v>662</v>
      </c>
    </row>
    <row r="286" s="1" customFormat="1" spans="1:11">
      <c r="A286" s="1" t="s">
        <v>663</v>
      </c>
      <c r="B286" s="1">
        <v>1008.3056</v>
      </c>
      <c r="C286" s="1">
        <v>38.4519</v>
      </c>
      <c r="D286" s="1">
        <v>41.3758</v>
      </c>
      <c r="E286" s="1">
        <v>41.8327</v>
      </c>
      <c r="F286" s="1">
        <v>13254</v>
      </c>
      <c r="G286" s="1">
        <v>10.802</v>
      </c>
      <c r="H286" s="1">
        <v>1591292</v>
      </c>
      <c r="I286" s="1">
        <v>465364</v>
      </c>
      <c r="J286" s="1" t="s">
        <v>128</v>
      </c>
      <c r="K286" s="1" t="s">
        <v>664</v>
      </c>
    </row>
    <row r="287" s="1" customFormat="1" spans="1:11">
      <c r="A287" s="1" t="s">
        <v>665</v>
      </c>
      <c r="B287" s="1">
        <v>497.664</v>
      </c>
      <c r="C287" s="1">
        <v>35.4772</v>
      </c>
      <c r="D287" s="1">
        <v>39.591</v>
      </c>
      <c r="E287" s="1">
        <v>39.7871</v>
      </c>
      <c r="F287" s="1">
        <v>10083</v>
      </c>
      <c r="G287" s="1">
        <v>8.879</v>
      </c>
      <c r="H287" s="1">
        <v>1586820</v>
      </c>
      <c r="I287" s="1">
        <v>462380</v>
      </c>
      <c r="J287" s="1" t="s">
        <v>128</v>
      </c>
      <c r="K287" s="1" t="s">
        <v>361</v>
      </c>
    </row>
    <row r="288" s="1" customFormat="1" spans="1:11">
      <c r="A288" s="1" t="s">
        <v>666</v>
      </c>
      <c r="B288" s="1">
        <v>258.3632</v>
      </c>
      <c r="C288" s="1">
        <v>32.88</v>
      </c>
      <c r="D288" s="1">
        <v>37.8066</v>
      </c>
      <c r="E288" s="1">
        <v>37.6458</v>
      </c>
      <c r="F288" s="1">
        <v>7248</v>
      </c>
      <c r="G288" s="1">
        <v>6.805</v>
      </c>
      <c r="H288" s="1">
        <v>1583632</v>
      </c>
      <c r="I288" s="1">
        <v>458072</v>
      </c>
      <c r="J288" s="1" t="s">
        <v>128</v>
      </c>
      <c r="K288" s="1" t="s">
        <v>667</v>
      </c>
    </row>
    <row r="289" s="1" customFormat="1" spans="1:11">
      <c r="A289" s="1" t="s">
        <v>668</v>
      </c>
      <c r="B289" s="1">
        <v>2874.8944</v>
      </c>
      <c r="C289" s="1">
        <v>40.0864</v>
      </c>
      <c r="D289" s="1">
        <v>43.4565</v>
      </c>
      <c r="E289" s="1">
        <v>44.5287</v>
      </c>
      <c r="F289" s="1">
        <v>21756</v>
      </c>
      <c r="G289" s="1">
        <v>16.287</v>
      </c>
      <c r="H289" s="1">
        <v>1596700</v>
      </c>
      <c r="I289" s="1">
        <v>486328</v>
      </c>
      <c r="J289" s="1" t="s">
        <v>128</v>
      </c>
      <c r="K289" s="1" t="s">
        <v>669</v>
      </c>
    </row>
    <row r="290" s="1" customFormat="1" spans="1:11">
      <c r="A290" s="1" t="s">
        <v>670</v>
      </c>
      <c r="B290" s="1">
        <v>1168.2416</v>
      </c>
      <c r="C290" s="1">
        <v>37.1909</v>
      </c>
      <c r="D290" s="1">
        <v>41.3893</v>
      </c>
      <c r="E290" s="1">
        <v>41.8146</v>
      </c>
      <c r="F290" s="1">
        <v>14676</v>
      </c>
      <c r="G290" s="1">
        <v>11.985</v>
      </c>
      <c r="H290" s="1">
        <v>1592992</v>
      </c>
      <c r="I290" s="1">
        <v>476772</v>
      </c>
      <c r="J290" s="1" t="s">
        <v>128</v>
      </c>
      <c r="K290" s="1" t="s">
        <v>671</v>
      </c>
    </row>
    <row r="291" s="1" customFormat="1" spans="1:11">
      <c r="A291" s="1" t="s">
        <v>672</v>
      </c>
      <c r="B291" s="1">
        <v>557.1488</v>
      </c>
      <c r="C291" s="1">
        <v>34.3853</v>
      </c>
      <c r="D291" s="1">
        <v>39.6312</v>
      </c>
      <c r="E291" s="1">
        <v>39.877</v>
      </c>
      <c r="F291" s="1">
        <v>14570</v>
      </c>
      <c r="G291" s="1">
        <v>12.179</v>
      </c>
      <c r="H291" s="1">
        <v>1589804</v>
      </c>
      <c r="I291" s="1">
        <v>474188</v>
      </c>
      <c r="J291" s="1" t="s">
        <v>128</v>
      </c>
      <c r="K291" s="1" t="s">
        <v>673</v>
      </c>
    </row>
    <row r="292" s="1" customFormat="1" spans="1:11">
      <c r="A292" s="1" t="s">
        <v>674</v>
      </c>
      <c r="B292" s="1">
        <v>285.6448</v>
      </c>
      <c r="C292" s="1">
        <v>31.7048</v>
      </c>
      <c r="D292" s="1">
        <v>38.2039</v>
      </c>
      <c r="E292" s="1">
        <v>38.149</v>
      </c>
      <c r="F292" s="1">
        <v>7850</v>
      </c>
      <c r="G292" s="1">
        <v>6.579</v>
      </c>
      <c r="H292" s="1">
        <v>1588120</v>
      </c>
      <c r="I292" s="1">
        <v>470260</v>
      </c>
      <c r="J292" s="1" t="s">
        <v>128</v>
      </c>
      <c r="K292" s="1" t="s">
        <v>675</v>
      </c>
    </row>
    <row r="293" s="1" customFormat="1" spans="1:11">
      <c r="A293" s="1" t="s">
        <v>676</v>
      </c>
      <c r="B293" s="1">
        <v>6341.8096</v>
      </c>
      <c r="C293" s="1">
        <v>38.4838</v>
      </c>
      <c r="D293" s="1">
        <v>41.0541</v>
      </c>
      <c r="E293" s="1">
        <v>41.7555</v>
      </c>
      <c r="F293" s="1">
        <v>35855</v>
      </c>
      <c r="G293" s="1">
        <v>28.125</v>
      </c>
      <c r="H293" s="1">
        <v>1605020</v>
      </c>
      <c r="I293" s="1">
        <v>481748</v>
      </c>
      <c r="J293" s="1" t="s">
        <v>128</v>
      </c>
      <c r="K293" s="1" t="s">
        <v>677</v>
      </c>
    </row>
    <row r="294" s="1" customFormat="1" spans="1:11">
      <c r="A294" s="1" t="s">
        <v>678</v>
      </c>
      <c r="B294" s="1">
        <v>2575.0336</v>
      </c>
      <c r="C294" s="1">
        <v>34.5251</v>
      </c>
      <c r="D294" s="1">
        <v>38.2017</v>
      </c>
      <c r="E294" s="1">
        <v>38.6948</v>
      </c>
      <c r="F294" s="1">
        <v>19429</v>
      </c>
      <c r="G294" s="1">
        <v>18.608</v>
      </c>
      <c r="H294" s="1">
        <v>1601704</v>
      </c>
      <c r="I294" s="1">
        <v>473796</v>
      </c>
      <c r="J294" s="1" t="s">
        <v>128</v>
      </c>
      <c r="K294" s="1" t="s">
        <v>679</v>
      </c>
    </row>
    <row r="295" s="1" customFormat="1" spans="1:11">
      <c r="A295" s="1" t="s">
        <v>680</v>
      </c>
      <c r="B295" s="1">
        <v>1156.0592</v>
      </c>
      <c r="C295" s="1">
        <v>31.13</v>
      </c>
      <c r="D295" s="1">
        <v>36.29</v>
      </c>
      <c r="E295" s="1">
        <v>36.6843</v>
      </c>
      <c r="F295" s="1">
        <v>19510</v>
      </c>
      <c r="G295" s="1">
        <v>18.645</v>
      </c>
      <c r="H295" s="1">
        <v>1597360</v>
      </c>
      <c r="I295" s="1">
        <v>467596</v>
      </c>
      <c r="J295" s="1" t="s">
        <v>128</v>
      </c>
      <c r="K295" s="1" t="s">
        <v>681</v>
      </c>
    </row>
    <row r="296" s="1" customFormat="1" spans="1:11">
      <c r="A296" s="1" t="s">
        <v>682</v>
      </c>
      <c r="B296" s="1">
        <v>527.608</v>
      </c>
      <c r="C296" s="1">
        <v>28.1683</v>
      </c>
      <c r="D296" s="1">
        <v>34.8517</v>
      </c>
      <c r="E296" s="1">
        <v>35.0471</v>
      </c>
      <c r="F296" s="1">
        <v>10184</v>
      </c>
      <c r="G296" s="1">
        <v>10.569</v>
      </c>
      <c r="H296" s="1">
        <v>1592820</v>
      </c>
      <c r="I296" s="1">
        <v>460548</v>
      </c>
      <c r="J296" s="1" t="s">
        <v>128</v>
      </c>
      <c r="K296" s="1" t="s">
        <v>683</v>
      </c>
    </row>
    <row r="297" s="1" customFormat="1" spans="1:11">
      <c r="A297" s="1" t="s">
        <v>684</v>
      </c>
      <c r="B297" s="1">
        <v>5398.0304</v>
      </c>
      <c r="C297" s="1">
        <v>39.3018</v>
      </c>
      <c r="D297" s="1">
        <v>40.3587</v>
      </c>
      <c r="E297" s="1">
        <v>42.0068</v>
      </c>
      <c r="F297" s="1">
        <v>27467</v>
      </c>
      <c r="G297" s="1">
        <v>16.413</v>
      </c>
      <c r="H297" s="1">
        <v>1598532</v>
      </c>
      <c r="I297" s="1">
        <v>437244</v>
      </c>
      <c r="J297" s="1" t="s">
        <v>128</v>
      </c>
      <c r="K297" s="1" t="s">
        <v>685</v>
      </c>
    </row>
    <row r="298" s="1" customFormat="1" spans="1:11">
      <c r="A298" s="1" t="s">
        <v>686</v>
      </c>
      <c r="B298" s="1">
        <v>1706.0992</v>
      </c>
      <c r="C298" s="1">
        <v>34.8097</v>
      </c>
      <c r="D298" s="1">
        <v>37.4534</v>
      </c>
      <c r="E298" s="1">
        <v>39.5148</v>
      </c>
      <c r="F298" s="1">
        <v>17873</v>
      </c>
      <c r="G298" s="1">
        <v>13.095</v>
      </c>
      <c r="H298" s="1">
        <v>1593884</v>
      </c>
      <c r="I298" s="1">
        <v>436468</v>
      </c>
      <c r="J298" s="1" t="s">
        <v>128</v>
      </c>
      <c r="K298" s="1" t="s">
        <v>687</v>
      </c>
    </row>
    <row r="299" s="1" customFormat="1" spans="1:11">
      <c r="A299" s="1" t="s">
        <v>688</v>
      </c>
      <c r="B299" s="1">
        <v>714.984</v>
      </c>
      <c r="C299" s="1">
        <v>31.5148</v>
      </c>
      <c r="D299" s="1">
        <v>36.0945</v>
      </c>
      <c r="E299" s="1">
        <v>38.1384</v>
      </c>
      <c r="F299" s="1">
        <v>12992</v>
      </c>
      <c r="G299" s="1">
        <v>10.428</v>
      </c>
      <c r="H299" s="1">
        <v>1589848</v>
      </c>
      <c r="I299" s="1">
        <v>429388</v>
      </c>
      <c r="J299" s="1" t="s">
        <v>128</v>
      </c>
      <c r="K299" s="1" t="s">
        <v>689</v>
      </c>
    </row>
    <row r="300" s="1" customFormat="1" spans="1:11">
      <c r="A300" s="1" t="s">
        <v>690</v>
      </c>
      <c r="B300" s="1">
        <v>312.168</v>
      </c>
      <c r="C300" s="1">
        <v>28.7028</v>
      </c>
      <c r="D300" s="1">
        <v>35.0027</v>
      </c>
      <c r="E300" s="1">
        <v>36.6115</v>
      </c>
      <c r="F300" s="1">
        <v>6728</v>
      </c>
      <c r="G300" s="1">
        <v>5.82</v>
      </c>
      <c r="H300" s="1">
        <v>1587376</v>
      </c>
      <c r="I300" s="1">
        <v>426800</v>
      </c>
      <c r="J300" s="1" t="s">
        <v>128</v>
      </c>
      <c r="K300" s="1" t="s">
        <v>691</v>
      </c>
    </row>
    <row r="301" s="1" customFormat="1" spans="1:11">
      <c r="A301" s="1" t="s">
        <v>692</v>
      </c>
      <c r="B301" s="1">
        <v>1060.0224</v>
      </c>
      <c r="C301" s="1">
        <v>41.2138</v>
      </c>
      <c r="D301" s="1">
        <v>43.8608</v>
      </c>
      <c r="E301" s="1">
        <v>43.2976</v>
      </c>
      <c r="F301" s="1">
        <v>6090</v>
      </c>
      <c r="G301" s="1">
        <v>5.014</v>
      </c>
      <c r="H301" s="1">
        <v>1130372</v>
      </c>
      <c r="I301" s="1">
        <v>380436</v>
      </c>
      <c r="J301" s="1" t="s">
        <v>128</v>
      </c>
      <c r="K301" s="1" t="s">
        <v>693</v>
      </c>
    </row>
    <row r="302" s="1" customFormat="1" spans="1:11">
      <c r="A302" s="1" t="s">
        <v>694</v>
      </c>
      <c r="B302" s="1">
        <v>473.6192</v>
      </c>
      <c r="C302" s="1">
        <v>37.0836</v>
      </c>
      <c r="D302" s="1">
        <v>40.7758</v>
      </c>
      <c r="E302" s="1">
        <v>39.6947</v>
      </c>
      <c r="F302" s="1">
        <v>3786</v>
      </c>
      <c r="G302" s="1">
        <v>3.099</v>
      </c>
      <c r="H302" s="1">
        <v>1129288</v>
      </c>
      <c r="I302" s="1">
        <v>379052</v>
      </c>
      <c r="J302" s="1" t="s">
        <v>128</v>
      </c>
      <c r="K302" s="1" t="s">
        <v>695</v>
      </c>
    </row>
    <row r="303" s="1" customFormat="1" spans="1:11">
      <c r="A303" s="1" t="s">
        <v>696</v>
      </c>
      <c r="B303" s="1">
        <v>226.6272</v>
      </c>
      <c r="C303" s="1">
        <v>33.6594</v>
      </c>
      <c r="D303" s="1">
        <v>38.6905</v>
      </c>
      <c r="E303" s="1">
        <v>37.482</v>
      </c>
      <c r="F303" s="1">
        <v>3785</v>
      </c>
      <c r="G303" s="1">
        <v>3.248</v>
      </c>
      <c r="H303" s="1">
        <v>1128508</v>
      </c>
      <c r="I303" s="1">
        <v>378024</v>
      </c>
      <c r="J303" s="1" t="s">
        <v>128</v>
      </c>
      <c r="K303" s="1" t="s">
        <v>697</v>
      </c>
    </row>
    <row r="304" s="1" customFormat="1" spans="1:11">
      <c r="A304" s="1" t="s">
        <v>698</v>
      </c>
      <c r="B304" s="1">
        <v>115.0016</v>
      </c>
      <c r="C304" s="1">
        <v>30.8015</v>
      </c>
      <c r="D304" s="1">
        <v>37.2482</v>
      </c>
      <c r="E304" s="1">
        <v>35.6544</v>
      </c>
      <c r="F304" s="1">
        <v>2151</v>
      </c>
      <c r="G304" s="1">
        <v>1.786</v>
      </c>
      <c r="H304" s="1">
        <v>1127580</v>
      </c>
      <c r="I304" s="1">
        <v>377188</v>
      </c>
      <c r="J304" s="1" t="s">
        <v>128</v>
      </c>
      <c r="K304" s="1" t="s">
        <v>699</v>
      </c>
    </row>
    <row r="305" s="1" customFormat="1" spans="1:11">
      <c r="A305" s="1" t="s">
        <v>700</v>
      </c>
      <c r="B305" s="1">
        <v>1313.7392</v>
      </c>
      <c r="C305" s="1">
        <v>39.0416</v>
      </c>
      <c r="D305" s="1">
        <v>43.577</v>
      </c>
      <c r="E305" s="1">
        <v>44.5946</v>
      </c>
      <c r="F305" s="1">
        <v>8598</v>
      </c>
      <c r="G305" s="1">
        <v>9.321</v>
      </c>
      <c r="H305" s="1">
        <v>1138100</v>
      </c>
      <c r="I305" s="1">
        <v>393800</v>
      </c>
      <c r="J305" s="1" t="s">
        <v>128</v>
      </c>
      <c r="K305" s="1" t="s">
        <v>701</v>
      </c>
    </row>
    <row r="306" s="1" customFormat="1" spans="1:11">
      <c r="A306" s="1" t="s">
        <v>702</v>
      </c>
      <c r="B306" s="1">
        <v>447.9136</v>
      </c>
      <c r="C306" s="1">
        <v>35.2609</v>
      </c>
      <c r="D306" s="1">
        <v>41.5385</v>
      </c>
      <c r="E306" s="1">
        <v>42.3634</v>
      </c>
      <c r="F306" s="1">
        <v>4328</v>
      </c>
      <c r="G306" s="1">
        <v>5.757</v>
      </c>
      <c r="H306" s="1">
        <v>1137284</v>
      </c>
      <c r="I306" s="1">
        <v>392492</v>
      </c>
      <c r="J306" s="1" t="s">
        <v>128</v>
      </c>
      <c r="K306" s="1" t="s">
        <v>703</v>
      </c>
    </row>
    <row r="307" s="1" customFormat="1" spans="1:11">
      <c r="A307" s="1" t="s">
        <v>704</v>
      </c>
      <c r="B307" s="1">
        <v>191.8544</v>
      </c>
      <c r="C307" s="1">
        <v>31.9903</v>
      </c>
      <c r="D307" s="1">
        <v>39.4388</v>
      </c>
      <c r="E307" s="1">
        <v>40.158</v>
      </c>
      <c r="F307" s="1">
        <v>3787</v>
      </c>
      <c r="G307" s="1">
        <v>5.819</v>
      </c>
      <c r="H307" s="1">
        <v>1132832</v>
      </c>
      <c r="I307" s="1">
        <v>391872</v>
      </c>
      <c r="J307" s="1" t="s">
        <v>128</v>
      </c>
      <c r="K307" s="1" t="s">
        <v>705</v>
      </c>
    </row>
    <row r="308" s="1" customFormat="1" spans="1:11">
      <c r="A308" s="1" t="s">
        <v>706</v>
      </c>
      <c r="B308" s="1">
        <v>93.9808</v>
      </c>
      <c r="C308" s="1">
        <v>29.0895</v>
      </c>
      <c r="D308" s="1">
        <v>38.0701</v>
      </c>
      <c r="E308" s="1">
        <v>38.4216</v>
      </c>
      <c r="F308" s="1">
        <v>1842</v>
      </c>
      <c r="G308" s="1">
        <v>3.412</v>
      </c>
      <c r="H308" s="1">
        <v>1135360</v>
      </c>
      <c r="I308" s="1">
        <v>391048</v>
      </c>
      <c r="J308" s="1" t="s">
        <v>128</v>
      </c>
      <c r="K308" s="1" t="s">
        <v>707</v>
      </c>
    </row>
    <row r="309" s="1" customFormat="1" spans="1:11">
      <c r="A309" s="1" t="s">
        <v>708</v>
      </c>
      <c r="B309" s="1">
        <v>1265.1568</v>
      </c>
      <c r="C309" s="1">
        <v>38.4137</v>
      </c>
      <c r="D309" s="1">
        <v>40.9759</v>
      </c>
      <c r="E309" s="1">
        <v>41.9438</v>
      </c>
      <c r="F309" s="1">
        <v>5689</v>
      </c>
      <c r="G309" s="1">
        <v>4.499</v>
      </c>
      <c r="H309" s="1">
        <v>1131752</v>
      </c>
      <c r="I309" s="1">
        <v>380576</v>
      </c>
      <c r="J309" s="1" t="s">
        <v>128</v>
      </c>
      <c r="K309" s="1" t="s">
        <v>709</v>
      </c>
    </row>
    <row r="310" s="1" customFormat="1" spans="1:11">
      <c r="A310" s="1" t="s">
        <v>710</v>
      </c>
      <c r="B310" s="1">
        <v>499.8032</v>
      </c>
      <c r="C310" s="1">
        <v>34.7205</v>
      </c>
      <c r="D310" s="1">
        <v>38.086</v>
      </c>
      <c r="E310" s="1">
        <v>38.8611</v>
      </c>
      <c r="F310" s="1">
        <v>5715</v>
      </c>
      <c r="G310" s="1">
        <v>4.549</v>
      </c>
      <c r="H310" s="1">
        <v>1131516</v>
      </c>
      <c r="I310" s="1">
        <v>379712</v>
      </c>
      <c r="J310" s="1" t="s">
        <v>128</v>
      </c>
      <c r="K310" s="1" t="s">
        <v>711</v>
      </c>
    </row>
    <row r="311" s="1" customFormat="1" spans="1:11">
      <c r="A311" s="1" t="s">
        <v>712</v>
      </c>
      <c r="B311" s="1">
        <v>227.5824</v>
      </c>
      <c r="C311" s="1">
        <v>31.5746</v>
      </c>
      <c r="D311" s="1">
        <v>35.9995</v>
      </c>
      <c r="E311" s="1">
        <v>36.6654</v>
      </c>
      <c r="F311" s="1">
        <v>2969</v>
      </c>
      <c r="G311" s="1">
        <v>2.283</v>
      </c>
      <c r="H311" s="1">
        <v>1130528</v>
      </c>
      <c r="I311" s="1">
        <v>379068</v>
      </c>
      <c r="J311" s="1" t="s">
        <v>128</v>
      </c>
      <c r="K311" s="1" t="s">
        <v>713</v>
      </c>
    </row>
    <row r="312" s="1" customFormat="1" spans="1:11">
      <c r="A312" s="1" t="s">
        <v>714</v>
      </c>
      <c r="B312" s="1">
        <v>105.4672</v>
      </c>
      <c r="C312" s="1">
        <v>28.8163</v>
      </c>
      <c r="D312" s="1">
        <v>34.6994</v>
      </c>
      <c r="E312" s="1">
        <v>35.2838</v>
      </c>
      <c r="F312" s="1">
        <v>2158</v>
      </c>
      <c r="G312" s="1">
        <v>1.459</v>
      </c>
      <c r="H312" s="1">
        <v>1128892</v>
      </c>
      <c r="I312" s="1">
        <v>378484</v>
      </c>
      <c r="J312" s="1" t="s">
        <v>128</v>
      </c>
      <c r="K312" s="1" t="s">
        <v>715</v>
      </c>
    </row>
    <row r="313" s="1" customFormat="1" spans="1:11">
      <c r="A313" s="1" t="s">
        <v>716</v>
      </c>
      <c r="B313" s="1">
        <v>947.0608</v>
      </c>
      <c r="C313" s="1">
        <v>39.1058</v>
      </c>
      <c r="D313" s="1">
        <v>40.3902</v>
      </c>
      <c r="E313" s="1">
        <v>41.7444</v>
      </c>
      <c r="F313" s="1">
        <v>4330</v>
      </c>
      <c r="G313" s="1">
        <v>3.099</v>
      </c>
      <c r="H313" s="1">
        <v>1130780</v>
      </c>
      <c r="I313" s="1">
        <v>353312</v>
      </c>
      <c r="J313" s="1" t="s">
        <v>128</v>
      </c>
      <c r="K313" s="1" t="s">
        <v>717</v>
      </c>
    </row>
    <row r="314" s="1" customFormat="1" spans="1:11">
      <c r="A314" s="1" t="s">
        <v>718</v>
      </c>
      <c r="B314" s="1">
        <v>407.6848</v>
      </c>
      <c r="C314" s="1">
        <v>34.6292</v>
      </c>
      <c r="D314" s="1">
        <v>37.6177</v>
      </c>
      <c r="E314" s="1">
        <v>38.6977</v>
      </c>
      <c r="F314" s="1">
        <v>3202</v>
      </c>
      <c r="G314" s="1">
        <v>2.411</v>
      </c>
      <c r="H314" s="1">
        <v>1129112</v>
      </c>
      <c r="I314" s="1">
        <v>352756</v>
      </c>
      <c r="J314" s="1" t="s">
        <v>128</v>
      </c>
      <c r="K314" s="1" t="s">
        <v>719</v>
      </c>
    </row>
    <row r="315" s="1" customFormat="1" spans="1:11">
      <c r="A315" s="1" t="s">
        <v>720</v>
      </c>
      <c r="B315" s="1">
        <v>184.28</v>
      </c>
      <c r="C315" s="1">
        <v>31.0291</v>
      </c>
      <c r="D315" s="1">
        <v>36.0018</v>
      </c>
      <c r="E315" s="1">
        <v>36.86</v>
      </c>
      <c r="F315" s="1">
        <v>3219</v>
      </c>
      <c r="G315" s="1">
        <v>2.58</v>
      </c>
      <c r="H315" s="1">
        <v>1129280</v>
      </c>
      <c r="I315" s="1">
        <v>352632</v>
      </c>
      <c r="J315" s="1" t="s">
        <v>128</v>
      </c>
      <c r="K315" s="1" t="s">
        <v>721</v>
      </c>
    </row>
    <row r="316" s="1" customFormat="1" spans="1:11">
      <c r="A316" s="1" t="s">
        <v>722</v>
      </c>
      <c r="B316" s="1">
        <v>87.9152</v>
      </c>
      <c r="C316" s="1">
        <v>28.4905</v>
      </c>
      <c r="D316" s="1">
        <v>34.5361</v>
      </c>
      <c r="E316" s="1">
        <v>35.0063</v>
      </c>
      <c r="F316" s="1">
        <v>1670</v>
      </c>
      <c r="G316" s="1">
        <v>1.498</v>
      </c>
      <c r="H316" s="1">
        <v>1128440</v>
      </c>
      <c r="I316" s="1">
        <v>350320</v>
      </c>
      <c r="J316" s="1" t="s">
        <v>128</v>
      </c>
      <c r="K316" s="1" t="s">
        <v>723</v>
      </c>
    </row>
    <row r="317" s="1" customFormat="1" spans="1:11">
      <c r="A317" s="1" t="s">
        <v>724</v>
      </c>
      <c r="B317" s="1">
        <v>1685.5504</v>
      </c>
      <c r="C317" s="1">
        <v>42.9908</v>
      </c>
      <c r="D317" s="1">
        <v>47.2235</v>
      </c>
      <c r="E317" s="1">
        <v>48.461</v>
      </c>
      <c r="F317" s="1">
        <v>21713</v>
      </c>
      <c r="G317" s="1">
        <v>20.452</v>
      </c>
      <c r="H317" s="1">
        <v>2321980</v>
      </c>
      <c r="I317" s="1">
        <v>567748</v>
      </c>
      <c r="J317" s="1" t="s">
        <v>128</v>
      </c>
      <c r="K317" s="1" t="s">
        <v>725</v>
      </c>
    </row>
    <row r="318" s="1" customFormat="1" spans="1:11">
      <c r="A318" s="1" t="s">
        <v>726</v>
      </c>
      <c r="B318" s="1">
        <v>664.9296</v>
      </c>
      <c r="C318" s="1">
        <v>40.8802</v>
      </c>
      <c r="D318" s="1">
        <v>45.518</v>
      </c>
      <c r="E318" s="1">
        <v>46.54</v>
      </c>
      <c r="F318" s="1">
        <v>14283</v>
      </c>
      <c r="G318" s="1">
        <v>13.569</v>
      </c>
      <c r="H318" s="1">
        <v>2310592</v>
      </c>
      <c r="I318" s="1">
        <v>562016</v>
      </c>
      <c r="J318" s="1" t="s">
        <v>128</v>
      </c>
      <c r="K318" s="1" t="s">
        <v>727</v>
      </c>
    </row>
    <row r="319" s="1" customFormat="1" spans="1:11">
      <c r="A319" s="1" t="s">
        <v>728</v>
      </c>
      <c r="B319" s="1">
        <v>337.3088</v>
      </c>
      <c r="C319" s="1">
        <v>38.4731</v>
      </c>
      <c r="D319" s="1">
        <v>43.6085</v>
      </c>
      <c r="E319" s="1">
        <v>44.428</v>
      </c>
      <c r="F319" s="1">
        <v>11424</v>
      </c>
      <c r="G319" s="1">
        <v>9.347</v>
      </c>
      <c r="H319" s="1">
        <v>2307092</v>
      </c>
      <c r="I319" s="1">
        <v>561672</v>
      </c>
      <c r="J319" s="1" t="s">
        <v>128</v>
      </c>
      <c r="K319" s="1" t="s">
        <v>729</v>
      </c>
    </row>
    <row r="320" s="1" customFormat="1" spans="1:11">
      <c r="A320" s="1" t="s">
        <v>730</v>
      </c>
      <c r="B320" s="1">
        <v>184.6192</v>
      </c>
      <c r="C320" s="1">
        <v>35.7811</v>
      </c>
      <c r="D320" s="1">
        <v>41.9541</v>
      </c>
      <c r="E320" s="1">
        <v>42.755</v>
      </c>
      <c r="F320" s="1">
        <v>9001</v>
      </c>
      <c r="G320" s="1">
        <v>6.59</v>
      </c>
      <c r="H320" s="1">
        <v>2307624</v>
      </c>
      <c r="I320" s="1">
        <v>555404</v>
      </c>
      <c r="J320" s="1" t="s">
        <v>128</v>
      </c>
      <c r="K320" s="1" t="s">
        <v>731</v>
      </c>
    </row>
    <row r="321" s="1" customFormat="1" spans="1:11">
      <c r="A321" s="1" t="s">
        <v>732</v>
      </c>
      <c r="B321" s="1">
        <v>1126.2976</v>
      </c>
      <c r="C321" s="1">
        <v>43.2242</v>
      </c>
      <c r="D321" s="1">
        <v>48.6858</v>
      </c>
      <c r="E321" s="1">
        <v>49.364</v>
      </c>
      <c r="F321" s="1">
        <v>22237</v>
      </c>
      <c r="G321" s="1">
        <v>17.512</v>
      </c>
      <c r="H321" s="1">
        <v>2307328</v>
      </c>
      <c r="I321" s="1">
        <v>556212</v>
      </c>
      <c r="J321" s="1" t="s">
        <v>128</v>
      </c>
      <c r="K321" s="1" t="s">
        <v>733</v>
      </c>
    </row>
    <row r="322" s="1" customFormat="1" spans="1:11">
      <c r="A322" s="1" t="s">
        <v>734</v>
      </c>
      <c r="B322" s="1">
        <v>344.3824</v>
      </c>
      <c r="C322" s="1">
        <v>41.7407</v>
      </c>
      <c r="D322" s="1">
        <v>47.4669</v>
      </c>
      <c r="E322" s="1">
        <v>47.9865</v>
      </c>
      <c r="F322" s="1">
        <v>13105</v>
      </c>
      <c r="G322" s="1">
        <v>11.128</v>
      </c>
      <c r="H322" s="1">
        <v>2306112</v>
      </c>
      <c r="I322" s="1">
        <v>552004</v>
      </c>
      <c r="J322" s="1" t="s">
        <v>128</v>
      </c>
      <c r="K322" s="1" t="s">
        <v>735</v>
      </c>
    </row>
    <row r="323" s="1" customFormat="1" spans="1:11">
      <c r="A323" s="1" t="s">
        <v>736</v>
      </c>
      <c r="B323" s="1">
        <v>160.3824</v>
      </c>
      <c r="C323" s="1">
        <v>39.9417</v>
      </c>
      <c r="D323" s="1">
        <v>45.7831</v>
      </c>
      <c r="E323" s="1">
        <v>46.1682</v>
      </c>
      <c r="F323" s="1">
        <v>9277</v>
      </c>
      <c r="G323" s="1">
        <v>7.154</v>
      </c>
      <c r="H323" s="1">
        <v>2300832</v>
      </c>
      <c r="I323" s="1">
        <v>550172</v>
      </c>
      <c r="J323" s="1" t="s">
        <v>128</v>
      </c>
      <c r="K323" s="1" t="s">
        <v>737</v>
      </c>
    </row>
    <row r="324" s="1" customFormat="1" spans="1:11">
      <c r="A324" s="1" t="s">
        <v>738</v>
      </c>
      <c r="B324" s="1">
        <v>88.1696</v>
      </c>
      <c r="C324" s="1">
        <v>37.8163</v>
      </c>
      <c r="D324" s="1">
        <v>44.145</v>
      </c>
      <c r="E324" s="1">
        <v>44.5517</v>
      </c>
      <c r="F324" s="1">
        <v>7236</v>
      </c>
      <c r="G324" s="1">
        <v>5.645</v>
      </c>
      <c r="H324" s="1">
        <v>2300528</v>
      </c>
      <c r="I324" s="1">
        <v>547112</v>
      </c>
      <c r="J324" s="1" t="s">
        <v>128</v>
      </c>
      <c r="K324" s="1" t="s">
        <v>739</v>
      </c>
    </row>
    <row r="325" s="1" customFormat="1" spans="1:11">
      <c r="A325" s="1" t="s">
        <v>740</v>
      </c>
      <c r="B325" s="1">
        <v>1361.2064</v>
      </c>
      <c r="C325" s="1">
        <v>43.684</v>
      </c>
      <c r="D325" s="1">
        <v>47.9585</v>
      </c>
      <c r="E325" s="1">
        <v>48.9689</v>
      </c>
      <c r="F325" s="1">
        <v>25162</v>
      </c>
      <c r="G325" s="1">
        <v>19.099</v>
      </c>
      <c r="H325" s="1">
        <v>2309068</v>
      </c>
      <c r="I325" s="1">
        <v>571740</v>
      </c>
      <c r="J325" s="1" t="s">
        <v>128</v>
      </c>
      <c r="K325" s="1" t="s">
        <v>741</v>
      </c>
    </row>
    <row r="326" s="1" customFormat="1" spans="1:11">
      <c r="A326" s="1" t="s">
        <v>742</v>
      </c>
      <c r="B326" s="1">
        <v>497.352</v>
      </c>
      <c r="C326" s="1">
        <v>41.8047</v>
      </c>
      <c r="D326" s="1">
        <v>46.4641</v>
      </c>
      <c r="E326" s="1">
        <v>47.22</v>
      </c>
      <c r="F326" s="1">
        <v>15482</v>
      </c>
      <c r="G326" s="1">
        <v>14.578</v>
      </c>
      <c r="H326" s="1">
        <v>2312640</v>
      </c>
      <c r="I326" s="1">
        <v>557608</v>
      </c>
      <c r="J326" s="1" t="s">
        <v>128</v>
      </c>
      <c r="K326" s="1" t="s">
        <v>743</v>
      </c>
    </row>
    <row r="327" s="1" customFormat="1" spans="1:11">
      <c r="A327" s="1" t="s">
        <v>744</v>
      </c>
      <c r="B327" s="1">
        <v>231.728</v>
      </c>
      <c r="C327" s="1">
        <v>39.6272</v>
      </c>
      <c r="D327" s="1">
        <v>44.7389</v>
      </c>
      <c r="E327" s="1">
        <v>45.3238</v>
      </c>
      <c r="F327" s="1">
        <v>10832</v>
      </c>
      <c r="G327" s="1">
        <v>10.572</v>
      </c>
      <c r="H327" s="1">
        <v>2304072</v>
      </c>
      <c r="I327" s="1">
        <v>555392</v>
      </c>
      <c r="J327" s="1" t="s">
        <v>128</v>
      </c>
      <c r="K327" s="1" t="s">
        <v>745</v>
      </c>
    </row>
    <row r="328" s="1" customFormat="1" spans="1:11">
      <c r="A328" s="1" t="s">
        <v>746</v>
      </c>
      <c r="B328" s="1">
        <v>123.4496</v>
      </c>
      <c r="C328" s="1">
        <v>37.2139</v>
      </c>
      <c r="D328" s="1">
        <v>43.0396</v>
      </c>
      <c r="E328" s="1">
        <v>43.6902</v>
      </c>
      <c r="F328" s="1">
        <v>8069</v>
      </c>
      <c r="G328" s="1">
        <v>7.287</v>
      </c>
      <c r="H328" s="1">
        <v>2300224</v>
      </c>
      <c r="I328" s="1">
        <v>549908</v>
      </c>
      <c r="J328" s="1" t="s">
        <v>128</v>
      </c>
      <c r="K328" s="1" t="s">
        <v>747</v>
      </c>
    </row>
    <row r="329" s="1" customFormat="1" spans="1:11">
      <c r="A329" s="1" t="s">
        <v>748</v>
      </c>
      <c r="B329" s="1">
        <v>2211.1968</v>
      </c>
      <c r="C329" s="1">
        <v>41.6283</v>
      </c>
      <c r="D329" s="1">
        <v>43.8266</v>
      </c>
      <c r="E329" s="1">
        <v>44.759</v>
      </c>
      <c r="F329" s="1">
        <v>30455</v>
      </c>
      <c r="G329" s="1">
        <v>15.08</v>
      </c>
      <c r="H329" s="1">
        <v>1702104</v>
      </c>
      <c r="I329" s="1">
        <v>479640</v>
      </c>
      <c r="J329" s="1" t="s">
        <v>128</v>
      </c>
      <c r="K329" s="1" t="s">
        <v>749</v>
      </c>
    </row>
    <row r="330" s="1" customFormat="1" spans="1:11">
      <c r="A330" s="1" t="s">
        <v>750</v>
      </c>
      <c r="B330" s="1">
        <v>984.2512</v>
      </c>
      <c r="C330" s="1">
        <v>38.3657</v>
      </c>
      <c r="D330" s="1">
        <v>41.2077</v>
      </c>
      <c r="E330" s="1">
        <v>41.6644</v>
      </c>
      <c r="F330" s="1">
        <v>16312</v>
      </c>
      <c r="G330" s="1">
        <v>10.374</v>
      </c>
      <c r="H330" s="1">
        <v>1697956</v>
      </c>
      <c r="I330" s="1">
        <v>468036</v>
      </c>
      <c r="J330" s="1" t="s">
        <v>128</v>
      </c>
      <c r="K330" s="1" t="s">
        <v>751</v>
      </c>
    </row>
    <row r="331" s="1" customFormat="1" spans="1:11">
      <c r="A331" s="1" t="s">
        <v>752</v>
      </c>
      <c r="B331" s="1">
        <v>494.2512</v>
      </c>
      <c r="C331" s="1">
        <v>35.3281</v>
      </c>
      <c r="D331" s="1">
        <v>39.2275</v>
      </c>
      <c r="E331" s="1">
        <v>39.4944</v>
      </c>
      <c r="F331" s="1">
        <v>15037</v>
      </c>
      <c r="G331" s="1">
        <v>10.731</v>
      </c>
      <c r="H331" s="1">
        <v>1693984</v>
      </c>
      <c r="I331" s="1">
        <v>461572</v>
      </c>
      <c r="J331" s="1" t="s">
        <v>128</v>
      </c>
      <c r="K331" s="1" t="s">
        <v>753</v>
      </c>
    </row>
    <row r="332" s="1" customFormat="1" spans="1:11">
      <c r="A332" s="1" t="s">
        <v>754</v>
      </c>
      <c r="B332" s="1">
        <v>260.1888</v>
      </c>
      <c r="C332" s="1">
        <v>32.6573</v>
      </c>
      <c r="D332" s="1">
        <v>37.3276</v>
      </c>
      <c r="E332" s="1">
        <v>37.2761</v>
      </c>
      <c r="F332" s="1">
        <v>7938</v>
      </c>
      <c r="G332" s="1">
        <v>6.864</v>
      </c>
      <c r="H332" s="1">
        <v>1695024</v>
      </c>
      <c r="I332" s="1">
        <v>459156</v>
      </c>
      <c r="J332" s="1" t="s">
        <v>128</v>
      </c>
      <c r="K332" s="1" t="s">
        <v>755</v>
      </c>
    </row>
    <row r="333" s="1" customFormat="1" spans="1:11">
      <c r="A333" s="1" t="s">
        <v>756</v>
      </c>
      <c r="B333" s="1">
        <v>12353.5888</v>
      </c>
      <c r="C333" s="1">
        <v>43.111</v>
      </c>
      <c r="D333" s="1">
        <v>44.304</v>
      </c>
      <c r="E333" s="1">
        <v>44.7548</v>
      </c>
      <c r="F333" s="1">
        <v>99683</v>
      </c>
      <c r="G333" s="1">
        <v>67.234</v>
      </c>
      <c r="H333" s="1">
        <v>4105320</v>
      </c>
      <c r="I333" s="1">
        <v>874076</v>
      </c>
      <c r="J333" s="1" t="s">
        <v>128</v>
      </c>
      <c r="K333" s="1" t="s">
        <v>757</v>
      </c>
    </row>
    <row r="334" s="1" customFormat="1" spans="1:11">
      <c r="A334" s="1" t="s">
        <v>758</v>
      </c>
      <c r="B334" s="1">
        <v>4757.2576</v>
      </c>
      <c r="C334" s="1">
        <v>39.4908</v>
      </c>
      <c r="D334" s="1">
        <v>41.2915</v>
      </c>
      <c r="E334" s="1">
        <v>41.5179</v>
      </c>
      <c r="F334" s="1">
        <v>64108</v>
      </c>
      <c r="G334" s="1">
        <v>49.366</v>
      </c>
      <c r="H334" s="1">
        <v>4036732</v>
      </c>
      <c r="I334" s="1">
        <v>863568</v>
      </c>
      <c r="J334" s="1" t="s">
        <v>128</v>
      </c>
      <c r="K334" s="1" t="s">
        <v>759</v>
      </c>
    </row>
    <row r="335" s="1" customFormat="1" spans="1:11">
      <c r="A335" s="1" t="s">
        <v>760</v>
      </c>
      <c r="B335" s="1">
        <v>2076.3536</v>
      </c>
      <c r="C335" s="1">
        <v>36.4095</v>
      </c>
      <c r="D335" s="1">
        <v>39.1804</v>
      </c>
      <c r="E335" s="1">
        <v>39.2841</v>
      </c>
      <c r="F335" s="1">
        <v>47110</v>
      </c>
      <c r="G335" s="1">
        <v>37.584</v>
      </c>
      <c r="H335" s="1">
        <v>4041956</v>
      </c>
      <c r="I335" s="1">
        <v>832560</v>
      </c>
      <c r="J335" s="1" t="s">
        <v>128</v>
      </c>
      <c r="K335" s="1" t="s">
        <v>761</v>
      </c>
    </row>
    <row r="336" s="1" customFormat="1" spans="1:11">
      <c r="A336" s="1" t="s">
        <v>762</v>
      </c>
      <c r="B336" s="1">
        <v>1002.0048</v>
      </c>
      <c r="C336" s="1">
        <v>33.7106</v>
      </c>
      <c r="D336" s="1">
        <v>37.4106</v>
      </c>
      <c r="E336" s="1">
        <v>37.3695</v>
      </c>
      <c r="F336" s="1">
        <v>32254</v>
      </c>
      <c r="G336" s="1">
        <v>24.876</v>
      </c>
      <c r="H336" s="1">
        <v>4010456</v>
      </c>
      <c r="I336" s="1">
        <v>782564</v>
      </c>
      <c r="J336" s="1" t="s">
        <v>128</v>
      </c>
      <c r="K336" s="1" t="s">
        <v>763</v>
      </c>
    </row>
    <row r="337" s="1" customFormat="1" spans="1:11">
      <c r="A337" s="1" t="s">
        <v>764</v>
      </c>
      <c r="B337" s="1">
        <v>178.7248</v>
      </c>
      <c r="C337" s="1">
        <v>49.05</v>
      </c>
      <c r="D337" s="1">
        <v>48.1418</v>
      </c>
      <c r="E337" s="1">
        <v>48.3293</v>
      </c>
      <c r="F337" s="1">
        <v>4115</v>
      </c>
      <c r="G337" s="1">
        <v>1.771</v>
      </c>
      <c r="H337" s="1">
        <v>3387504</v>
      </c>
      <c r="I337" s="1">
        <v>528508</v>
      </c>
      <c r="J337" s="1" t="s">
        <v>128</v>
      </c>
      <c r="K337" s="1" t="s">
        <v>765</v>
      </c>
    </row>
    <row r="338" s="1" customFormat="1" spans="1:11">
      <c r="A338" s="1" t="s">
        <v>766</v>
      </c>
      <c r="B338" s="1">
        <v>135.4304</v>
      </c>
      <c r="C338" s="1">
        <v>45.1226</v>
      </c>
      <c r="D338" s="1">
        <v>45.7493</v>
      </c>
      <c r="E338" s="1">
        <v>45.3779</v>
      </c>
      <c r="F338" s="1">
        <v>3752</v>
      </c>
      <c r="G338" s="1">
        <v>1.536</v>
      </c>
      <c r="H338" s="1">
        <v>3382816</v>
      </c>
      <c r="I338" s="1">
        <v>523708</v>
      </c>
      <c r="J338" s="1" t="s">
        <v>128</v>
      </c>
      <c r="K338" s="1" t="s">
        <v>767</v>
      </c>
    </row>
    <row r="339" s="1" customFormat="1" spans="1:11">
      <c r="A339" s="1" t="s">
        <v>768</v>
      </c>
      <c r="B339" s="1">
        <v>106.7952</v>
      </c>
      <c r="C339" s="1">
        <v>40.7888</v>
      </c>
      <c r="D339" s="1">
        <v>43.3716</v>
      </c>
      <c r="E339" s="1">
        <v>42.9367</v>
      </c>
      <c r="F339" s="1">
        <v>3732</v>
      </c>
      <c r="G339" s="1">
        <v>1.574</v>
      </c>
      <c r="H339" s="1">
        <v>3401768</v>
      </c>
      <c r="I339" s="1">
        <v>522508</v>
      </c>
      <c r="J339" s="1" t="s">
        <v>128</v>
      </c>
      <c r="K339" s="1" t="s">
        <v>769</v>
      </c>
    </row>
    <row r="340" s="1" customFormat="1" spans="1:11">
      <c r="A340" s="1" t="s">
        <v>770</v>
      </c>
      <c r="B340" s="1">
        <v>82.6112</v>
      </c>
      <c r="C340" s="1">
        <v>35.981</v>
      </c>
      <c r="D340" s="1">
        <v>40.8455</v>
      </c>
      <c r="E340" s="1">
        <v>40.5341</v>
      </c>
      <c r="F340" s="1">
        <v>3592</v>
      </c>
      <c r="G340" s="1">
        <v>1.703</v>
      </c>
      <c r="H340" s="1">
        <v>3395148</v>
      </c>
      <c r="I340" s="1">
        <v>533400</v>
      </c>
      <c r="J340" s="1" t="s">
        <v>128</v>
      </c>
      <c r="K340" s="1" t="s">
        <v>771</v>
      </c>
    </row>
    <row r="341" s="1" customFormat="1" spans="1:11">
      <c r="A341" s="1" t="s">
        <v>772</v>
      </c>
      <c r="B341" s="1">
        <v>395.2848</v>
      </c>
      <c r="C341" s="1">
        <v>50.329</v>
      </c>
      <c r="D341" s="1">
        <v>52.4347</v>
      </c>
      <c r="E341" s="1">
        <v>54.3269</v>
      </c>
      <c r="F341" s="1">
        <v>5733</v>
      </c>
      <c r="G341" s="1">
        <v>5.281</v>
      </c>
      <c r="H341" s="1">
        <v>3192292</v>
      </c>
      <c r="I341" s="1">
        <v>520008</v>
      </c>
      <c r="J341" s="1" t="s">
        <v>128</v>
      </c>
      <c r="K341" s="1" t="s">
        <v>773</v>
      </c>
    </row>
    <row r="342" s="1" customFormat="1" spans="1:11">
      <c r="A342" s="1" t="s">
        <v>774</v>
      </c>
      <c r="B342" s="1">
        <v>183.8048</v>
      </c>
      <c r="C342" s="1">
        <v>46.3316</v>
      </c>
      <c r="D342" s="1">
        <v>49.4471</v>
      </c>
      <c r="E342" s="1">
        <v>51.4109</v>
      </c>
      <c r="F342" s="1">
        <v>4734</v>
      </c>
      <c r="G342" s="1">
        <v>4.903</v>
      </c>
      <c r="H342" s="1">
        <v>3189612</v>
      </c>
      <c r="I342" s="1">
        <v>507184</v>
      </c>
      <c r="J342" s="1" t="s">
        <v>128</v>
      </c>
      <c r="K342" s="1" t="s">
        <v>775</v>
      </c>
    </row>
    <row r="343" s="1" customFormat="1" spans="1:11">
      <c r="A343" s="1" t="s">
        <v>776</v>
      </c>
      <c r="B343" s="1">
        <v>104.944</v>
      </c>
      <c r="C343" s="1">
        <v>43.0168</v>
      </c>
      <c r="D343" s="1">
        <v>47.3749</v>
      </c>
      <c r="E343" s="1">
        <v>49.3846</v>
      </c>
      <c r="F343" s="1">
        <v>3739</v>
      </c>
      <c r="G343" s="1">
        <v>4.479</v>
      </c>
      <c r="H343" s="1">
        <v>3187880</v>
      </c>
      <c r="I343" s="1">
        <v>513276</v>
      </c>
      <c r="J343" s="1" t="s">
        <v>128</v>
      </c>
      <c r="K343" s="1" t="s">
        <v>777</v>
      </c>
    </row>
    <row r="344" s="1" customFormat="1" spans="1:11">
      <c r="A344" s="1" t="s">
        <v>778</v>
      </c>
      <c r="B344" s="1">
        <v>69.2896</v>
      </c>
      <c r="C344" s="1">
        <v>39.751</v>
      </c>
      <c r="D344" s="1">
        <v>44.9142</v>
      </c>
      <c r="E344" s="1">
        <v>46.89</v>
      </c>
      <c r="F344" s="1">
        <v>2951</v>
      </c>
      <c r="G344" s="1">
        <v>4.539</v>
      </c>
      <c r="H344" s="1">
        <v>3185996</v>
      </c>
      <c r="I344" s="1">
        <v>508856</v>
      </c>
      <c r="J344" s="1" t="s">
        <v>128</v>
      </c>
      <c r="K344" s="1" t="s">
        <v>779</v>
      </c>
    </row>
    <row r="345" s="1" customFormat="1" spans="1:11">
      <c r="A345" s="1" t="s">
        <v>780</v>
      </c>
      <c r="B345" s="1">
        <v>18694.4416</v>
      </c>
      <c r="C345" s="1">
        <v>45.7943</v>
      </c>
      <c r="D345" s="1">
        <v>44.9024</v>
      </c>
      <c r="E345" s="1">
        <v>45.0803</v>
      </c>
      <c r="F345" s="1">
        <v>105685</v>
      </c>
      <c r="G345" s="1">
        <v>70.413</v>
      </c>
      <c r="H345" s="1">
        <v>5691320</v>
      </c>
      <c r="I345" s="1">
        <v>848732</v>
      </c>
      <c r="J345" s="1" t="s">
        <v>128</v>
      </c>
      <c r="K345" s="1" t="s">
        <v>781</v>
      </c>
    </row>
    <row r="346" s="1" customFormat="1" spans="1:11">
      <c r="A346" s="1" t="s">
        <v>782</v>
      </c>
      <c r="B346" s="1">
        <v>9601.7616</v>
      </c>
      <c r="C346" s="1">
        <v>40.5218</v>
      </c>
      <c r="D346" s="1">
        <v>40.762</v>
      </c>
      <c r="E346" s="1">
        <v>41.1218</v>
      </c>
      <c r="F346" s="1">
        <v>137841</v>
      </c>
      <c r="G346" s="1">
        <v>98.828</v>
      </c>
      <c r="H346" s="1">
        <v>5665436</v>
      </c>
      <c r="I346" s="1">
        <v>805656</v>
      </c>
      <c r="J346" s="1" t="s">
        <v>128</v>
      </c>
      <c r="K346" s="1" t="s">
        <v>783</v>
      </c>
    </row>
    <row r="347" s="1" customFormat="1" spans="1:11">
      <c r="A347" s="1" t="s">
        <v>784</v>
      </c>
      <c r="B347" s="1">
        <v>5714.7408</v>
      </c>
      <c r="C347" s="1">
        <v>36.24</v>
      </c>
      <c r="D347" s="1">
        <v>38.4248</v>
      </c>
      <c r="E347" s="1">
        <v>38.9226</v>
      </c>
      <c r="F347" s="1">
        <v>75191</v>
      </c>
      <c r="G347" s="1">
        <v>59.677</v>
      </c>
      <c r="H347" s="1">
        <v>5639136</v>
      </c>
      <c r="I347" s="1">
        <v>854436</v>
      </c>
      <c r="J347" s="1" t="s">
        <v>128</v>
      </c>
      <c r="K347" s="1" t="s">
        <v>785</v>
      </c>
    </row>
    <row r="348" s="1" customFormat="1" spans="1:11">
      <c r="A348" s="1" t="s">
        <v>786</v>
      </c>
      <c r="B348" s="1">
        <v>3392.0224</v>
      </c>
      <c r="C348" s="1">
        <v>32.3285</v>
      </c>
      <c r="D348" s="1">
        <v>35.287</v>
      </c>
      <c r="E348" s="1">
        <v>35.9445</v>
      </c>
      <c r="F348" s="1">
        <v>59641</v>
      </c>
      <c r="G348" s="1">
        <v>54.866</v>
      </c>
      <c r="H348" s="1">
        <v>5639008</v>
      </c>
      <c r="I348" s="1">
        <v>817292</v>
      </c>
      <c r="J348" s="1" t="s">
        <v>128</v>
      </c>
      <c r="K348" s="1" t="s">
        <v>787</v>
      </c>
    </row>
    <row r="349" s="1" customFormat="1" spans="1:11">
      <c r="A349" s="1" t="s">
        <v>788</v>
      </c>
      <c r="B349" s="1">
        <v>778.8176</v>
      </c>
      <c r="C349" s="1">
        <v>54.4361</v>
      </c>
      <c r="D349" s="1">
        <v>49.3812</v>
      </c>
      <c r="E349" s="1">
        <v>49.5369</v>
      </c>
      <c r="F349" s="1">
        <v>19828</v>
      </c>
      <c r="G349" s="1">
        <v>26.008</v>
      </c>
      <c r="H349" s="1">
        <v>5606756</v>
      </c>
      <c r="I349" s="1">
        <v>836076</v>
      </c>
      <c r="J349" s="1" t="s">
        <v>128</v>
      </c>
      <c r="K349" s="1" t="s">
        <v>789</v>
      </c>
    </row>
    <row r="350" s="1" customFormat="1" spans="1:11">
      <c r="A350" s="1" t="s">
        <v>790</v>
      </c>
      <c r="B350" s="1">
        <v>635.0704</v>
      </c>
      <c r="C350" s="1">
        <v>49.4667</v>
      </c>
      <c r="D350" s="1">
        <v>46.4363</v>
      </c>
      <c r="E350" s="1">
        <v>46.486</v>
      </c>
      <c r="F350" s="1">
        <v>26412</v>
      </c>
      <c r="G350" s="1">
        <v>30.676</v>
      </c>
      <c r="H350" s="1">
        <v>5615408</v>
      </c>
      <c r="I350" s="1">
        <v>845760</v>
      </c>
      <c r="J350" s="1" t="s">
        <v>128</v>
      </c>
      <c r="K350" s="1" t="s">
        <v>791</v>
      </c>
    </row>
    <row r="351" s="1" customFormat="1" spans="1:11">
      <c r="A351" s="1" t="s">
        <v>792</v>
      </c>
      <c r="B351" s="1">
        <v>598.6032</v>
      </c>
      <c r="C351" s="1">
        <v>44.4722</v>
      </c>
      <c r="D351" s="1">
        <v>43.8657</v>
      </c>
      <c r="E351" s="1">
        <v>43.4773</v>
      </c>
      <c r="F351" s="1">
        <v>25347</v>
      </c>
      <c r="G351" s="1">
        <v>26.764</v>
      </c>
      <c r="H351" s="1">
        <v>5648644</v>
      </c>
      <c r="I351" s="1">
        <v>809740</v>
      </c>
      <c r="J351" s="1" t="s">
        <v>128</v>
      </c>
      <c r="K351" s="1" t="s">
        <v>793</v>
      </c>
    </row>
    <row r="352" s="1" customFormat="1" spans="1:11">
      <c r="A352" s="1" t="s">
        <v>794</v>
      </c>
      <c r="B352" s="1">
        <v>543.6784</v>
      </c>
      <c r="C352" s="1">
        <v>38.6752</v>
      </c>
      <c r="D352" s="1">
        <v>40.9447</v>
      </c>
      <c r="E352" s="1">
        <v>40.7133</v>
      </c>
      <c r="F352" s="1">
        <v>17247</v>
      </c>
      <c r="G352" s="1">
        <v>25.122</v>
      </c>
      <c r="H352" s="1">
        <v>5594644</v>
      </c>
      <c r="I352" s="1">
        <v>835972</v>
      </c>
      <c r="J352" s="1" t="s">
        <v>128</v>
      </c>
      <c r="K352" s="1" t="s">
        <v>795</v>
      </c>
    </row>
    <row r="353" s="1" customFormat="1" spans="1:11">
      <c r="A353" s="1" t="s">
        <v>796</v>
      </c>
      <c r="B353" s="1">
        <v>2831.2496</v>
      </c>
      <c r="C353" s="1">
        <v>53.1152</v>
      </c>
      <c r="D353" s="1">
        <v>50.9471</v>
      </c>
      <c r="E353" s="1">
        <v>49.5869</v>
      </c>
      <c r="F353" s="1">
        <v>34252</v>
      </c>
      <c r="G353" s="1">
        <v>24.139</v>
      </c>
      <c r="H353" s="1">
        <v>5490988</v>
      </c>
      <c r="I353" s="1">
        <v>858016</v>
      </c>
      <c r="J353" s="1" t="s">
        <v>128</v>
      </c>
      <c r="K353" s="1" t="s">
        <v>797</v>
      </c>
    </row>
    <row r="354" s="1" customFormat="1" spans="1:11">
      <c r="A354" s="1" t="s">
        <v>798</v>
      </c>
      <c r="B354" s="1">
        <v>2085.5072</v>
      </c>
      <c r="C354" s="1">
        <v>47.8738</v>
      </c>
      <c r="D354" s="1">
        <v>46.1634</v>
      </c>
      <c r="E354" s="1">
        <v>44.0114</v>
      </c>
      <c r="F354" s="1">
        <v>30682</v>
      </c>
      <c r="G354" s="1">
        <v>29.323</v>
      </c>
      <c r="H354" s="1">
        <v>5483412</v>
      </c>
      <c r="I354" s="1">
        <v>846756</v>
      </c>
      <c r="J354" s="1" t="s">
        <v>128</v>
      </c>
      <c r="K354" s="1" t="s">
        <v>799</v>
      </c>
    </row>
    <row r="355" s="1" customFormat="1" spans="1:11">
      <c r="A355" s="1" t="s">
        <v>800</v>
      </c>
      <c r="B355" s="1">
        <v>1601.8384</v>
      </c>
      <c r="C355" s="1">
        <v>42.5954</v>
      </c>
      <c r="D355" s="1">
        <v>42.9813</v>
      </c>
      <c r="E355" s="1">
        <v>40.3541</v>
      </c>
      <c r="F355" s="1">
        <v>30589</v>
      </c>
      <c r="G355" s="1">
        <v>33.368</v>
      </c>
      <c r="H355" s="1">
        <v>5467944</v>
      </c>
      <c r="I355" s="1">
        <v>838268</v>
      </c>
      <c r="J355" s="1" t="s">
        <v>128</v>
      </c>
      <c r="K355" s="1" t="s">
        <v>801</v>
      </c>
    </row>
    <row r="356" s="1" customFormat="1" spans="1:11">
      <c r="A356" s="1" t="s">
        <v>802</v>
      </c>
      <c r="B356" s="1">
        <v>1243.5008</v>
      </c>
      <c r="C356" s="1">
        <v>37.8472</v>
      </c>
      <c r="D356" s="1">
        <v>39.6228</v>
      </c>
      <c r="E356" s="1">
        <v>37.0366</v>
      </c>
      <c r="F356" s="1">
        <v>27901</v>
      </c>
      <c r="G356" s="1">
        <v>32.796</v>
      </c>
      <c r="H356" s="1">
        <v>5472980</v>
      </c>
      <c r="I356" s="1">
        <v>813300</v>
      </c>
      <c r="J356" s="1" t="s">
        <v>128</v>
      </c>
      <c r="K356" s="1" t="s">
        <v>803</v>
      </c>
    </row>
    <row r="357" s="1" customFormat="1" spans="1:11">
      <c r="A357" s="1" t="s">
        <v>804</v>
      </c>
      <c r="B357" s="1">
        <v>2136.1296</v>
      </c>
      <c r="C357" s="1">
        <v>48.1498</v>
      </c>
      <c r="D357" s="1">
        <v>47.6349</v>
      </c>
      <c r="E357" s="1">
        <v>47.6649</v>
      </c>
      <c r="F357" s="1">
        <v>26453</v>
      </c>
      <c r="G357" s="1">
        <v>11.967</v>
      </c>
      <c r="H357" s="1">
        <v>5812520</v>
      </c>
      <c r="I357" s="1">
        <v>910056</v>
      </c>
      <c r="J357" s="1" t="s">
        <v>128</v>
      </c>
      <c r="K357" s="1" t="s">
        <v>805</v>
      </c>
    </row>
    <row r="358" s="1" customFormat="1" spans="1:11">
      <c r="A358" s="1" t="s">
        <v>806</v>
      </c>
      <c r="B358" s="1">
        <v>1508.3456</v>
      </c>
      <c r="C358" s="1">
        <v>43.443</v>
      </c>
      <c r="D358" s="1">
        <v>44.4308</v>
      </c>
      <c r="E358" s="1">
        <v>44.2378</v>
      </c>
      <c r="F358" s="1">
        <v>35088</v>
      </c>
      <c r="G358" s="1">
        <v>15.817</v>
      </c>
      <c r="H358" s="1">
        <v>5773752</v>
      </c>
      <c r="I358" s="1">
        <v>888452</v>
      </c>
      <c r="J358" s="1" t="s">
        <v>128</v>
      </c>
      <c r="K358" s="1" t="s">
        <v>807</v>
      </c>
    </row>
    <row r="359" s="1" customFormat="1" spans="1:11">
      <c r="A359" s="1" t="s">
        <v>808</v>
      </c>
      <c r="B359" s="1">
        <v>1067.3632</v>
      </c>
      <c r="C359" s="1">
        <v>38.7187</v>
      </c>
      <c r="D359" s="1">
        <v>41.6998</v>
      </c>
      <c r="E359" s="1">
        <v>41.4708</v>
      </c>
      <c r="F359" s="1">
        <v>32750</v>
      </c>
      <c r="G359" s="1">
        <v>15.558</v>
      </c>
      <c r="H359" s="1">
        <v>5793436</v>
      </c>
      <c r="I359" s="1">
        <v>891264</v>
      </c>
      <c r="J359" s="1" t="s">
        <v>128</v>
      </c>
      <c r="K359" s="1" t="s">
        <v>809</v>
      </c>
    </row>
    <row r="360" s="1" customFormat="1" spans="1:11">
      <c r="A360" s="1" t="s">
        <v>810</v>
      </c>
      <c r="B360" s="1">
        <v>754.7376</v>
      </c>
      <c r="C360" s="1">
        <v>33.9798</v>
      </c>
      <c r="D360" s="1">
        <v>38.8367</v>
      </c>
      <c r="E360" s="1">
        <v>38.3186</v>
      </c>
      <c r="F360" s="1">
        <v>21394</v>
      </c>
      <c r="G360" s="1">
        <v>12.094</v>
      </c>
      <c r="H360" s="1">
        <v>5793244</v>
      </c>
      <c r="I360" s="1">
        <v>864512</v>
      </c>
      <c r="J360" s="1" t="s">
        <v>128</v>
      </c>
      <c r="K360" s="1" t="s">
        <v>811</v>
      </c>
    </row>
    <row r="361" s="1" customFormat="1" spans="1:1">
      <c r="A361" s="1" t="s">
        <v>812</v>
      </c>
    </row>
    <row r="362" s="1" customFormat="1" spans="1:1">
      <c r="A362" s="1" t="s">
        <v>813</v>
      </c>
    </row>
    <row r="363" s="1" customFormat="1" spans="1:1">
      <c r="A363" s="1" t="s">
        <v>814</v>
      </c>
    </row>
    <row r="364" s="1" customFormat="1" spans="1:1">
      <c r="A364" s="1" t="s">
        <v>815</v>
      </c>
    </row>
    <row r="365" s="1" customFormat="1" spans="1:1">
      <c r="A365" s="1" t="s">
        <v>816</v>
      </c>
    </row>
    <row r="366" s="1" customFormat="1" spans="1:1">
      <c r="A366" s="1" t="s">
        <v>817</v>
      </c>
    </row>
    <row r="367" s="1" customFormat="1" spans="1:1">
      <c r="A367" s="1" t="s">
        <v>818</v>
      </c>
    </row>
    <row r="368" s="1" customFormat="1" spans="1:1">
      <c r="A368" s="1" t="s">
        <v>819</v>
      </c>
    </row>
    <row r="369" s="1" customFormat="1" spans="1:1">
      <c r="A369" s="1" t="s">
        <v>820</v>
      </c>
    </row>
    <row r="370" s="1" customFormat="1" spans="1:1">
      <c r="A370" s="1" t="s">
        <v>821</v>
      </c>
    </row>
    <row r="371" s="1" customFormat="1" spans="1:1">
      <c r="A371" s="1" t="s">
        <v>822</v>
      </c>
    </row>
    <row r="372" s="1" customFormat="1" spans="1:1">
      <c r="A372" s="1" t="s">
        <v>823</v>
      </c>
    </row>
    <row r="373" s="1" customFormat="1" spans="1:1">
      <c r="A373" s="1" t="s">
        <v>824</v>
      </c>
    </row>
    <row r="374" s="1" customFormat="1" spans="1:1">
      <c r="A374" s="1" t="s">
        <v>825</v>
      </c>
    </row>
    <row r="375" s="1" customFormat="1" spans="1:1">
      <c r="A375" s="1" t="s">
        <v>826</v>
      </c>
    </row>
    <row r="376" s="1" customFormat="1" spans="1:1">
      <c r="A376" s="1" t="s">
        <v>827</v>
      </c>
    </row>
    <row r="377" s="1" customFormat="1" spans="1:1">
      <c r="A377" s="1" t="s">
        <v>828</v>
      </c>
    </row>
    <row r="378" s="1" customFormat="1" spans="1:1">
      <c r="A378" s="1" t="s">
        <v>829</v>
      </c>
    </row>
    <row r="379" s="1" customFormat="1" spans="1:1">
      <c r="A379" s="1" t="s">
        <v>830</v>
      </c>
    </row>
    <row r="380" s="1" customFormat="1" spans="1:1">
      <c r="A380" s="1" t="s">
        <v>831</v>
      </c>
    </row>
    <row r="381" s="1" customFormat="1" spans="1:1">
      <c r="A381" s="1" t="s">
        <v>832</v>
      </c>
    </row>
    <row r="382" s="1" customFormat="1" spans="1:1">
      <c r="A382" s="1" t="s">
        <v>833</v>
      </c>
    </row>
    <row r="383" s="1" customFormat="1" spans="1:1">
      <c r="A383" s="1" t="s">
        <v>834</v>
      </c>
    </row>
    <row r="384" s="1" customFormat="1" spans="1:1">
      <c r="A384" s="1" t="s">
        <v>835</v>
      </c>
    </row>
    <row r="385" s="1" customFormat="1" spans="1:11">
      <c r="A385" s="1" t="s">
        <v>836</v>
      </c>
      <c r="B385" s="1">
        <v>11212.4496</v>
      </c>
      <c r="C385" s="1">
        <v>40.7221</v>
      </c>
      <c r="D385" s="1">
        <v>44.4532</v>
      </c>
      <c r="E385" s="1">
        <v>45.0657</v>
      </c>
      <c r="F385" s="1">
        <v>86338</v>
      </c>
      <c r="G385" s="1">
        <v>72.707</v>
      </c>
      <c r="H385" s="1">
        <v>3865508</v>
      </c>
      <c r="I385" s="1">
        <v>703304</v>
      </c>
      <c r="J385" s="1" t="s">
        <v>128</v>
      </c>
      <c r="K385" s="1" t="s">
        <v>837</v>
      </c>
    </row>
    <row r="386" s="1" customFormat="1" spans="1:11">
      <c r="A386" s="1" t="s">
        <v>838</v>
      </c>
      <c r="B386" s="1">
        <v>3206.8848</v>
      </c>
      <c r="C386" s="1">
        <v>38.9199</v>
      </c>
      <c r="D386" s="1">
        <v>43.1302</v>
      </c>
      <c r="E386" s="1">
        <v>43.5069</v>
      </c>
      <c r="F386" s="1">
        <v>40205</v>
      </c>
      <c r="G386" s="1">
        <v>60.903</v>
      </c>
      <c r="H386" s="1">
        <v>3849372</v>
      </c>
      <c r="I386" s="1">
        <v>736568</v>
      </c>
      <c r="J386" s="1" t="s">
        <v>128</v>
      </c>
      <c r="K386" s="1" t="s">
        <v>839</v>
      </c>
    </row>
    <row r="387" s="1" customFormat="1" spans="1:11">
      <c r="A387" s="1" t="s">
        <v>840</v>
      </c>
      <c r="B387" s="1">
        <v>1414.4176</v>
      </c>
      <c r="C387" s="1">
        <v>36.9758</v>
      </c>
      <c r="D387" s="1">
        <v>42.0313</v>
      </c>
      <c r="E387" s="1">
        <v>42.0993</v>
      </c>
      <c r="F387" s="1">
        <v>27017</v>
      </c>
      <c r="G387" s="1">
        <v>52.028</v>
      </c>
      <c r="H387" s="1">
        <v>4074788</v>
      </c>
      <c r="I387" s="1">
        <v>715828</v>
      </c>
      <c r="J387" s="1" t="s">
        <v>128</v>
      </c>
      <c r="K387" s="1" t="s">
        <v>841</v>
      </c>
    </row>
    <row r="388" s="1" customFormat="1" spans="1:11">
      <c r="A388" s="1" t="s">
        <v>842</v>
      </c>
      <c r="B388" s="1">
        <v>678.2512</v>
      </c>
      <c r="C388" s="1">
        <v>34.8654</v>
      </c>
      <c r="D388" s="1">
        <v>40.9048</v>
      </c>
      <c r="E388" s="1">
        <v>41.0431</v>
      </c>
      <c r="F388" s="1">
        <v>14902</v>
      </c>
      <c r="G388" s="1">
        <v>28.727</v>
      </c>
      <c r="H388" s="1">
        <v>3012804</v>
      </c>
      <c r="I388" s="1">
        <v>567868</v>
      </c>
      <c r="J388" s="1" t="s">
        <v>128</v>
      </c>
      <c r="K388" s="1" t="s">
        <v>843</v>
      </c>
    </row>
    <row r="389" s="1" customFormat="1" spans="1:11">
      <c r="A389" s="1" t="s">
        <v>844</v>
      </c>
      <c r="B389" s="1">
        <v>7979.184</v>
      </c>
      <c r="C389" s="1">
        <v>44.9493</v>
      </c>
      <c r="D389" s="1">
        <v>48.162</v>
      </c>
      <c r="E389" s="1">
        <v>48.6939</v>
      </c>
      <c r="F389" s="1">
        <v>50302</v>
      </c>
      <c r="G389" s="1">
        <v>65.922</v>
      </c>
      <c r="H389" s="1">
        <v>3789320</v>
      </c>
      <c r="I389" s="1">
        <v>684976</v>
      </c>
      <c r="J389" s="1" t="s">
        <v>128</v>
      </c>
      <c r="K389" s="1" t="s">
        <v>845</v>
      </c>
    </row>
    <row r="390" s="1" customFormat="1" spans="1:11">
      <c r="A390" s="1" t="s">
        <v>846</v>
      </c>
      <c r="B390" s="1">
        <v>3822.3408</v>
      </c>
      <c r="C390" s="1">
        <v>41.6249</v>
      </c>
      <c r="D390" s="1">
        <v>45.4581</v>
      </c>
      <c r="E390" s="1">
        <v>45.4741</v>
      </c>
      <c r="F390" s="1">
        <v>36800</v>
      </c>
      <c r="G390" s="1">
        <v>53.811</v>
      </c>
      <c r="H390" s="1">
        <v>3792632</v>
      </c>
      <c r="I390" s="1">
        <v>710168</v>
      </c>
      <c r="J390" s="1" t="s">
        <v>128</v>
      </c>
      <c r="K390" s="1" t="s">
        <v>847</v>
      </c>
    </row>
    <row r="391" s="1" customFormat="1" spans="1:11">
      <c r="A391" s="1" t="s">
        <v>848</v>
      </c>
      <c r="B391" s="1">
        <v>1971.1664</v>
      </c>
      <c r="C391" s="1">
        <v>38.3821</v>
      </c>
      <c r="D391" s="1">
        <v>43.7473</v>
      </c>
      <c r="E391" s="1">
        <v>43.5358</v>
      </c>
      <c r="F391" s="1">
        <v>25740</v>
      </c>
      <c r="G391" s="1">
        <v>38.476</v>
      </c>
      <c r="H391" s="1">
        <v>3717276</v>
      </c>
      <c r="I391" s="1">
        <v>694504</v>
      </c>
      <c r="J391" s="1" t="s">
        <v>128</v>
      </c>
      <c r="K391" s="1" t="s">
        <v>849</v>
      </c>
    </row>
    <row r="392" s="1" customFormat="1" spans="1:11">
      <c r="A392" s="1" t="s">
        <v>850</v>
      </c>
      <c r="B392" s="1">
        <v>1071.568</v>
      </c>
      <c r="C392" s="1">
        <v>35.6486</v>
      </c>
      <c r="D392" s="1">
        <v>42.3239</v>
      </c>
      <c r="E392" s="1">
        <v>42.0506</v>
      </c>
      <c r="F392" s="1">
        <v>16841</v>
      </c>
      <c r="G392" s="1">
        <v>22.836</v>
      </c>
      <c r="H392" s="1">
        <v>3561148</v>
      </c>
      <c r="I392" s="1">
        <v>677140</v>
      </c>
      <c r="J392" s="1" t="s">
        <v>128</v>
      </c>
      <c r="K392" s="1" t="s">
        <v>851</v>
      </c>
    </row>
    <row r="393" s="1" customFormat="1" spans="1:11">
      <c r="A393" s="1" t="s">
        <v>852</v>
      </c>
      <c r="B393" s="1">
        <v>12524.9104</v>
      </c>
      <c r="C393" s="1">
        <v>38.7191</v>
      </c>
      <c r="D393" s="1">
        <v>40.175</v>
      </c>
      <c r="E393" s="1">
        <v>43.8269</v>
      </c>
      <c r="F393" s="1">
        <v>60205</v>
      </c>
      <c r="G393" s="1">
        <v>54.628</v>
      </c>
      <c r="H393" s="1">
        <v>3785552</v>
      </c>
      <c r="I393" s="1">
        <v>732008</v>
      </c>
      <c r="J393" s="1" t="s">
        <v>128</v>
      </c>
      <c r="K393" s="1" t="s">
        <v>853</v>
      </c>
    </row>
    <row r="394" s="1" customFormat="1" spans="1:11">
      <c r="A394" s="1" t="s">
        <v>854</v>
      </c>
      <c r="B394" s="1">
        <v>3318.5296</v>
      </c>
      <c r="C394" s="1">
        <v>36.8552</v>
      </c>
      <c r="D394" s="1">
        <v>39.2508</v>
      </c>
      <c r="E394" s="1">
        <v>41.819</v>
      </c>
      <c r="F394" s="1">
        <v>33407</v>
      </c>
      <c r="G394" s="1">
        <v>36.853</v>
      </c>
      <c r="H394" s="1">
        <v>3765008</v>
      </c>
      <c r="I394" s="1">
        <v>706720</v>
      </c>
      <c r="J394" s="1" t="s">
        <v>128</v>
      </c>
      <c r="K394" s="1" t="s">
        <v>855</v>
      </c>
    </row>
    <row r="395" s="1" customFormat="1" spans="1:11">
      <c r="A395" s="1" t="s">
        <v>856</v>
      </c>
      <c r="B395" s="1">
        <v>1495.576</v>
      </c>
      <c r="C395" s="1">
        <v>34.8669</v>
      </c>
      <c r="D395" s="1">
        <v>38.415</v>
      </c>
      <c r="E395" s="1">
        <v>40.1007</v>
      </c>
      <c r="F395" s="1">
        <v>23603</v>
      </c>
      <c r="G395" s="1">
        <v>31.249</v>
      </c>
      <c r="H395" s="1">
        <v>3752128</v>
      </c>
      <c r="I395" s="1">
        <v>686924</v>
      </c>
      <c r="J395" s="1" t="s">
        <v>128</v>
      </c>
      <c r="K395" s="1" t="s">
        <v>857</v>
      </c>
    </row>
    <row r="396" s="1" customFormat="1" spans="1:11">
      <c r="A396" s="1" t="s">
        <v>858</v>
      </c>
      <c r="B396" s="1">
        <v>732.3808</v>
      </c>
      <c r="C396" s="1">
        <v>32.7028</v>
      </c>
      <c r="D396" s="1">
        <v>37.386</v>
      </c>
      <c r="E396" s="1">
        <v>38.4773</v>
      </c>
      <c r="F396" s="1">
        <v>17431</v>
      </c>
      <c r="G396" s="1">
        <v>24.593</v>
      </c>
      <c r="H396" s="1">
        <v>3744192</v>
      </c>
      <c r="I396" s="1">
        <v>646760</v>
      </c>
      <c r="J396" s="1" t="s">
        <v>128</v>
      </c>
      <c r="K396" s="1" t="s">
        <v>859</v>
      </c>
    </row>
    <row r="397" s="1" customFormat="1" spans="1:11">
      <c r="A397" s="1" t="s">
        <v>860</v>
      </c>
      <c r="B397" s="1">
        <v>15164.4144</v>
      </c>
      <c r="C397" s="1">
        <v>39.6766</v>
      </c>
      <c r="D397" s="1">
        <v>44.3176</v>
      </c>
      <c r="E397" s="1">
        <v>45.7191</v>
      </c>
      <c r="F397" s="1">
        <v>131733</v>
      </c>
      <c r="G397" s="1">
        <v>92.172</v>
      </c>
      <c r="H397" s="1">
        <v>4085692</v>
      </c>
      <c r="I397" s="1">
        <v>684752</v>
      </c>
      <c r="J397" s="1" t="s">
        <v>128</v>
      </c>
      <c r="K397" s="1" t="s">
        <v>861</v>
      </c>
    </row>
    <row r="398" s="1" customFormat="1" spans="1:11">
      <c r="A398" s="1" t="s">
        <v>862</v>
      </c>
      <c r="B398" s="1">
        <v>4439.0048</v>
      </c>
      <c r="C398" s="1">
        <v>37.8349</v>
      </c>
      <c r="D398" s="1">
        <v>42.6612</v>
      </c>
      <c r="E398" s="1">
        <v>43.0286</v>
      </c>
      <c r="F398" s="1">
        <v>71816</v>
      </c>
      <c r="G398" s="1">
        <v>77.052</v>
      </c>
      <c r="H398" s="1">
        <v>3966492</v>
      </c>
      <c r="I398" s="1">
        <v>720864</v>
      </c>
      <c r="J398" s="1" t="s">
        <v>128</v>
      </c>
      <c r="K398" s="1" t="s">
        <v>863</v>
      </c>
    </row>
    <row r="399" s="1" customFormat="1" spans="1:11">
      <c r="A399" s="1" t="s">
        <v>864</v>
      </c>
      <c r="B399" s="1">
        <v>2088.112</v>
      </c>
      <c r="C399" s="1">
        <v>36.0324</v>
      </c>
      <c r="D399" s="1">
        <v>41.4718</v>
      </c>
      <c r="E399" s="1">
        <v>41.3265</v>
      </c>
      <c r="F399" s="1">
        <v>49106</v>
      </c>
      <c r="G399" s="1">
        <v>69.316</v>
      </c>
      <c r="H399" s="1">
        <v>3891284</v>
      </c>
      <c r="I399" s="1">
        <v>670024</v>
      </c>
      <c r="J399" s="1" t="s">
        <v>128</v>
      </c>
      <c r="K399" s="1" t="s">
        <v>865</v>
      </c>
    </row>
    <row r="400" s="1" customFormat="1" spans="1:11">
      <c r="A400" s="1" t="s">
        <v>866</v>
      </c>
      <c r="B400" s="1">
        <v>1074.312</v>
      </c>
      <c r="C400" s="1">
        <v>34.079</v>
      </c>
      <c r="D400" s="1">
        <v>40.1904</v>
      </c>
      <c r="E400" s="1">
        <v>39.4614</v>
      </c>
      <c r="F400" s="1">
        <v>35367</v>
      </c>
      <c r="G400" s="1">
        <v>58.713</v>
      </c>
      <c r="H400" s="1">
        <v>3977764</v>
      </c>
      <c r="I400" s="1">
        <v>668524</v>
      </c>
      <c r="J400" s="1" t="s">
        <v>128</v>
      </c>
      <c r="K400" s="1" t="s">
        <v>867</v>
      </c>
    </row>
    <row r="401" s="1" customFormat="1" spans="1:11">
      <c r="A401" s="1" t="s">
        <v>868</v>
      </c>
      <c r="B401" s="1">
        <v>38549.4912</v>
      </c>
      <c r="C401" s="1">
        <v>38.5661</v>
      </c>
      <c r="D401" s="1">
        <v>42.8844</v>
      </c>
      <c r="E401" s="1">
        <v>45.3144</v>
      </c>
      <c r="F401" s="1">
        <v>157808</v>
      </c>
      <c r="G401" s="1">
        <v>118.802</v>
      </c>
      <c r="H401" s="1">
        <v>3950740</v>
      </c>
      <c r="I401" s="1">
        <v>763992</v>
      </c>
      <c r="J401" s="1" t="s">
        <v>128</v>
      </c>
      <c r="K401" s="1" t="s">
        <v>869</v>
      </c>
    </row>
    <row r="402" s="1" customFormat="1" spans="1:11">
      <c r="A402" s="1" t="s">
        <v>870</v>
      </c>
      <c r="B402" s="1">
        <v>4208.0128</v>
      </c>
      <c r="C402" s="1">
        <v>35.8618</v>
      </c>
      <c r="D402" s="1">
        <v>41.8068</v>
      </c>
      <c r="E402" s="1">
        <v>44.2919</v>
      </c>
      <c r="F402" s="1">
        <v>63070</v>
      </c>
      <c r="G402" s="1">
        <v>68.249</v>
      </c>
      <c r="H402" s="1">
        <v>3904900</v>
      </c>
      <c r="I402" s="1">
        <v>747624</v>
      </c>
      <c r="J402" s="1" t="s">
        <v>128</v>
      </c>
      <c r="K402" s="1" t="s">
        <v>871</v>
      </c>
    </row>
    <row r="403" s="1" customFormat="1" spans="1:11">
      <c r="A403" s="1" t="s">
        <v>872</v>
      </c>
      <c r="B403" s="1">
        <v>1337.416</v>
      </c>
      <c r="C403" s="1">
        <v>34.3439</v>
      </c>
      <c r="D403" s="1">
        <v>40.6525</v>
      </c>
      <c r="E403" s="1">
        <v>43.1321</v>
      </c>
      <c r="F403" s="1">
        <v>37714</v>
      </c>
      <c r="G403" s="1">
        <v>58.357</v>
      </c>
      <c r="H403" s="1">
        <v>3977272</v>
      </c>
      <c r="I403" s="1">
        <v>697676</v>
      </c>
      <c r="J403" s="1" t="s">
        <v>128</v>
      </c>
      <c r="K403" s="1" t="s">
        <v>873</v>
      </c>
    </row>
    <row r="404" s="1" customFormat="1" spans="1:11">
      <c r="A404" s="1" t="s">
        <v>874</v>
      </c>
      <c r="B404" s="1">
        <v>534.3968</v>
      </c>
      <c r="C404" s="1">
        <v>32.6348</v>
      </c>
      <c r="D404" s="1">
        <v>39.6322</v>
      </c>
      <c r="E404" s="1">
        <v>42.1081</v>
      </c>
      <c r="F404" s="1">
        <v>26647</v>
      </c>
      <c r="G404" s="1">
        <v>48.737</v>
      </c>
      <c r="H404" s="1">
        <v>3904100</v>
      </c>
      <c r="I404" s="1">
        <v>696184</v>
      </c>
      <c r="J404" s="1" t="s">
        <v>128</v>
      </c>
      <c r="K404" s="1" t="s">
        <v>875</v>
      </c>
    </row>
    <row r="405" s="1" customFormat="1" spans="1:11">
      <c r="A405" s="1" t="s">
        <v>876</v>
      </c>
      <c r="B405" s="1">
        <v>2530.2896</v>
      </c>
      <c r="C405" s="1">
        <v>41.5125</v>
      </c>
      <c r="D405" s="1">
        <v>43.8574</v>
      </c>
      <c r="E405" s="1">
        <v>44.9125</v>
      </c>
      <c r="F405" s="1">
        <v>17026</v>
      </c>
      <c r="G405" s="1">
        <v>16.305</v>
      </c>
      <c r="H405" s="1">
        <v>1540712</v>
      </c>
      <c r="I405" s="1">
        <v>437168</v>
      </c>
      <c r="J405" s="1" t="s">
        <v>128</v>
      </c>
      <c r="K405" s="1" t="s">
        <v>877</v>
      </c>
    </row>
    <row r="406" s="1" customFormat="1" spans="1:11">
      <c r="A406" s="1" t="s">
        <v>878</v>
      </c>
      <c r="B406" s="1">
        <v>1095.6016</v>
      </c>
      <c r="C406" s="1">
        <v>38.3913</v>
      </c>
      <c r="D406" s="1">
        <v>41.204</v>
      </c>
      <c r="E406" s="1">
        <v>41.7047</v>
      </c>
      <c r="F406" s="1">
        <v>12474</v>
      </c>
      <c r="G406" s="1">
        <v>13.573</v>
      </c>
      <c r="H406" s="1">
        <v>1534016</v>
      </c>
      <c r="I406" s="1">
        <v>430748</v>
      </c>
      <c r="J406" s="1" t="s">
        <v>128</v>
      </c>
      <c r="K406" s="1" t="s">
        <v>879</v>
      </c>
    </row>
    <row r="407" s="1" customFormat="1" spans="1:11">
      <c r="A407" s="1" t="s">
        <v>880</v>
      </c>
      <c r="B407" s="1">
        <v>533.4016</v>
      </c>
      <c r="C407" s="1">
        <v>35.4229</v>
      </c>
      <c r="D407" s="1">
        <v>39.404</v>
      </c>
      <c r="E407" s="1">
        <v>39.6479</v>
      </c>
      <c r="F407" s="1">
        <v>9661</v>
      </c>
      <c r="G407" s="1">
        <v>10.732</v>
      </c>
      <c r="H407" s="1">
        <v>1531696</v>
      </c>
      <c r="I407" s="1">
        <v>425076</v>
      </c>
      <c r="J407" s="1" t="s">
        <v>128</v>
      </c>
      <c r="K407" s="1" t="s">
        <v>881</v>
      </c>
    </row>
    <row r="408" s="1" customFormat="1" spans="1:11">
      <c r="A408" s="1" t="s">
        <v>882</v>
      </c>
      <c r="B408" s="1">
        <v>274.7504</v>
      </c>
      <c r="C408" s="1">
        <v>32.8651</v>
      </c>
      <c r="D408" s="1">
        <v>37.6234</v>
      </c>
      <c r="E408" s="1">
        <v>37.5044</v>
      </c>
      <c r="F408" s="1">
        <v>7540</v>
      </c>
      <c r="G408" s="1">
        <v>9.226</v>
      </c>
      <c r="H408" s="1">
        <v>1526608</v>
      </c>
      <c r="I408" s="1">
        <v>420612</v>
      </c>
      <c r="J408" s="1" t="s">
        <v>128</v>
      </c>
      <c r="K408" s="1" t="s">
        <v>883</v>
      </c>
    </row>
    <row r="409" s="1" customFormat="1" spans="1:11">
      <c r="A409" s="1" t="s">
        <v>884</v>
      </c>
      <c r="B409" s="1">
        <v>3209.4528</v>
      </c>
      <c r="C409" s="1">
        <v>40.1422</v>
      </c>
      <c r="D409" s="1">
        <v>43.4263</v>
      </c>
      <c r="E409" s="1">
        <v>44.5034</v>
      </c>
      <c r="F409" s="1">
        <v>20871</v>
      </c>
      <c r="G409" s="1">
        <v>18.623</v>
      </c>
      <c r="H409" s="1">
        <v>1539380</v>
      </c>
      <c r="I409" s="1">
        <v>451956</v>
      </c>
      <c r="J409" s="1" t="s">
        <v>128</v>
      </c>
      <c r="K409" s="1" t="s">
        <v>885</v>
      </c>
    </row>
    <row r="410" s="1" customFormat="1" spans="1:11">
      <c r="A410" s="1" t="s">
        <v>886</v>
      </c>
      <c r="B410" s="1">
        <v>1279.4976</v>
      </c>
      <c r="C410" s="1">
        <v>37.2097</v>
      </c>
      <c r="D410" s="1">
        <v>41.2177</v>
      </c>
      <c r="E410" s="1">
        <v>41.6189</v>
      </c>
      <c r="F410" s="1">
        <v>14229</v>
      </c>
      <c r="G410" s="1">
        <v>14.354</v>
      </c>
      <c r="H410" s="1">
        <v>1535868</v>
      </c>
      <c r="I410" s="1">
        <v>440708</v>
      </c>
      <c r="J410" s="1" t="s">
        <v>128</v>
      </c>
      <c r="K410" s="1" t="s">
        <v>887</v>
      </c>
    </row>
    <row r="411" s="1" customFormat="1" spans="1:11">
      <c r="A411" s="1" t="s">
        <v>888</v>
      </c>
      <c r="B411" s="1">
        <v>605.1152</v>
      </c>
      <c r="C411" s="1">
        <v>34.3533</v>
      </c>
      <c r="D411" s="1">
        <v>39.4011</v>
      </c>
      <c r="E411" s="1">
        <v>39.6318</v>
      </c>
      <c r="F411" s="1">
        <v>10629</v>
      </c>
      <c r="G411" s="1">
        <v>11.289</v>
      </c>
      <c r="H411" s="1">
        <v>1545432</v>
      </c>
      <c r="I411" s="1">
        <v>436860</v>
      </c>
      <c r="J411" s="1" t="s">
        <v>128</v>
      </c>
      <c r="K411" s="1" t="s">
        <v>889</v>
      </c>
    </row>
    <row r="412" s="1" customFormat="1" spans="1:11">
      <c r="A412" s="1" t="s">
        <v>890</v>
      </c>
      <c r="B412" s="1">
        <v>308.5056</v>
      </c>
      <c r="C412" s="1">
        <v>31.6266</v>
      </c>
      <c r="D412" s="1">
        <v>37.968</v>
      </c>
      <c r="E412" s="1">
        <v>37.8891</v>
      </c>
      <c r="F412" s="1">
        <v>8298</v>
      </c>
      <c r="G412" s="1">
        <v>9.11</v>
      </c>
      <c r="H412" s="1">
        <v>1529360</v>
      </c>
      <c r="I412" s="1">
        <v>433616</v>
      </c>
      <c r="J412" s="1" t="s">
        <v>128</v>
      </c>
      <c r="K412" s="1" t="s">
        <v>891</v>
      </c>
    </row>
    <row r="413" s="1" customFormat="1" spans="1:11">
      <c r="A413" s="1" t="s">
        <v>892</v>
      </c>
      <c r="B413" s="1">
        <v>7216.9344</v>
      </c>
      <c r="C413" s="1">
        <v>38.5498</v>
      </c>
      <c r="D413" s="1">
        <v>41.0784</v>
      </c>
      <c r="E413" s="1">
        <v>41.7818</v>
      </c>
      <c r="F413" s="1">
        <v>24847</v>
      </c>
      <c r="G413" s="1">
        <v>23.276</v>
      </c>
      <c r="H413" s="1">
        <v>1547340</v>
      </c>
      <c r="I413" s="1">
        <v>438760</v>
      </c>
      <c r="J413" s="1" t="s">
        <v>128</v>
      </c>
      <c r="K413" s="1" t="s">
        <v>893</v>
      </c>
    </row>
    <row r="414" s="1" customFormat="1" spans="1:11">
      <c r="A414" s="1" t="s">
        <v>894</v>
      </c>
      <c r="B414" s="1">
        <v>2788.8848</v>
      </c>
      <c r="C414" s="1">
        <v>34.5572</v>
      </c>
      <c r="D414" s="1">
        <v>38.0845</v>
      </c>
      <c r="E414" s="1">
        <v>38.553</v>
      </c>
      <c r="F414" s="1">
        <v>17260</v>
      </c>
      <c r="G414" s="1">
        <v>18.614</v>
      </c>
      <c r="H414" s="1">
        <v>1544704</v>
      </c>
      <c r="I414" s="1">
        <v>437588</v>
      </c>
      <c r="J414" s="1" t="s">
        <v>128</v>
      </c>
      <c r="K414" s="1" t="s">
        <v>895</v>
      </c>
    </row>
    <row r="415" s="1" customFormat="1" spans="1:11">
      <c r="A415" s="1" t="s">
        <v>896</v>
      </c>
      <c r="B415" s="1">
        <v>1230.7136</v>
      </c>
      <c r="C415" s="1">
        <v>31.1623</v>
      </c>
      <c r="D415" s="1">
        <v>36.2249</v>
      </c>
      <c r="E415" s="1">
        <v>36.5584</v>
      </c>
      <c r="F415" s="1">
        <v>13290</v>
      </c>
      <c r="G415" s="1">
        <v>15.192</v>
      </c>
      <c r="H415" s="1">
        <v>1540420</v>
      </c>
      <c r="I415" s="1">
        <v>431072</v>
      </c>
      <c r="J415" s="1" t="s">
        <v>128</v>
      </c>
      <c r="K415" s="1" t="s">
        <v>897</v>
      </c>
    </row>
    <row r="416" s="1" customFormat="1" spans="1:11">
      <c r="A416" s="1" t="s">
        <v>898</v>
      </c>
      <c r="B416" s="1">
        <v>559.8208</v>
      </c>
      <c r="C416" s="1">
        <v>28.1832</v>
      </c>
      <c r="D416" s="1">
        <v>34.7681</v>
      </c>
      <c r="E416" s="1">
        <v>34.9645</v>
      </c>
      <c r="F416" s="1">
        <v>10063</v>
      </c>
      <c r="G416" s="1">
        <v>12.634</v>
      </c>
      <c r="H416" s="1">
        <v>1535492</v>
      </c>
      <c r="I416" s="1">
        <v>423380</v>
      </c>
      <c r="J416" s="1" t="s">
        <v>128</v>
      </c>
      <c r="K416" s="1" t="s">
        <v>899</v>
      </c>
    </row>
    <row r="417" s="1" customFormat="1" spans="1:11">
      <c r="A417" s="1" t="s">
        <v>900</v>
      </c>
      <c r="B417" s="1">
        <v>6233.464</v>
      </c>
      <c r="C417" s="1">
        <v>39.6891</v>
      </c>
      <c r="D417" s="1">
        <v>40.4263</v>
      </c>
      <c r="E417" s="1">
        <v>42.1163</v>
      </c>
      <c r="F417" s="1">
        <v>19659</v>
      </c>
      <c r="G417" s="1">
        <v>15.804</v>
      </c>
      <c r="H417" s="1">
        <v>1537684</v>
      </c>
      <c r="I417" s="1">
        <v>397108</v>
      </c>
      <c r="J417" s="1" t="s">
        <v>128</v>
      </c>
      <c r="K417" s="1" t="s">
        <v>901</v>
      </c>
    </row>
    <row r="418" s="1" customFormat="1" spans="1:11">
      <c r="A418" s="1" t="s">
        <v>902</v>
      </c>
      <c r="B418" s="1">
        <v>1912.6672</v>
      </c>
      <c r="C418" s="1">
        <v>34.9335</v>
      </c>
      <c r="D418" s="1">
        <v>37.3902</v>
      </c>
      <c r="E418" s="1">
        <v>39.4097</v>
      </c>
      <c r="F418" s="1">
        <v>13028</v>
      </c>
      <c r="G418" s="1">
        <v>12.453</v>
      </c>
      <c r="H418" s="1">
        <v>1536388</v>
      </c>
      <c r="I418" s="1">
        <v>395948</v>
      </c>
      <c r="J418" s="1" t="s">
        <v>128</v>
      </c>
      <c r="K418" s="1" t="s">
        <v>903</v>
      </c>
    </row>
    <row r="419" s="1" customFormat="1" spans="1:11">
      <c r="A419" s="1" t="s">
        <v>904</v>
      </c>
      <c r="B419" s="1">
        <v>763.064</v>
      </c>
      <c r="C419" s="1">
        <v>31.5822</v>
      </c>
      <c r="D419" s="1">
        <v>36.0259</v>
      </c>
      <c r="E419" s="1">
        <v>38.0209</v>
      </c>
      <c r="F419" s="1">
        <v>9587</v>
      </c>
      <c r="G419" s="1">
        <v>9.859</v>
      </c>
      <c r="H419" s="1">
        <v>1531572</v>
      </c>
      <c r="I419" s="1">
        <v>392248</v>
      </c>
      <c r="J419" s="1" t="s">
        <v>128</v>
      </c>
      <c r="K419" s="1" t="s">
        <v>905</v>
      </c>
    </row>
    <row r="420" s="1" customFormat="1" spans="1:11">
      <c r="A420" s="1" t="s">
        <v>906</v>
      </c>
      <c r="B420" s="1">
        <v>327.008</v>
      </c>
      <c r="C420" s="1">
        <v>28.7446</v>
      </c>
      <c r="D420" s="1">
        <v>34.9722</v>
      </c>
      <c r="E420" s="1">
        <v>36.5257</v>
      </c>
      <c r="F420" s="1">
        <v>6983</v>
      </c>
      <c r="G420" s="1">
        <v>8.085</v>
      </c>
      <c r="H420" s="1">
        <v>1528940</v>
      </c>
      <c r="I420" s="1">
        <v>393192</v>
      </c>
      <c r="J420" s="1" t="s">
        <v>128</v>
      </c>
      <c r="K420" s="1" t="s">
        <v>907</v>
      </c>
    </row>
    <row r="421" s="1" customFormat="1" spans="1:11">
      <c r="A421" s="1" t="s">
        <v>908</v>
      </c>
      <c r="B421" s="1">
        <v>1133.4048</v>
      </c>
      <c r="C421" s="1">
        <v>41.3474</v>
      </c>
      <c r="D421" s="1">
        <v>43.9172</v>
      </c>
      <c r="E421" s="1">
        <v>43.4961</v>
      </c>
      <c r="F421" s="1">
        <v>4273</v>
      </c>
      <c r="G421" s="1">
        <v>4.456</v>
      </c>
      <c r="H421" s="1">
        <v>1105396</v>
      </c>
      <c r="I421" s="1">
        <v>361432</v>
      </c>
      <c r="J421" s="1" t="s">
        <v>128</v>
      </c>
      <c r="K421" s="1" t="s">
        <v>909</v>
      </c>
    </row>
    <row r="422" s="1" customFormat="1" spans="1:11">
      <c r="A422" s="1" t="s">
        <v>910</v>
      </c>
      <c r="B422" s="1">
        <v>500.6304</v>
      </c>
      <c r="C422" s="1">
        <v>37.2176</v>
      </c>
      <c r="D422" s="1">
        <v>40.7046</v>
      </c>
      <c r="E422" s="1">
        <v>39.5851</v>
      </c>
      <c r="F422" s="1">
        <v>3517</v>
      </c>
      <c r="G422" s="1">
        <v>3.766</v>
      </c>
      <c r="H422" s="1">
        <v>1104268</v>
      </c>
      <c r="I422" s="1">
        <v>359596</v>
      </c>
      <c r="J422" s="1" t="s">
        <v>128</v>
      </c>
      <c r="K422" s="1" t="s">
        <v>911</v>
      </c>
    </row>
    <row r="423" s="1" customFormat="1" spans="1:11">
      <c r="A423" s="1" t="s">
        <v>912</v>
      </c>
      <c r="B423" s="1">
        <v>237.3216</v>
      </c>
      <c r="C423" s="1">
        <v>33.7416</v>
      </c>
      <c r="D423" s="1">
        <v>38.5559</v>
      </c>
      <c r="E423" s="1">
        <v>37.362</v>
      </c>
      <c r="F423" s="1">
        <v>2814</v>
      </c>
      <c r="G423" s="1">
        <v>3.066</v>
      </c>
      <c r="H423" s="1">
        <v>1103432</v>
      </c>
      <c r="I423" s="1">
        <v>358732</v>
      </c>
      <c r="J423" s="1" t="s">
        <v>128</v>
      </c>
      <c r="K423" s="1" t="s">
        <v>913</v>
      </c>
    </row>
    <row r="424" s="1" customFormat="1" spans="1:11">
      <c r="A424" s="1" t="s">
        <v>914</v>
      </c>
      <c r="B424" s="1">
        <v>119.4912</v>
      </c>
      <c r="C424" s="1">
        <v>30.854</v>
      </c>
      <c r="D424" s="1">
        <v>36.9977</v>
      </c>
      <c r="E424" s="1">
        <v>35.4958</v>
      </c>
      <c r="F424" s="1">
        <v>2193</v>
      </c>
      <c r="G424" s="1">
        <v>2.563</v>
      </c>
      <c r="H424" s="1">
        <v>1102796</v>
      </c>
      <c r="I424" s="1">
        <v>357696</v>
      </c>
      <c r="J424" s="1" t="s">
        <v>128</v>
      </c>
      <c r="K424" s="1" t="s">
        <v>915</v>
      </c>
    </row>
    <row r="425" s="1" customFormat="1" spans="1:11">
      <c r="A425" s="1" t="s">
        <v>916</v>
      </c>
      <c r="B425" s="1">
        <v>1667.296</v>
      </c>
      <c r="C425" s="1">
        <v>39.0718</v>
      </c>
      <c r="D425" s="1">
        <v>43.4219</v>
      </c>
      <c r="E425" s="1">
        <v>44.4358</v>
      </c>
      <c r="F425" s="1">
        <v>5212</v>
      </c>
      <c r="G425" s="1">
        <v>6.598</v>
      </c>
      <c r="H425" s="1">
        <v>1112240</v>
      </c>
      <c r="I425" s="1">
        <v>373916</v>
      </c>
      <c r="J425" s="1" t="s">
        <v>128</v>
      </c>
      <c r="K425" s="1" t="s">
        <v>917</v>
      </c>
    </row>
    <row r="426" s="1" customFormat="1" spans="1:11">
      <c r="A426" s="1" t="s">
        <v>918</v>
      </c>
      <c r="B426" s="1">
        <v>512.4688</v>
      </c>
      <c r="C426" s="1">
        <v>35.1419</v>
      </c>
      <c r="D426" s="1">
        <v>41.3103</v>
      </c>
      <c r="E426" s="1">
        <v>42.1831</v>
      </c>
      <c r="F426" s="1">
        <v>3471</v>
      </c>
      <c r="G426" s="1">
        <v>5.298</v>
      </c>
      <c r="H426" s="1">
        <v>1112300</v>
      </c>
      <c r="I426" s="1">
        <v>373056</v>
      </c>
      <c r="J426" s="1" t="s">
        <v>128</v>
      </c>
      <c r="K426" s="1" t="s">
        <v>919</v>
      </c>
    </row>
    <row r="427" s="1" customFormat="1" spans="1:11">
      <c r="A427" s="1" t="s">
        <v>920</v>
      </c>
      <c r="B427" s="1">
        <v>208.1632</v>
      </c>
      <c r="C427" s="1">
        <v>31.9327</v>
      </c>
      <c r="D427" s="1">
        <v>39.3132</v>
      </c>
      <c r="E427" s="1">
        <v>40.0908</v>
      </c>
      <c r="F427" s="1">
        <v>2463</v>
      </c>
      <c r="G427" s="1">
        <v>4.507</v>
      </c>
      <c r="H427" s="1">
        <v>1112076</v>
      </c>
      <c r="I427" s="1">
        <v>372352</v>
      </c>
      <c r="J427" s="1" t="s">
        <v>128</v>
      </c>
      <c r="K427" s="1" t="s">
        <v>921</v>
      </c>
    </row>
    <row r="428" s="1" customFormat="1" spans="1:11">
      <c r="A428" s="1" t="s">
        <v>922</v>
      </c>
      <c r="B428" s="1">
        <v>97.92</v>
      </c>
      <c r="C428" s="1">
        <v>29.0399</v>
      </c>
      <c r="D428" s="1">
        <v>37.92</v>
      </c>
      <c r="E428" s="1">
        <v>38.3425</v>
      </c>
      <c r="F428" s="1">
        <v>1808</v>
      </c>
      <c r="G428" s="1">
        <v>3.882</v>
      </c>
      <c r="H428" s="1">
        <v>1110424</v>
      </c>
      <c r="I428" s="1">
        <v>371284</v>
      </c>
      <c r="J428" s="1" t="s">
        <v>128</v>
      </c>
      <c r="K428" s="1" t="s">
        <v>923</v>
      </c>
    </row>
    <row r="429" s="1" customFormat="1" spans="1:11">
      <c r="A429" s="1" t="s">
        <v>924</v>
      </c>
      <c r="B429" s="1">
        <v>1390.3088</v>
      </c>
      <c r="C429" s="1">
        <v>38.5011</v>
      </c>
      <c r="D429" s="1">
        <v>40.9909</v>
      </c>
      <c r="E429" s="1">
        <v>41.907</v>
      </c>
      <c r="F429" s="1">
        <v>5472</v>
      </c>
      <c r="G429" s="1">
        <v>5.33</v>
      </c>
      <c r="H429" s="1">
        <v>1110064</v>
      </c>
      <c r="I429" s="1">
        <v>361124</v>
      </c>
      <c r="J429" s="1" t="s">
        <v>128</v>
      </c>
      <c r="K429" s="1" t="s">
        <v>925</v>
      </c>
    </row>
    <row r="430" s="1" customFormat="1" spans="1:11">
      <c r="A430" s="1" t="s">
        <v>926</v>
      </c>
      <c r="B430" s="1">
        <v>531.2608</v>
      </c>
      <c r="C430" s="1">
        <v>34.7452</v>
      </c>
      <c r="D430" s="1">
        <v>38.0178</v>
      </c>
      <c r="E430" s="1">
        <v>38.8199</v>
      </c>
      <c r="F430" s="1">
        <v>3778</v>
      </c>
      <c r="G430" s="1">
        <v>4.086</v>
      </c>
      <c r="H430" s="1">
        <v>1106836</v>
      </c>
      <c r="I430" s="1">
        <v>360472</v>
      </c>
      <c r="J430" s="1" t="s">
        <v>128</v>
      </c>
      <c r="K430" s="1" t="s">
        <v>927</v>
      </c>
    </row>
    <row r="431" s="1" customFormat="1" spans="1:11">
      <c r="A431" s="1" t="s">
        <v>928</v>
      </c>
      <c r="B431" s="1">
        <v>238.7488</v>
      </c>
      <c r="C431" s="1">
        <v>31.5931</v>
      </c>
      <c r="D431" s="1">
        <v>35.98</v>
      </c>
      <c r="E431" s="1">
        <v>36.6241</v>
      </c>
      <c r="F431" s="1">
        <v>2733</v>
      </c>
      <c r="G431" s="1">
        <v>2.785</v>
      </c>
      <c r="H431" s="1">
        <v>1105268</v>
      </c>
      <c r="I431" s="1">
        <v>359076</v>
      </c>
      <c r="J431" s="1" t="s">
        <v>128</v>
      </c>
      <c r="K431" s="1" t="s">
        <v>929</v>
      </c>
    </row>
    <row r="432" s="1" customFormat="1" spans="1:11">
      <c r="A432" s="1" t="s">
        <v>930</v>
      </c>
      <c r="B432" s="1">
        <v>110.7376</v>
      </c>
      <c r="C432" s="1">
        <v>28.8114</v>
      </c>
      <c r="D432" s="1">
        <v>34.5605</v>
      </c>
      <c r="E432" s="1">
        <v>35.1623</v>
      </c>
      <c r="F432" s="1">
        <v>2106</v>
      </c>
      <c r="G432" s="1">
        <v>1.945</v>
      </c>
      <c r="H432" s="1">
        <v>1103776</v>
      </c>
      <c r="I432" s="1">
        <v>358956</v>
      </c>
      <c r="J432" s="1" t="s">
        <v>128</v>
      </c>
      <c r="K432" s="1" t="s">
        <v>931</v>
      </c>
    </row>
    <row r="433" s="1" customFormat="1" spans="1:11">
      <c r="A433" s="1" t="s">
        <v>932</v>
      </c>
      <c r="B433" s="1">
        <v>1025.5424</v>
      </c>
      <c r="C433" s="1">
        <v>39.2981</v>
      </c>
      <c r="D433" s="1">
        <v>40.481</v>
      </c>
      <c r="E433" s="1">
        <v>41.8494</v>
      </c>
      <c r="F433" s="1">
        <v>4089</v>
      </c>
      <c r="G433" s="1">
        <v>3.461</v>
      </c>
      <c r="H433" s="1">
        <v>1105716</v>
      </c>
      <c r="I433" s="1">
        <v>333672</v>
      </c>
      <c r="J433" s="1" t="s">
        <v>128</v>
      </c>
      <c r="K433" s="1" t="s">
        <v>933</v>
      </c>
    </row>
    <row r="434" s="1" customFormat="1" spans="1:11">
      <c r="A434" s="1" t="s">
        <v>934</v>
      </c>
      <c r="B434" s="1">
        <v>434.5744</v>
      </c>
      <c r="C434" s="1">
        <v>34.7752</v>
      </c>
      <c r="D434" s="1">
        <v>37.5286</v>
      </c>
      <c r="E434" s="1">
        <v>38.5636</v>
      </c>
      <c r="F434" s="1">
        <v>3151</v>
      </c>
      <c r="G434" s="1">
        <v>2.921</v>
      </c>
      <c r="H434" s="1">
        <v>1104292</v>
      </c>
      <c r="I434" s="1">
        <v>333444</v>
      </c>
      <c r="J434" s="1" t="s">
        <v>128</v>
      </c>
      <c r="K434" s="1" t="s">
        <v>935</v>
      </c>
    </row>
    <row r="435" s="1" customFormat="1" spans="1:11">
      <c r="A435" s="1" t="s">
        <v>936</v>
      </c>
      <c r="B435" s="1">
        <v>192.9088</v>
      </c>
      <c r="C435" s="1">
        <v>31.1109</v>
      </c>
      <c r="D435" s="1">
        <v>35.9412</v>
      </c>
      <c r="E435" s="1">
        <v>36.691</v>
      </c>
      <c r="F435" s="1">
        <v>2348</v>
      </c>
      <c r="G435" s="1">
        <v>2.485</v>
      </c>
      <c r="H435" s="1">
        <v>1104004</v>
      </c>
      <c r="I435" s="1">
        <v>332532</v>
      </c>
      <c r="J435" s="1" t="s">
        <v>128</v>
      </c>
      <c r="K435" s="1" t="s">
        <v>937</v>
      </c>
    </row>
    <row r="436" s="1" customFormat="1" spans="1:11">
      <c r="A436" s="1" t="s">
        <v>938</v>
      </c>
      <c r="B436" s="1">
        <v>91.3344</v>
      </c>
      <c r="C436" s="1">
        <v>28.5474</v>
      </c>
      <c r="D436" s="1">
        <v>34.4499</v>
      </c>
      <c r="E436" s="1">
        <v>34.8772</v>
      </c>
      <c r="F436" s="1">
        <v>1686</v>
      </c>
      <c r="G436" s="1">
        <v>2.068</v>
      </c>
      <c r="H436" s="1">
        <v>1103312</v>
      </c>
      <c r="I436" s="1">
        <v>331704</v>
      </c>
      <c r="J436" s="1" t="s">
        <v>128</v>
      </c>
      <c r="K436" s="1" t="s">
        <v>939</v>
      </c>
    </row>
    <row r="437" s="1" customFormat="1" spans="1:11">
      <c r="A437" s="1" t="s">
        <v>940</v>
      </c>
      <c r="B437" s="1">
        <v>1924.52</v>
      </c>
      <c r="C437" s="1">
        <v>42.9847</v>
      </c>
      <c r="D437" s="1">
        <v>47.2162</v>
      </c>
      <c r="E437" s="1">
        <v>48.4685</v>
      </c>
      <c r="F437" s="1">
        <v>22406</v>
      </c>
      <c r="G437" s="1">
        <v>26.443</v>
      </c>
      <c r="H437" s="1">
        <v>2210332</v>
      </c>
      <c r="I437" s="1">
        <v>508460</v>
      </c>
      <c r="J437" s="1" t="s">
        <v>128</v>
      </c>
      <c r="K437" s="1" t="s">
        <v>941</v>
      </c>
    </row>
    <row r="438" s="1" customFormat="1" spans="1:11">
      <c r="A438" s="1" t="s">
        <v>942</v>
      </c>
      <c r="B438" s="1">
        <v>704.3968</v>
      </c>
      <c r="C438" s="1">
        <v>40.872</v>
      </c>
      <c r="D438" s="1">
        <v>45.4615</v>
      </c>
      <c r="E438" s="1">
        <v>46.4813</v>
      </c>
      <c r="F438" s="1">
        <v>15207</v>
      </c>
      <c r="G438" s="1">
        <v>16.418</v>
      </c>
      <c r="H438" s="1">
        <v>2209768</v>
      </c>
      <c r="I438" s="1">
        <v>504756</v>
      </c>
      <c r="J438" s="1" t="s">
        <v>128</v>
      </c>
      <c r="K438" s="1" t="s">
        <v>943</v>
      </c>
    </row>
    <row r="439" s="1" customFormat="1" spans="1:11">
      <c r="A439" s="1" t="s">
        <v>944</v>
      </c>
      <c r="B439" s="1">
        <v>353.3504</v>
      </c>
      <c r="C439" s="1">
        <v>38.4564</v>
      </c>
      <c r="D439" s="1">
        <v>43.5661</v>
      </c>
      <c r="E439" s="1">
        <v>44.3387</v>
      </c>
      <c r="F439" s="1">
        <v>11691</v>
      </c>
      <c r="G439" s="1">
        <v>12.164</v>
      </c>
      <c r="H439" s="1">
        <v>2203488</v>
      </c>
      <c r="I439" s="1">
        <v>498668</v>
      </c>
      <c r="J439" s="1" t="s">
        <v>128</v>
      </c>
      <c r="K439" s="1" t="s">
        <v>945</v>
      </c>
    </row>
    <row r="440" s="1" customFormat="1" spans="1:11">
      <c r="A440" s="1" t="s">
        <v>946</v>
      </c>
      <c r="B440" s="1">
        <v>191.864</v>
      </c>
      <c r="C440" s="1">
        <v>35.762</v>
      </c>
      <c r="D440" s="1">
        <v>41.936</v>
      </c>
      <c r="E440" s="1">
        <v>42.6676</v>
      </c>
      <c r="F440" s="1">
        <v>9898</v>
      </c>
      <c r="G440" s="1">
        <v>8.4</v>
      </c>
      <c r="H440" s="1">
        <v>2196408</v>
      </c>
      <c r="I440" s="1">
        <v>496828</v>
      </c>
      <c r="J440" s="1" t="s">
        <v>128</v>
      </c>
      <c r="K440" s="1" t="s">
        <v>947</v>
      </c>
    </row>
    <row r="441" s="1" customFormat="1" spans="1:11">
      <c r="A441" s="1" t="s">
        <v>948</v>
      </c>
      <c r="B441" s="1">
        <v>1406.2288</v>
      </c>
      <c r="C441" s="1">
        <v>43.2251</v>
      </c>
      <c r="D441" s="1">
        <v>48.6875</v>
      </c>
      <c r="E441" s="1">
        <v>49.3039</v>
      </c>
      <c r="F441" s="1">
        <v>21593</v>
      </c>
      <c r="G441" s="1">
        <v>21.342</v>
      </c>
      <c r="H441" s="1">
        <v>2200956</v>
      </c>
      <c r="I441" s="1">
        <v>499064</v>
      </c>
      <c r="J441" s="1" t="s">
        <v>128</v>
      </c>
      <c r="K441" s="1" t="s">
        <v>949</v>
      </c>
    </row>
    <row r="442" s="1" customFormat="1" spans="1:11">
      <c r="A442" s="1" t="s">
        <v>950</v>
      </c>
      <c r="B442" s="1">
        <v>369.7408</v>
      </c>
      <c r="C442" s="1">
        <v>41.705</v>
      </c>
      <c r="D442" s="1">
        <v>47.4439</v>
      </c>
      <c r="E442" s="1">
        <v>47.9041</v>
      </c>
      <c r="F442" s="1">
        <v>12989</v>
      </c>
      <c r="G442" s="1">
        <v>13.925</v>
      </c>
      <c r="H442" s="1">
        <v>2197052</v>
      </c>
      <c r="I442" s="1">
        <v>494488</v>
      </c>
      <c r="J442" s="1" t="s">
        <v>128</v>
      </c>
      <c r="K442" s="1" t="s">
        <v>951</v>
      </c>
    </row>
    <row r="443" s="1" customFormat="1" spans="1:11">
      <c r="A443" s="1" t="s">
        <v>952</v>
      </c>
      <c r="B443" s="1">
        <v>167.9568</v>
      </c>
      <c r="C443" s="1">
        <v>39.9165</v>
      </c>
      <c r="D443" s="1">
        <v>45.7243</v>
      </c>
      <c r="E443" s="1">
        <v>46.0956</v>
      </c>
      <c r="F443" s="1">
        <v>9916</v>
      </c>
      <c r="G443" s="1">
        <v>9.642</v>
      </c>
      <c r="H443" s="1">
        <v>2194016</v>
      </c>
      <c r="I443" s="1">
        <v>491800</v>
      </c>
      <c r="J443" s="1" t="s">
        <v>128</v>
      </c>
      <c r="K443" s="1" t="s">
        <v>953</v>
      </c>
    </row>
    <row r="444" s="1" customFormat="1" spans="1:11">
      <c r="A444" s="1" t="s">
        <v>954</v>
      </c>
      <c r="B444" s="1">
        <v>92.1056</v>
      </c>
      <c r="C444" s="1">
        <v>37.7695</v>
      </c>
      <c r="D444" s="1">
        <v>44.1901</v>
      </c>
      <c r="E444" s="1">
        <v>44.4702</v>
      </c>
      <c r="F444" s="1">
        <v>8232</v>
      </c>
      <c r="G444" s="1">
        <v>7.86</v>
      </c>
      <c r="H444" s="1">
        <v>2191784</v>
      </c>
      <c r="I444" s="1">
        <v>490460</v>
      </c>
      <c r="J444" s="1" t="s">
        <v>128</v>
      </c>
      <c r="K444" s="1" t="s">
        <v>955</v>
      </c>
    </row>
    <row r="445" s="1" customFormat="1" spans="1:11">
      <c r="A445" s="1" t="s">
        <v>956</v>
      </c>
      <c r="B445" s="1">
        <v>1552.7456</v>
      </c>
      <c r="C445" s="1">
        <v>43.7237</v>
      </c>
      <c r="D445" s="1">
        <v>47.9729</v>
      </c>
      <c r="E445" s="1">
        <v>48.9429</v>
      </c>
      <c r="F445" s="1">
        <v>23768</v>
      </c>
      <c r="G445" s="1">
        <v>27.248</v>
      </c>
      <c r="H445" s="1">
        <v>2206952</v>
      </c>
      <c r="I445" s="1">
        <v>504528</v>
      </c>
      <c r="J445" s="1" t="s">
        <v>128</v>
      </c>
      <c r="K445" s="1" t="s">
        <v>957</v>
      </c>
    </row>
    <row r="446" s="1" customFormat="1" spans="1:11">
      <c r="A446" s="1" t="s">
        <v>958</v>
      </c>
      <c r="B446" s="1">
        <v>522.5472</v>
      </c>
      <c r="C446" s="1">
        <v>41.8167</v>
      </c>
      <c r="D446" s="1">
        <v>46.4154</v>
      </c>
      <c r="E446" s="1">
        <v>47.1906</v>
      </c>
      <c r="F446" s="1">
        <v>14986</v>
      </c>
      <c r="G446" s="1">
        <v>17.957</v>
      </c>
      <c r="H446" s="1">
        <v>2200048</v>
      </c>
      <c r="I446" s="1">
        <v>497616</v>
      </c>
      <c r="J446" s="1" t="s">
        <v>128</v>
      </c>
      <c r="K446" s="1" t="s">
        <v>959</v>
      </c>
    </row>
    <row r="447" s="1" customFormat="1" spans="1:11">
      <c r="A447" s="1" t="s">
        <v>960</v>
      </c>
      <c r="B447" s="1">
        <v>241.2736</v>
      </c>
      <c r="C447" s="1">
        <v>39.6174</v>
      </c>
      <c r="D447" s="1">
        <v>44.6741</v>
      </c>
      <c r="E447" s="1">
        <v>45.2622</v>
      </c>
      <c r="F447" s="1">
        <v>11258</v>
      </c>
      <c r="G447" s="1">
        <v>13.159</v>
      </c>
      <c r="H447" s="1">
        <v>2195768</v>
      </c>
      <c r="I447" s="1">
        <v>495360</v>
      </c>
      <c r="J447" s="1" t="s">
        <v>128</v>
      </c>
      <c r="K447" s="1" t="s">
        <v>961</v>
      </c>
    </row>
    <row r="448" s="1" customFormat="1" spans="1:11">
      <c r="A448" s="1" t="s">
        <v>962</v>
      </c>
      <c r="B448" s="1">
        <v>127.336</v>
      </c>
      <c r="C448" s="1">
        <v>37.2112</v>
      </c>
      <c r="D448" s="1">
        <v>42.9692</v>
      </c>
      <c r="E448" s="1">
        <v>43.5923</v>
      </c>
      <c r="F448" s="1">
        <v>9046</v>
      </c>
      <c r="G448" s="1">
        <v>9.488</v>
      </c>
      <c r="H448" s="1">
        <v>2194888</v>
      </c>
      <c r="I448" s="1">
        <v>493632</v>
      </c>
      <c r="J448" s="1" t="s">
        <v>128</v>
      </c>
      <c r="K448" s="1" t="s">
        <v>963</v>
      </c>
    </row>
    <row r="449" s="1" customFormat="1" spans="1:11">
      <c r="A449" s="1" t="s">
        <v>964</v>
      </c>
      <c r="B449" s="1">
        <v>2498.6864</v>
      </c>
      <c r="C449" s="1">
        <v>41.5615</v>
      </c>
      <c r="D449" s="1">
        <v>43.8623</v>
      </c>
      <c r="E449" s="1">
        <v>44.8334</v>
      </c>
      <c r="F449" s="1">
        <v>23979</v>
      </c>
      <c r="G449" s="1">
        <v>17.08</v>
      </c>
      <c r="H449" s="1">
        <v>1652068</v>
      </c>
      <c r="I449" s="1">
        <v>435212</v>
      </c>
      <c r="J449" s="1" t="s">
        <v>128</v>
      </c>
      <c r="K449" s="1" t="s">
        <v>965</v>
      </c>
    </row>
    <row r="450" s="1" customFormat="1" spans="1:11">
      <c r="A450" s="1" t="s">
        <v>966</v>
      </c>
      <c r="B450" s="1">
        <v>1080.3184</v>
      </c>
      <c r="C450" s="1">
        <v>38.3096</v>
      </c>
      <c r="D450" s="1">
        <v>41.0482</v>
      </c>
      <c r="E450" s="1">
        <v>41.4818</v>
      </c>
      <c r="F450" s="1">
        <v>16624</v>
      </c>
      <c r="G450" s="1">
        <v>12.375</v>
      </c>
      <c r="H450" s="1">
        <v>1648112</v>
      </c>
      <c r="I450" s="1">
        <v>427740</v>
      </c>
      <c r="J450" s="1" t="s">
        <v>128</v>
      </c>
      <c r="K450" s="1" t="s">
        <v>967</v>
      </c>
    </row>
    <row r="451" s="1" customFormat="1" spans="1:11">
      <c r="A451" s="1" t="s">
        <v>968</v>
      </c>
      <c r="B451" s="1">
        <v>532.1632</v>
      </c>
      <c r="C451" s="1">
        <v>35.2879</v>
      </c>
      <c r="D451" s="1">
        <v>39.083</v>
      </c>
      <c r="E451" s="1">
        <v>39.2991</v>
      </c>
      <c r="F451" s="1">
        <v>11852</v>
      </c>
      <c r="G451" s="1">
        <v>10.578</v>
      </c>
      <c r="H451" s="1">
        <v>1643224</v>
      </c>
      <c r="I451" s="1">
        <v>425604</v>
      </c>
      <c r="J451" s="1" t="s">
        <v>128</v>
      </c>
      <c r="K451" s="1" t="s">
        <v>969</v>
      </c>
    </row>
    <row r="452" s="1" customFormat="1" spans="1:11">
      <c r="A452" s="1" t="s">
        <v>970</v>
      </c>
      <c r="B452" s="1">
        <v>277.9024</v>
      </c>
      <c r="C452" s="1">
        <v>32.6398</v>
      </c>
      <c r="D452" s="1">
        <v>37.1821</v>
      </c>
      <c r="E452" s="1">
        <v>37.2155</v>
      </c>
      <c r="F452" s="1">
        <v>8620</v>
      </c>
      <c r="G452" s="1">
        <v>9.071</v>
      </c>
      <c r="H452" s="1">
        <v>1640676</v>
      </c>
      <c r="I452" s="1">
        <v>420960</v>
      </c>
      <c r="J452" s="1" t="s">
        <v>128</v>
      </c>
      <c r="K452" s="1" t="s">
        <v>971</v>
      </c>
    </row>
    <row r="453" s="1" customFormat="1" spans="1:11">
      <c r="A453" s="1" t="s">
        <v>972</v>
      </c>
      <c r="B453" s="1">
        <v>13777.9712</v>
      </c>
      <c r="C453" s="1">
        <v>43.2045</v>
      </c>
      <c r="D453" s="1">
        <v>44.3614</v>
      </c>
      <c r="E453" s="1">
        <v>44.8388</v>
      </c>
      <c r="F453" s="1">
        <v>120916</v>
      </c>
      <c r="G453" s="1">
        <v>98.781</v>
      </c>
      <c r="H453" s="1">
        <v>3911292</v>
      </c>
      <c r="I453" s="1">
        <v>775264</v>
      </c>
      <c r="J453" s="1" t="s">
        <v>128</v>
      </c>
      <c r="K453" s="1" t="s">
        <v>973</v>
      </c>
    </row>
    <row r="454" s="1" customFormat="1" spans="1:11">
      <c r="A454" s="1" t="s">
        <v>974</v>
      </c>
      <c r="B454" s="1">
        <v>5124.9664</v>
      </c>
      <c r="C454" s="1">
        <v>39.5299</v>
      </c>
      <c r="D454" s="1">
        <v>41.1643</v>
      </c>
      <c r="E454" s="1">
        <v>41.3973</v>
      </c>
      <c r="F454" s="1">
        <v>76988</v>
      </c>
      <c r="G454" s="1">
        <v>77.797</v>
      </c>
      <c r="H454" s="1">
        <v>3877092</v>
      </c>
      <c r="I454" s="1">
        <v>735200</v>
      </c>
      <c r="J454" s="1" t="s">
        <v>128</v>
      </c>
      <c r="K454" s="1" t="s">
        <v>975</v>
      </c>
    </row>
    <row r="455" s="1" customFormat="1" spans="1:11">
      <c r="A455" s="1" t="s">
        <v>976</v>
      </c>
      <c r="B455" s="1">
        <v>2192.5408</v>
      </c>
      <c r="C455" s="1">
        <v>36.4125</v>
      </c>
      <c r="D455" s="1">
        <v>39.0669</v>
      </c>
      <c r="E455" s="1">
        <v>39.1361</v>
      </c>
      <c r="F455" s="1">
        <v>53103</v>
      </c>
      <c r="G455" s="1">
        <v>52.778</v>
      </c>
      <c r="H455" s="1">
        <v>3868408</v>
      </c>
      <c r="I455" s="1">
        <v>717016</v>
      </c>
      <c r="J455" s="1" t="s">
        <v>128</v>
      </c>
      <c r="K455" s="1" t="s">
        <v>977</v>
      </c>
    </row>
    <row r="456" s="1" customFormat="1" spans="1:11">
      <c r="A456" s="1" t="s">
        <v>978</v>
      </c>
      <c r="B456" s="1">
        <v>1053.0096</v>
      </c>
      <c r="C456" s="1">
        <v>33.6997</v>
      </c>
      <c r="D456" s="1">
        <v>37.3347</v>
      </c>
      <c r="E456" s="1">
        <v>37.2469</v>
      </c>
      <c r="F456" s="1">
        <v>37251</v>
      </c>
      <c r="G456" s="1">
        <v>39.88</v>
      </c>
      <c r="H456" s="1">
        <v>3837152</v>
      </c>
      <c r="I456" s="1">
        <v>671080</v>
      </c>
      <c r="J456" s="1" t="s">
        <v>128</v>
      </c>
      <c r="K456" s="1" t="s">
        <v>979</v>
      </c>
    </row>
    <row r="457" s="1" customFormat="1" spans="1:11">
      <c r="A457" s="1" t="s">
        <v>980</v>
      </c>
      <c r="B457" s="1">
        <v>185.2944</v>
      </c>
      <c r="C457" s="1">
        <v>49.1119</v>
      </c>
      <c r="D457" s="1">
        <v>48.1817</v>
      </c>
      <c r="E457" s="1">
        <v>48.2411</v>
      </c>
      <c r="F457" s="1">
        <v>5300</v>
      </c>
      <c r="G457" s="1">
        <v>2.466</v>
      </c>
      <c r="H457" s="1">
        <v>3090388</v>
      </c>
      <c r="I457" s="1">
        <v>468284</v>
      </c>
      <c r="J457" s="1" t="s">
        <v>128</v>
      </c>
      <c r="K457" s="1" t="s">
        <v>981</v>
      </c>
    </row>
    <row r="458" s="1" customFormat="1" spans="1:11">
      <c r="A458" s="1" t="s">
        <v>982</v>
      </c>
      <c r="B458" s="1">
        <v>140.32</v>
      </c>
      <c r="C458" s="1">
        <v>45.1342</v>
      </c>
      <c r="D458" s="1">
        <v>45.6706</v>
      </c>
      <c r="E458" s="1">
        <v>45.3675</v>
      </c>
      <c r="F458" s="1">
        <v>4980</v>
      </c>
      <c r="G458" s="1">
        <v>2.335</v>
      </c>
      <c r="H458" s="1">
        <v>3081320</v>
      </c>
      <c r="I458" s="1">
        <v>464856</v>
      </c>
      <c r="J458" s="1" t="s">
        <v>128</v>
      </c>
      <c r="K458" s="1" t="s">
        <v>983</v>
      </c>
    </row>
    <row r="459" s="1" customFormat="1" spans="1:11">
      <c r="A459" s="1" t="s">
        <v>984</v>
      </c>
      <c r="B459" s="1">
        <v>110.6576</v>
      </c>
      <c r="C459" s="1">
        <v>40.789</v>
      </c>
      <c r="D459" s="1">
        <v>43.3312</v>
      </c>
      <c r="E459" s="1">
        <v>42.9424</v>
      </c>
      <c r="F459" s="1">
        <v>4849</v>
      </c>
      <c r="G459" s="1">
        <v>2.118</v>
      </c>
      <c r="H459" s="1">
        <v>3083936</v>
      </c>
      <c r="I459" s="1">
        <v>466432</v>
      </c>
      <c r="J459" s="1" t="s">
        <v>128</v>
      </c>
      <c r="K459" s="1" t="s">
        <v>985</v>
      </c>
    </row>
    <row r="460" s="1" customFormat="1" spans="1:11">
      <c r="A460" s="1" t="s">
        <v>986</v>
      </c>
      <c r="B460" s="1">
        <v>85.144</v>
      </c>
      <c r="C460" s="1">
        <v>35.9866</v>
      </c>
      <c r="D460" s="1">
        <v>40.7169</v>
      </c>
      <c r="E460" s="1">
        <v>40.4745</v>
      </c>
      <c r="F460" s="1">
        <v>4655</v>
      </c>
      <c r="G460" s="1">
        <v>2.285</v>
      </c>
      <c r="H460" s="1">
        <v>3080672</v>
      </c>
      <c r="I460" s="1">
        <v>463172</v>
      </c>
      <c r="J460" s="1" t="s">
        <v>128</v>
      </c>
      <c r="K460" s="1" t="s">
        <v>987</v>
      </c>
    </row>
    <row r="461" s="1" customFormat="1" spans="1:11">
      <c r="A461" s="1" t="s">
        <v>988</v>
      </c>
      <c r="B461" s="1">
        <v>440.8752</v>
      </c>
      <c r="C461" s="1">
        <v>50.4442</v>
      </c>
      <c r="D461" s="1">
        <v>52.5328</v>
      </c>
      <c r="E461" s="1">
        <v>54.4799</v>
      </c>
      <c r="F461" s="1">
        <v>6292</v>
      </c>
      <c r="G461" s="1">
        <v>6.39</v>
      </c>
      <c r="H461" s="1">
        <v>3005272</v>
      </c>
      <c r="I461" s="1">
        <v>468080</v>
      </c>
      <c r="J461" s="1" t="s">
        <v>128</v>
      </c>
      <c r="K461" s="1" t="s">
        <v>989</v>
      </c>
    </row>
    <row r="462" s="1" customFormat="1" spans="1:11">
      <c r="A462" s="1" t="s">
        <v>990</v>
      </c>
      <c r="B462" s="1">
        <v>201.024</v>
      </c>
      <c r="C462" s="1">
        <v>46.4374</v>
      </c>
      <c r="D462" s="1">
        <v>49.3484</v>
      </c>
      <c r="E462" s="1">
        <v>51.4178</v>
      </c>
      <c r="F462" s="1">
        <v>5204</v>
      </c>
      <c r="G462" s="1">
        <v>6.335</v>
      </c>
      <c r="H462" s="1">
        <v>3002724</v>
      </c>
      <c r="I462" s="1">
        <v>457344</v>
      </c>
      <c r="J462" s="1" t="s">
        <v>128</v>
      </c>
      <c r="K462" s="1" t="s">
        <v>991</v>
      </c>
    </row>
    <row r="463" s="1" customFormat="1" spans="1:11">
      <c r="A463" s="1" t="s">
        <v>992</v>
      </c>
      <c r="B463" s="1">
        <v>107.8512</v>
      </c>
      <c r="C463" s="1">
        <v>43.0521</v>
      </c>
      <c r="D463" s="1">
        <v>47.2172</v>
      </c>
      <c r="E463" s="1">
        <v>49.3801</v>
      </c>
      <c r="F463" s="1">
        <v>4229</v>
      </c>
      <c r="G463" s="1">
        <v>6.294</v>
      </c>
      <c r="H463" s="1">
        <v>3001152</v>
      </c>
      <c r="I463" s="1">
        <v>449324</v>
      </c>
      <c r="J463" s="1" t="s">
        <v>128</v>
      </c>
      <c r="K463" s="1" t="s">
        <v>993</v>
      </c>
    </row>
    <row r="464" s="1" customFormat="1" spans="1:11">
      <c r="A464" s="1" t="s">
        <v>994</v>
      </c>
      <c r="B464" s="1">
        <v>70.0384</v>
      </c>
      <c r="C464" s="1">
        <v>39.842</v>
      </c>
      <c r="D464" s="1">
        <v>45.0265</v>
      </c>
      <c r="E464" s="1">
        <v>46.8581</v>
      </c>
      <c r="F464" s="1">
        <v>3567</v>
      </c>
      <c r="G464" s="1">
        <v>6.086</v>
      </c>
      <c r="H464" s="1">
        <v>2999144</v>
      </c>
      <c r="I464" s="1">
        <v>455272</v>
      </c>
      <c r="J464" s="1" t="s">
        <v>128</v>
      </c>
      <c r="K464" s="1" t="s">
        <v>995</v>
      </c>
    </row>
    <row r="465" s="1" customFormat="1" spans="1:11">
      <c r="A465" s="1" t="s">
        <v>996</v>
      </c>
      <c r="B465" s="1">
        <v>22161.9008</v>
      </c>
      <c r="C465" s="1">
        <v>45.9167</v>
      </c>
      <c r="D465" s="1">
        <v>45.2068</v>
      </c>
      <c r="E465" s="1">
        <v>45.3736</v>
      </c>
      <c r="F465" s="1">
        <v>144511</v>
      </c>
      <c r="G465" s="1">
        <v>109.61</v>
      </c>
      <c r="H465" s="1">
        <v>5069156</v>
      </c>
      <c r="I465" s="1">
        <v>726612</v>
      </c>
      <c r="J465" s="1" t="s">
        <v>128</v>
      </c>
      <c r="K465" s="1" t="s">
        <v>997</v>
      </c>
    </row>
    <row r="466" s="1" customFormat="1" spans="1:11">
      <c r="A466" s="1" t="s">
        <v>998</v>
      </c>
      <c r="B466" s="1">
        <v>11167.6432</v>
      </c>
      <c r="C466" s="1">
        <v>40.3703</v>
      </c>
      <c r="D466" s="1">
        <v>40.598</v>
      </c>
      <c r="E466" s="1">
        <v>40.9773</v>
      </c>
      <c r="F466" s="1">
        <v>122874</v>
      </c>
      <c r="G466" s="1">
        <v>101.233</v>
      </c>
      <c r="H466" s="1">
        <v>5085684</v>
      </c>
      <c r="I466" s="1">
        <v>749484</v>
      </c>
      <c r="J466" s="1" t="s">
        <v>128</v>
      </c>
      <c r="K466" s="1" t="s">
        <v>999</v>
      </c>
    </row>
    <row r="467" s="1" customFormat="1" spans="1:11">
      <c r="A467" s="1" t="s">
        <v>1000</v>
      </c>
      <c r="B467" s="1">
        <v>6381.032</v>
      </c>
      <c r="C467" s="1">
        <v>36.1058</v>
      </c>
      <c r="D467" s="1">
        <v>38.247</v>
      </c>
      <c r="E467" s="1">
        <v>38.7822</v>
      </c>
      <c r="F467" s="1">
        <v>100661</v>
      </c>
      <c r="G467" s="1">
        <v>96.078</v>
      </c>
      <c r="H467" s="1">
        <v>5073016</v>
      </c>
      <c r="I467" s="1">
        <v>737928</v>
      </c>
      <c r="J467" s="1" t="s">
        <v>128</v>
      </c>
      <c r="K467" s="1" t="s">
        <v>1001</v>
      </c>
    </row>
    <row r="468" s="1" customFormat="1" spans="1:11">
      <c r="A468" s="1" t="s">
        <v>1002</v>
      </c>
      <c r="B468" s="1">
        <v>3704.4544</v>
      </c>
      <c r="C468" s="1">
        <v>32.223</v>
      </c>
      <c r="D468" s="1">
        <v>35.2665</v>
      </c>
      <c r="E468" s="1">
        <v>35.9365</v>
      </c>
      <c r="F468" s="1">
        <v>75805</v>
      </c>
      <c r="G468" s="1">
        <v>84.48</v>
      </c>
      <c r="H468" s="1">
        <v>5065888</v>
      </c>
      <c r="I468" s="1">
        <v>739348</v>
      </c>
      <c r="J468" s="1" t="s">
        <v>128</v>
      </c>
      <c r="K468" s="1" t="s">
        <v>1003</v>
      </c>
    </row>
    <row r="469" s="1" customFormat="1" spans="1:11">
      <c r="A469" s="1" t="s">
        <v>1004</v>
      </c>
      <c r="B469" s="1">
        <v>1071.8368</v>
      </c>
      <c r="C469" s="1">
        <v>54.441</v>
      </c>
      <c r="D469" s="1">
        <v>49.3053</v>
      </c>
      <c r="E469" s="1">
        <v>49.5206</v>
      </c>
      <c r="F469" s="1">
        <v>24051</v>
      </c>
      <c r="G469" s="1">
        <v>32.468</v>
      </c>
      <c r="H469" s="1">
        <v>5028620</v>
      </c>
      <c r="I469" s="1">
        <v>726324</v>
      </c>
      <c r="J469" s="1" t="s">
        <v>128</v>
      </c>
      <c r="K469" s="1" t="s">
        <v>1005</v>
      </c>
    </row>
    <row r="470" s="1" customFormat="1" spans="1:11">
      <c r="A470" s="1" t="s">
        <v>1006</v>
      </c>
      <c r="B470" s="1">
        <v>777.3712</v>
      </c>
      <c r="C470" s="1">
        <v>49.3609</v>
      </c>
      <c r="D470" s="1">
        <v>46.3054</v>
      </c>
      <c r="E470" s="1">
        <v>46.2527</v>
      </c>
      <c r="F470" s="1">
        <v>22195</v>
      </c>
      <c r="G470" s="1">
        <v>24.297</v>
      </c>
      <c r="H470" s="1">
        <v>5031540</v>
      </c>
      <c r="I470" s="1">
        <v>714932</v>
      </c>
      <c r="J470" s="1" t="s">
        <v>128</v>
      </c>
      <c r="K470" s="1" t="s">
        <v>1007</v>
      </c>
    </row>
    <row r="471" s="1" customFormat="1" spans="1:11">
      <c r="A471" s="1" t="s">
        <v>1008</v>
      </c>
      <c r="B471" s="1">
        <v>698.5696</v>
      </c>
      <c r="C471" s="1">
        <v>44.2913</v>
      </c>
      <c r="D471" s="1">
        <v>43.7419</v>
      </c>
      <c r="E471" s="1">
        <v>43.3858</v>
      </c>
      <c r="F471" s="1">
        <v>21068</v>
      </c>
      <c r="G471" s="1">
        <v>14.561</v>
      </c>
      <c r="H471" s="1">
        <v>5027892</v>
      </c>
      <c r="I471" s="1">
        <v>721464</v>
      </c>
      <c r="J471" s="1" t="s">
        <v>128</v>
      </c>
      <c r="K471" s="1" t="s">
        <v>1009</v>
      </c>
    </row>
    <row r="472" s="1" customFormat="1" spans="1:11">
      <c r="A472" s="1" t="s">
        <v>1010</v>
      </c>
      <c r="B472" s="1">
        <v>623.1744</v>
      </c>
      <c r="C472" s="1">
        <v>38.5034</v>
      </c>
      <c r="D472" s="1">
        <v>40.8621</v>
      </c>
      <c r="E472" s="1">
        <v>40.693</v>
      </c>
      <c r="F472" s="1">
        <v>20472</v>
      </c>
      <c r="G472" s="1">
        <v>19.001</v>
      </c>
      <c r="H472" s="1">
        <v>5042780</v>
      </c>
      <c r="I472" s="1">
        <v>729276</v>
      </c>
      <c r="J472" s="1" t="s">
        <v>128</v>
      </c>
      <c r="K472" s="1" t="s">
        <v>1011</v>
      </c>
    </row>
    <row r="473" s="1" customFormat="1" spans="1:11">
      <c r="A473" s="1" t="s">
        <v>1012</v>
      </c>
      <c r="B473" s="1">
        <v>3161.3888</v>
      </c>
      <c r="C473" s="1">
        <v>53.1982</v>
      </c>
      <c r="D473" s="1">
        <v>51.0817</v>
      </c>
      <c r="E473" s="1">
        <v>49.7451</v>
      </c>
      <c r="F473" s="1">
        <v>43822</v>
      </c>
      <c r="G473" s="1">
        <v>41.37</v>
      </c>
      <c r="H473" s="1">
        <v>4959844</v>
      </c>
      <c r="I473" s="1">
        <v>714436</v>
      </c>
      <c r="J473" s="1" t="s">
        <v>128</v>
      </c>
      <c r="K473" s="1" t="s">
        <v>1013</v>
      </c>
    </row>
    <row r="474" s="1" customFormat="1" spans="1:11">
      <c r="A474" s="1" t="s">
        <v>1014</v>
      </c>
      <c r="B474" s="1">
        <v>2244.3968</v>
      </c>
      <c r="C474" s="1">
        <v>47.959</v>
      </c>
      <c r="D474" s="1">
        <v>46.0395</v>
      </c>
      <c r="E474" s="1">
        <v>43.9202</v>
      </c>
      <c r="F474" s="1">
        <v>40238</v>
      </c>
      <c r="G474" s="1">
        <v>44.395</v>
      </c>
      <c r="H474" s="1">
        <v>4965732</v>
      </c>
      <c r="I474" s="1">
        <v>741740</v>
      </c>
      <c r="J474" s="1" t="s">
        <v>128</v>
      </c>
      <c r="K474" s="1" t="s">
        <v>1015</v>
      </c>
    </row>
    <row r="475" s="1" customFormat="1" spans="1:11">
      <c r="A475" s="1" t="s">
        <v>1016</v>
      </c>
      <c r="B475" s="1">
        <v>1718.6512</v>
      </c>
      <c r="C475" s="1">
        <v>42.6009</v>
      </c>
      <c r="D475" s="1">
        <v>42.8239</v>
      </c>
      <c r="E475" s="1">
        <v>40.1971</v>
      </c>
      <c r="F475" s="1">
        <v>37198</v>
      </c>
      <c r="G475" s="1">
        <v>44.133</v>
      </c>
      <c r="H475" s="1">
        <v>4937948</v>
      </c>
      <c r="I475" s="1">
        <v>735508</v>
      </c>
      <c r="J475" s="1" t="s">
        <v>128</v>
      </c>
      <c r="K475" s="1" t="s">
        <v>1017</v>
      </c>
    </row>
    <row r="476" s="1" customFormat="1" spans="1:11">
      <c r="A476" s="1" t="s">
        <v>1018</v>
      </c>
      <c r="B476" s="1">
        <v>1331.6656</v>
      </c>
      <c r="C476" s="1">
        <v>37.8241</v>
      </c>
      <c r="D476" s="1">
        <v>39.5314</v>
      </c>
      <c r="E476" s="1">
        <v>37.0114</v>
      </c>
      <c r="F476" s="1">
        <v>33924</v>
      </c>
      <c r="G476" s="1">
        <v>44.002</v>
      </c>
      <c r="H476" s="1">
        <v>4954964</v>
      </c>
      <c r="I476" s="1">
        <v>719944</v>
      </c>
      <c r="J476" s="1" t="s">
        <v>128</v>
      </c>
      <c r="K476" s="1" t="s">
        <v>1019</v>
      </c>
    </row>
    <row r="477" s="1" customFormat="1" spans="1:11">
      <c r="A477" s="1" t="s">
        <v>1020</v>
      </c>
      <c r="B477" s="1">
        <v>2243.6624</v>
      </c>
      <c r="C477" s="1">
        <v>48.094</v>
      </c>
      <c r="D477" s="1">
        <v>47.6325</v>
      </c>
      <c r="E477" s="1">
        <v>47.6537</v>
      </c>
      <c r="F477" s="1">
        <v>32977</v>
      </c>
      <c r="G477" s="1">
        <v>18.549</v>
      </c>
      <c r="H477" s="1">
        <v>5206788</v>
      </c>
      <c r="I477" s="1">
        <v>776108</v>
      </c>
      <c r="J477" s="1" t="s">
        <v>128</v>
      </c>
      <c r="K477" s="1" t="s">
        <v>1021</v>
      </c>
    </row>
    <row r="478" s="1" customFormat="1" spans="1:11">
      <c r="A478" s="1" t="s">
        <v>1022</v>
      </c>
      <c r="B478" s="1">
        <v>1554.5248</v>
      </c>
      <c r="C478" s="1">
        <v>43.4337</v>
      </c>
      <c r="D478" s="1">
        <v>44.3948</v>
      </c>
      <c r="E478" s="1">
        <v>44.1547</v>
      </c>
      <c r="F478" s="1">
        <v>30650</v>
      </c>
      <c r="G478" s="1">
        <v>17.274</v>
      </c>
      <c r="H478" s="1">
        <v>5225400</v>
      </c>
      <c r="I478" s="1">
        <v>805956</v>
      </c>
      <c r="J478" s="1" t="s">
        <v>128</v>
      </c>
      <c r="K478" s="1" t="s">
        <v>1023</v>
      </c>
    </row>
    <row r="479" s="1" customFormat="1" spans="1:11">
      <c r="A479" s="1" t="s">
        <v>1024</v>
      </c>
      <c r="B479" s="1">
        <v>1099.1248</v>
      </c>
      <c r="C479" s="1">
        <v>38.6575</v>
      </c>
      <c r="D479" s="1">
        <v>41.7004</v>
      </c>
      <c r="E479" s="1">
        <v>41.4111</v>
      </c>
      <c r="F479" s="1">
        <v>28247</v>
      </c>
      <c r="G479" s="1">
        <v>16.701</v>
      </c>
      <c r="H479" s="1">
        <v>5206100</v>
      </c>
      <c r="I479" s="1">
        <v>773772</v>
      </c>
      <c r="J479" s="1" t="s">
        <v>128</v>
      </c>
      <c r="K479" s="1" t="s">
        <v>1025</v>
      </c>
    </row>
    <row r="480" s="1" customFormat="1" spans="1:11">
      <c r="A480" s="1" t="s">
        <v>1026</v>
      </c>
      <c r="B480" s="1">
        <v>768.144</v>
      </c>
      <c r="C480" s="1">
        <v>33.9722</v>
      </c>
      <c r="D480" s="1">
        <v>38.8103</v>
      </c>
      <c r="E480" s="1">
        <v>38.3928</v>
      </c>
      <c r="F480" s="1">
        <v>26766</v>
      </c>
      <c r="G480" s="1">
        <v>16.824</v>
      </c>
      <c r="H480" s="1">
        <v>5185416</v>
      </c>
      <c r="I480" s="1">
        <v>741428</v>
      </c>
      <c r="J480" s="1" t="s">
        <v>128</v>
      </c>
      <c r="K480" s="1" t="s">
        <v>1027</v>
      </c>
    </row>
    <row r="481" s="1" customFormat="1" spans="1:11">
      <c r="A481" s="1" t="s">
        <v>1028</v>
      </c>
      <c r="B481" s="1" t="s">
        <v>59</v>
      </c>
      <c r="C481" s="1" t="s">
        <v>1029</v>
      </c>
      <c r="D481" s="1" t="s">
        <v>1030</v>
      </c>
      <c r="E481" s="1" t="s">
        <v>1031</v>
      </c>
      <c r="F481" s="1" t="s">
        <v>1032</v>
      </c>
      <c r="G481" s="1" t="s">
        <v>1033</v>
      </c>
      <c r="H481" s="1" t="s">
        <v>1034</v>
      </c>
      <c r="I481" s="1" t="s">
        <v>1035</v>
      </c>
      <c r="J481" s="1" t="s">
        <v>1036</v>
      </c>
      <c r="K481" s="1" t="s">
        <v>1037</v>
      </c>
    </row>
  </sheetData>
  <pageMargins left="0.7" right="0.7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K481"/>
  <sheetViews>
    <sheetView tabSelected="1" zoomScale="85" zoomScaleNormal="85" topLeftCell="A280" workbookViewId="0">
      <selection activeCell="O322" sqref="B300:O322"/>
    </sheetView>
  </sheetViews>
  <sheetFormatPr defaultColWidth="9" defaultRowHeight="13.5"/>
  <cols>
    <col min="1" max="16384" width="9" style="1"/>
  </cols>
  <sheetData>
    <row r="1" s="1" customFormat="1" spans="1:1">
      <c r="A1" s="1" t="s">
        <v>127</v>
      </c>
    </row>
    <row r="2" s="1" customFormat="1" spans="1:1">
      <c r="A2" s="1" t="s">
        <v>130</v>
      </c>
    </row>
    <row r="3" s="1" customFormat="1" spans="1:1">
      <c r="A3" s="1" t="s">
        <v>132</v>
      </c>
    </row>
    <row r="4" s="1" customFormat="1" spans="1:1">
      <c r="A4" s="1" t="s">
        <v>134</v>
      </c>
    </row>
    <row r="5" s="1" customFormat="1" spans="1:1">
      <c r="A5" s="1" t="s">
        <v>136</v>
      </c>
    </row>
    <row r="6" s="1" customFormat="1" spans="1:1">
      <c r="A6" s="1" t="s">
        <v>138</v>
      </c>
    </row>
    <row r="7" s="1" customFormat="1" spans="1:1">
      <c r="A7" s="1" t="s">
        <v>140</v>
      </c>
    </row>
    <row r="8" s="1" customFormat="1" spans="1:1">
      <c r="A8" s="1" t="s">
        <v>142</v>
      </c>
    </row>
    <row r="9" s="1" customFormat="1" spans="1:1">
      <c r="A9" s="1" t="s">
        <v>144</v>
      </c>
    </row>
    <row r="10" s="1" customFormat="1" spans="1:1">
      <c r="A10" s="1" t="s">
        <v>146</v>
      </c>
    </row>
    <row r="11" s="1" customFormat="1" spans="1:1">
      <c r="A11" s="1" t="s">
        <v>148</v>
      </c>
    </row>
    <row r="12" s="1" customFormat="1" spans="1:1">
      <c r="A12" s="1" t="s">
        <v>150</v>
      </c>
    </row>
    <row r="13" s="1" customFormat="1" spans="1:1">
      <c r="A13" s="1" t="s">
        <v>152</v>
      </c>
    </row>
    <row r="14" s="1" customFormat="1" spans="1:1">
      <c r="A14" s="1" t="s">
        <v>154</v>
      </c>
    </row>
    <row r="15" s="1" customFormat="1" spans="1:1">
      <c r="A15" s="1" t="s">
        <v>156</v>
      </c>
    </row>
    <row r="16" s="1" customFormat="1" spans="1:1">
      <c r="A16" s="1" t="s">
        <v>158</v>
      </c>
    </row>
    <row r="17" s="1" customFormat="1" spans="1:1">
      <c r="A17" s="1" t="s">
        <v>160</v>
      </c>
    </row>
    <row r="18" s="1" customFormat="1" spans="1:1">
      <c r="A18" s="1" t="s">
        <v>162</v>
      </c>
    </row>
    <row r="19" s="1" customFormat="1" spans="1:1">
      <c r="A19" s="1" t="s">
        <v>164</v>
      </c>
    </row>
    <row r="20" s="1" customFormat="1" spans="1:1">
      <c r="A20" s="1" t="s">
        <v>166</v>
      </c>
    </row>
    <row r="21" s="1" customFormat="1" spans="1:1">
      <c r="A21" s="1" t="s">
        <v>168</v>
      </c>
    </row>
    <row r="22" s="1" customFormat="1" spans="1:1">
      <c r="A22" s="1" t="s">
        <v>170</v>
      </c>
    </row>
    <row r="23" s="1" customFormat="1" spans="1:1">
      <c r="A23" s="1" t="s">
        <v>172</v>
      </c>
    </row>
    <row r="24" s="1" customFormat="1" spans="1:1">
      <c r="A24" s="1" t="s">
        <v>174</v>
      </c>
    </row>
    <row r="25" s="1" customFormat="1" spans="1:1">
      <c r="A25" s="1" t="s">
        <v>176</v>
      </c>
    </row>
    <row r="26" s="1" customFormat="1" spans="1:1">
      <c r="A26" s="1" t="s">
        <v>178</v>
      </c>
    </row>
    <row r="27" s="1" customFormat="1" spans="1:1">
      <c r="A27" s="1" t="s">
        <v>180</v>
      </c>
    </row>
    <row r="28" s="1" customFormat="1" spans="1:1">
      <c r="A28" s="1" t="s">
        <v>182</v>
      </c>
    </row>
    <row r="29" s="1" customFormat="1" spans="1:1">
      <c r="A29" s="1" t="s">
        <v>184</v>
      </c>
    </row>
    <row r="30" s="1" customFormat="1" spans="1:1">
      <c r="A30" s="1" t="s">
        <v>186</v>
      </c>
    </row>
    <row r="31" s="1" customFormat="1" spans="1:1">
      <c r="A31" s="1" t="s">
        <v>188</v>
      </c>
    </row>
    <row r="32" s="1" customFormat="1" spans="1:1">
      <c r="A32" s="1" t="s">
        <v>190</v>
      </c>
    </row>
    <row r="33" s="1" customFormat="1" spans="1:1">
      <c r="A33" s="1" t="s">
        <v>192</v>
      </c>
    </row>
    <row r="34" s="1" customFormat="1" spans="1:1">
      <c r="A34" s="1" t="s">
        <v>194</v>
      </c>
    </row>
    <row r="35" s="1" customFormat="1" spans="1:1">
      <c r="A35" s="1" t="s">
        <v>196</v>
      </c>
    </row>
    <row r="36" s="1" customFormat="1" spans="1:1">
      <c r="A36" s="1" t="s">
        <v>198</v>
      </c>
    </row>
    <row r="37" s="1" customFormat="1" spans="1:1">
      <c r="A37" s="1" t="s">
        <v>200</v>
      </c>
    </row>
    <row r="38" s="1" customFormat="1" spans="1:1">
      <c r="A38" s="1" t="s">
        <v>202</v>
      </c>
    </row>
    <row r="39" s="1" customFormat="1" spans="1:1">
      <c r="A39" s="1" t="s">
        <v>204</v>
      </c>
    </row>
    <row r="40" s="1" customFormat="1" spans="1:1">
      <c r="A40" s="1" t="s">
        <v>206</v>
      </c>
    </row>
    <row r="41" s="1" customFormat="1" spans="1:1">
      <c r="A41" s="1" t="s">
        <v>208</v>
      </c>
    </row>
    <row r="42" s="1" customFormat="1" spans="1:1">
      <c r="A42" s="1" t="s">
        <v>210</v>
      </c>
    </row>
    <row r="43" s="1" customFormat="1" spans="1:1">
      <c r="A43" s="1" t="s">
        <v>212</v>
      </c>
    </row>
    <row r="44" s="1" customFormat="1" spans="1:1">
      <c r="A44" s="1" t="s">
        <v>214</v>
      </c>
    </row>
    <row r="45" s="1" customFormat="1" spans="1:1">
      <c r="A45" s="1" t="s">
        <v>216</v>
      </c>
    </row>
    <row r="46" s="1" customFormat="1" spans="1:1">
      <c r="A46" s="1" t="s">
        <v>218</v>
      </c>
    </row>
    <row r="47" s="1" customFormat="1" spans="1:1">
      <c r="A47" s="1" t="s">
        <v>220</v>
      </c>
    </row>
    <row r="48" s="1" customFormat="1" spans="1:1">
      <c r="A48" s="1" t="s">
        <v>222</v>
      </c>
    </row>
    <row r="49" s="1" customFormat="1" spans="1:1">
      <c r="A49" s="1" t="s">
        <v>224</v>
      </c>
    </row>
    <row r="50" s="1" customFormat="1" spans="1:1">
      <c r="A50" s="1" t="s">
        <v>226</v>
      </c>
    </row>
    <row r="51" s="1" customFormat="1" spans="1:1">
      <c r="A51" s="1" t="s">
        <v>228</v>
      </c>
    </row>
    <row r="52" s="1" customFormat="1" spans="1:1">
      <c r="A52" s="1" t="s">
        <v>230</v>
      </c>
    </row>
    <row r="53" s="1" customFormat="1" spans="1:1">
      <c r="A53" s="1" t="s">
        <v>232</v>
      </c>
    </row>
    <row r="54" s="1" customFormat="1" spans="1:1">
      <c r="A54" s="1" t="s">
        <v>234</v>
      </c>
    </row>
    <row r="55" s="1" customFormat="1" spans="1:1">
      <c r="A55" s="1" t="s">
        <v>236</v>
      </c>
    </row>
    <row r="56" s="1" customFormat="1" spans="1:1">
      <c r="A56" s="1" t="s">
        <v>238</v>
      </c>
    </row>
    <row r="57" s="1" customFormat="1" spans="1:1">
      <c r="A57" s="1" t="s">
        <v>240</v>
      </c>
    </row>
    <row r="58" s="1" customFormat="1" spans="1:1">
      <c r="A58" s="1" t="s">
        <v>242</v>
      </c>
    </row>
    <row r="59" s="1" customFormat="1" spans="1:1">
      <c r="A59" s="1" t="s">
        <v>244</v>
      </c>
    </row>
    <row r="60" s="1" customFormat="1" spans="1:1">
      <c r="A60" s="1" t="s">
        <v>246</v>
      </c>
    </row>
    <row r="61" s="1" customFormat="1" spans="1:1">
      <c r="A61" s="1" t="s">
        <v>248</v>
      </c>
    </row>
    <row r="62" s="1" customFormat="1" spans="1:1">
      <c r="A62" s="1" t="s">
        <v>250</v>
      </c>
    </row>
    <row r="63" s="1" customFormat="1" spans="1:1">
      <c r="A63" s="1" t="s">
        <v>252</v>
      </c>
    </row>
    <row r="64" s="1" customFormat="1" spans="1:1">
      <c r="A64" s="1" t="s">
        <v>254</v>
      </c>
    </row>
    <row r="65" s="1" customFormat="1" spans="1:1">
      <c r="A65" s="1" t="s">
        <v>256</v>
      </c>
    </row>
    <row r="66" s="1" customFormat="1" spans="1:1">
      <c r="A66" s="1" t="s">
        <v>258</v>
      </c>
    </row>
    <row r="67" s="1" customFormat="1" spans="1:1">
      <c r="A67" s="1" t="s">
        <v>260</v>
      </c>
    </row>
    <row r="68" s="1" customFormat="1" spans="1:1">
      <c r="A68" s="1" t="s">
        <v>262</v>
      </c>
    </row>
    <row r="69" s="1" customFormat="1" spans="1:1">
      <c r="A69" s="1" t="s">
        <v>264</v>
      </c>
    </row>
    <row r="70" s="1" customFormat="1" spans="1:1">
      <c r="A70" s="1" t="s">
        <v>266</v>
      </c>
    </row>
    <row r="71" s="1" customFormat="1" spans="1:1">
      <c r="A71" s="1" t="s">
        <v>268</v>
      </c>
    </row>
    <row r="72" s="1" customFormat="1" spans="1:1">
      <c r="A72" s="1" t="s">
        <v>270</v>
      </c>
    </row>
    <row r="73" s="1" customFormat="1" spans="1:1">
      <c r="A73" s="1" t="s">
        <v>272</v>
      </c>
    </row>
    <row r="74" s="1" customFormat="1" spans="1:1">
      <c r="A74" s="1" t="s">
        <v>274</v>
      </c>
    </row>
    <row r="75" s="1" customFormat="1" spans="1:1">
      <c r="A75" s="1" t="s">
        <v>276</v>
      </c>
    </row>
    <row r="76" s="1" customFormat="1" spans="1:1">
      <c r="A76" s="1" t="s">
        <v>278</v>
      </c>
    </row>
    <row r="77" s="1" customFormat="1" spans="1:1">
      <c r="A77" s="1" t="s">
        <v>280</v>
      </c>
    </row>
    <row r="78" s="1" customFormat="1" spans="1:1">
      <c r="A78" s="1" t="s">
        <v>282</v>
      </c>
    </row>
    <row r="79" s="1" customFormat="1" spans="1:1">
      <c r="A79" s="1" t="s">
        <v>284</v>
      </c>
    </row>
    <row r="80" s="1" customFormat="1" spans="1:1">
      <c r="A80" s="1" t="s">
        <v>286</v>
      </c>
    </row>
    <row r="81" s="1" customFormat="1" spans="1:1">
      <c r="A81" s="1" t="s">
        <v>288</v>
      </c>
    </row>
    <row r="82" s="1" customFormat="1" spans="1:1">
      <c r="A82" s="1" t="s">
        <v>290</v>
      </c>
    </row>
    <row r="83" s="1" customFormat="1" spans="1:1">
      <c r="A83" s="1" t="s">
        <v>292</v>
      </c>
    </row>
    <row r="84" s="1" customFormat="1" spans="1:1">
      <c r="A84" s="1" t="s">
        <v>294</v>
      </c>
    </row>
    <row r="85" s="1" customFormat="1" spans="1:1">
      <c r="A85" s="1" t="s">
        <v>296</v>
      </c>
    </row>
    <row r="86" s="1" customFormat="1" spans="1:1">
      <c r="A86" s="1" t="s">
        <v>298</v>
      </c>
    </row>
    <row r="87" s="1" customFormat="1" spans="1:1">
      <c r="A87" s="1" t="s">
        <v>300</v>
      </c>
    </row>
    <row r="88" s="1" customFormat="1" spans="1:1">
      <c r="A88" s="1" t="s">
        <v>302</v>
      </c>
    </row>
    <row r="89" s="1" customFormat="1" spans="1:1">
      <c r="A89" s="1" t="s">
        <v>304</v>
      </c>
    </row>
    <row r="90" s="1" customFormat="1" spans="1:1">
      <c r="A90" s="1" t="s">
        <v>306</v>
      </c>
    </row>
    <row r="91" s="1" customFormat="1" spans="1:1">
      <c r="A91" s="1" t="s">
        <v>308</v>
      </c>
    </row>
    <row r="92" s="1" customFormat="1" spans="1:1">
      <c r="A92" s="1" t="s">
        <v>310</v>
      </c>
    </row>
    <row r="93" s="1" customFormat="1" spans="1:1">
      <c r="A93" s="1" t="s">
        <v>312</v>
      </c>
    </row>
    <row r="94" s="1" customFormat="1" spans="1:1">
      <c r="A94" s="1" t="s">
        <v>314</v>
      </c>
    </row>
    <row r="95" s="1" customFormat="1" spans="1:1">
      <c r="A95" s="1" t="s">
        <v>316</v>
      </c>
    </row>
    <row r="96" s="1" customFormat="1" spans="1:1">
      <c r="A96" s="1" t="s">
        <v>318</v>
      </c>
    </row>
    <row r="97" s="1" customFormat="1" spans="1:1">
      <c r="A97" s="1" t="s">
        <v>320</v>
      </c>
    </row>
    <row r="98" s="1" customFormat="1" spans="1:1">
      <c r="A98" s="1" t="s">
        <v>322</v>
      </c>
    </row>
    <row r="99" s="1" customFormat="1" spans="1:1">
      <c r="A99" s="1" t="s">
        <v>324</v>
      </c>
    </row>
    <row r="100" s="1" customFormat="1" spans="1:1">
      <c r="A100" s="1" t="s">
        <v>326</v>
      </c>
    </row>
    <row r="101" s="1" customFormat="1" spans="1:1">
      <c r="A101" s="1" t="s">
        <v>328</v>
      </c>
    </row>
    <row r="102" s="1" customFormat="1" spans="1:1">
      <c r="A102" s="1" t="s">
        <v>330</v>
      </c>
    </row>
    <row r="103" s="1" customFormat="1" spans="1:1">
      <c r="A103" s="1" t="s">
        <v>332</v>
      </c>
    </row>
    <row r="104" s="1" customFormat="1" spans="1:1">
      <c r="A104" s="1" t="s">
        <v>334</v>
      </c>
    </row>
    <row r="105" s="1" customFormat="1" spans="1:1">
      <c r="A105" s="1" t="s">
        <v>336</v>
      </c>
    </row>
    <row r="106" s="1" customFormat="1" spans="1:1">
      <c r="A106" s="1" t="s">
        <v>338</v>
      </c>
    </row>
    <row r="107" s="1" customFormat="1" spans="1:1">
      <c r="A107" s="1" t="s">
        <v>340</v>
      </c>
    </row>
    <row r="108" s="1" customFormat="1" spans="1:1">
      <c r="A108" s="1" t="s">
        <v>342</v>
      </c>
    </row>
    <row r="109" s="1" customFormat="1" spans="1:1">
      <c r="A109" s="1" t="s">
        <v>344</v>
      </c>
    </row>
    <row r="110" s="1" customFormat="1" spans="1:1">
      <c r="A110" s="1" t="s">
        <v>346</v>
      </c>
    </row>
    <row r="111" s="1" customFormat="1" spans="1:1">
      <c r="A111" s="1" t="s">
        <v>348</v>
      </c>
    </row>
    <row r="112" s="1" customFormat="1" spans="1:1">
      <c r="A112" s="1" t="s">
        <v>350</v>
      </c>
    </row>
    <row r="113" s="1" customFormat="1" spans="1:1">
      <c r="A113" s="1" t="s">
        <v>352</v>
      </c>
    </row>
    <row r="114" s="1" customFormat="1" spans="1:1">
      <c r="A114" s="1" t="s">
        <v>354</v>
      </c>
    </row>
    <row r="115" s="1" customFormat="1" spans="1:1">
      <c r="A115" s="1" t="s">
        <v>356</v>
      </c>
    </row>
    <row r="116" s="1" customFormat="1" spans="1:1">
      <c r="A116" s="1" t="s">
        <v>358</v>
      </c>
    </row>
    <row r="117" s="1" customFormat="1" spans="1:1">
      <c r="A117" s="1" t="s">
        <v>360</v>
      </c>
    </row>
    <row r="118" s="1" customFormat="1" spans="1:1">
      <c r="A118" s="1" t="s">
        <v>362</v>
      </c>
    </row>
    <row r="119" s="1" customFormat="1" spans="1:1">
      <c r="A119" s="1" t="s">
        <v>364</v>
      </c>
    </row>
    <row r="120" s="1" customFormat="1" spans="1:1">
      <c r="A120" s="1" t="s">
        <v>366</v>
      </c>
    </row>
    <row r="121" s="1" customFormat="1" spans="1:1">
      <c r="A121" s="1" t="s">
        <v>368</v>
      </c>
    </row>
    <row r="122" s="1" customFormat="1" spans="1:1">
      <c r="A122" s="1" t="s">
        <v>370</v>
      </c>
    </row>
    <row r="123" s="1" customFormat="1" spans="1:1">
      <c r="A123" s="1" t="s">
        <v>372</v>
      </c>
    </row>
    <row r="124" s="1" customFormat="1" spans="1:1">
      <c r="A124" s="1" t="s">
        <v>374</v>
      </c>
    </row>
    <row r="125" s="1" customFormat="1" spans="1:1">
      <c r="A125" s="1" t="s">
        <v>376</v>
      </c>
    </row>
    <row r="126" s="1" customFormat="1" spans="1:1">
      <c r="A126" s="1" t="s">
        <v>378</v>
      </c>
    </row>
    <row r="127" s="1" customFormat="1" spans="1:1">
      <c r="A127" s="1" t="s">
        <v>380</v>
      </c>
    </row>
    <row r="128" s="1" customFormat="1" spans="1:1">
      <c r="A128" s="1" t="s">
        <v>382</v>
      </c>
    </row>
    <row r="129" s="1" customFormat="1" spans="1:1">
      <c r="A129" s="1" t="s">
        <v>384</v>
      </c>
    </row>
    <row r="130" s="1" customFormat="1" spans="1:1">
      <c r="A130" s="1" t="s">
        <v>386</v>
      </c>
    </row>
    <row r="131" s="1" customFormat="1" spans="1:1">
      <c r="A131" s="1" t="s">
        <v>388</v>
      </c>
    </row>
    <row r="132" s="1" customFormat="1" spans="1:1">
      <c r="A132" s="1" t="s">
        <v>390</v>
      </c>
    </row>
    <row r="133" s="1" customFormat="1" spans="1:1">
      <c r="A133" s="1" t="s">
        <v>392</v>
      </c>
    </row>
    <row r="134" s="1" customFormat="1" spans="1:1">
      <c r="A134" s="1" t="s">
        <v>394</v>
      </c>
    </row>
    <row r="135" s="1" customFormat="1" spans="1:1">
      <c r="A135" s="1" t="s">
        <v>396</v>
      </c>
    </row>
    <row r="136" s="1" customFormat="1" spans="1:1">
      <c r="A136" s="1" t="s">
        <v>398</v>
      </c>
    </row>
    <row r="137" s="1" customFormat="1" spans="1:1">
      <c r="A137" s="1" t="s">
        <v>400</v>
      </c>
    </row>
    <row r="138" s="1" customFormat="1" spans="1:1">
      <c r="A138" s="1" t="s">
        <v>402</v>
      </c>
    </row>
    <row r="139" s="1" customFormat="1" spans="1:1">
      <c r="A139" s="1" t="s">
        <v>404</v>
      </c>
    </row>
    <row r="140" s="1" customFormat="1" spans="1:1">
      <c r="A140" s="1" t="s">
        <v>406</v>
      </c>
    </row>
    <row r="141" s="1" customFormat="1" spans="1:1">
      <c r="A141" s="1" t="s">
        <v>408</v>
      </c>
    </row>
    <row r="142" s="1" customFormat="1" spans="1:1">
      <c r="A142" s="1" t="s">
        <v>410</v>
      </c>
    </row>
    <row r="143" s="1" customFormat="1" spans="1:1">
      <c r="A143" s="1" t="s">
        <v>412</v>
      </c>
    </row>
    <row r="144" s="1" customFormat="1" spans="1:1">
      <c r="A144" s="1" t="s">
        <v>414</v>
      </c>
    </row>
    <row r="145" s="1" customFormat="1" spans="1:1">
      <c r="A145" s="1" t="s">
        <v>416</v>
      </c>
    </row>
    <row r="146" s="1" customFormat="1" spans="1:1">
      <c r="A146" s="1" t="s">
        <v>418</v>
      </c>
    </row>
    <row r="147" s="1" customFormat="1" spans="1:1">
      <c r="A147" s="1" t="s">
        <v>420</v>
      </c>
    </row>
    <row r="148" s="1" customFormat="1" spans="1:1">
      <c r="A148" s="1" t="s">
        <v>422</v>
      </c>
    </row>
    <row r="149" s="1" customFormat="1" spans="1:1">
      <c r="A149" s="1" t="s">
        <v>424</v>
      </c>
    </row>
    <row r="150" s="1" customFormat="1" spans="1:1">
      <c r="A150" s="1" t="s">
        <v>426</v>
      </c>
    </row>
    <row r="151" s="1" customFormat="1" spans="1:1">
      <c r="A151" s="1" t="s">
        <v>428</v>
      </c>
    </row>
    <row r="152" s="1" customFormat="1" spans="1:1">
      <c r="A152" s="1" t="s">
        <v>430</v>
      </c>
    </row>
    <row r="153" s="1" customFormat="1" spans="1:1">
      <c r="A153" s="1" t="s">
        <v>432</v>
      </c>
    </row>
    <row r="154" s="1" customFormat="1" spans="1:1">
      <c r="A154" s="1" t="s">
        <v>434</v>
      </c>
    </row>
    <row r="155" s="1" customFormat="1" spans="1:1">
      <c r="A155" s="1" t="s">
        <v>436</v>
      </c>
    </row>
    <row r="156" s="1" customFormat="1" spans="1:1">
      <c r="A156" s="1" t="s">
        <v>438</v>
      </c>
    </row>
    <row r="157" s="1" customFormat="1" spans="1:1">
      <c r="A157" s="1" t="s">
        <v>440</v>
      </c>
    </row>
    <row r="158" s="1" customFormat="1" spans="1:1">
      <c r="A158" s="1" t="s">
        <v>442</v>
      </c>
    </row>
    <row r="159" s="1" customFormat="1" spans="1:1">
      <c r="A159" s="1" t="s">
        <v>444</v>
      </c>
    </row>
    <row r="160" s="1" customFormat="1" spans="1:1">
      <c r="A160" s="1" t="s">
        <v>446</v>
      </c>
    </row>
    <row r="161" s="1" customFormat="1" spans="1:1">
      <c r="A161" s="1" t="s">
        <v>449</v>
      </c>
    </row>
    <row r="162" s="1" customFormat="1" spans="1:1">
      <c r="A162" s="1" t="s">
        <v>451</v>
      </c>
    </row>
    <row r="163" s="1" customFormat="1" spans="1:1">
      <c r="A163" s="1" t="s">
        <v>453</v>
      </c>
    </row>
    <row r="164" s="1" customFormat="1" spans="1:1">
      <c r="A164" s="1" t="s">
        <v>455</v>
      </c>
    </row>
    <row r="165" s="1" customFormat="1" spans="1:1">
      <c r="A165" s="1" t="s">
        <v>457</v>
      </c>
    </row>
    <row r="166" s="1" customFormat="1" spans="1:1">
      <c r="A166" s="1" t="s">
        <v>459</v>
      </c>
    </row>
    <row r="167" s="1" customFormat="1" spans="1:1">
      <c r="A167" s="1" t="s">
        <v>461</v>
      </c>
    </row>
    <row r="168" s="1" customFormat="1" spans="1:1">
      <c r="A168" s="1" t="s">
        <v>463</v>
      </c>
    </row>
    <row r="169" s="1" customFormat="1" spans="1:1">
      <c r="A169" s="1" t="s">
        <v>465</v>
      </c>
    </row>
    <row r="170" s="1" customFormat="1" spans="1:1">
      <c r="A170" s="1" t="s">
        <v>467</v>
      </c>
    </row>
    <row r="171" s="1" customFormat="1" spans="1:1">
      <c r="A171" s="1" t="s">
        <v>469</v>
      </c>
    </row>
    <row r="172" s="1" customFormat="1" spans="1:1">
      <c r="A172" s="1" t="s">
        <v>471</v>
      </c>
    </row>
    <row r="173" s="1" customFormat="1" spans="1:1">
      <c r="A173" s="1" t="s">
        <v>473</v>
      </c>
    </row>
    <row r="174" s="1" customFormat="1" spans="1:1">
      <c r="A174" s="1" t="s">
        <v>475</v>
      </c>
    </row>
    <row r="175" s="1" customFormat="1" spans="1:1">
      <c r="A175" s="1" t="s">
        <v>477</v>
      </c>
    </row>
    <row r="176" s="1" customFormat="1" spans="1:1">
      <c r="A176" s="1" t="s">
        <v>479</v>
      </c>
    </row>
    <row r="177" s="1" customFormat="1" spans="1:1">
      <c r="A177" s="1" t="s">
        <v>481</v>
      </c>
    </row>
    <row r="178" s="1" customFormat="1" spans="1:1">
      <c r="A178" s="1" t="s">
        <v>483</v>
      </c>
    </row>
    <row r="179" s="1" customFormat="1" spans="1:1">
      <c r="A179" s="1" t="s">
        <v>485</v>
      </c>
    </row>
    <row r="180" s="1" customFormat="1" spans="1:1">
      <c r="A180" s="1" t="s">
        <v>487</v>
      </c>
    </row>
    <row r="181" s="1" customFormat="1" spans="1:1">
      <c r="A181" s="1" t="s">
        <v>489</v>
      </c>
    </row>
    <row r="182" s="1" customFormat="1" spans="1:1">
      <c r="A182" s="1" t="s">
        <v>491</v>
      </c>
    </row>
    <row r="183" s="1" customFormat="1" spans="1:1">
      <c r="A183" s="1" t="s">
        <v>493</v>
      </c>
    </row>
    <row r="184" s="1" customFormat="1" spans="1:1">
      <c r="A184" s="1" t="s">
        <v>495</v>
      </c>
    </row>
    <row r="185" s="1" customFormat="1" spans="1:1">
      <c r="A185" s="1" t="s">
        <v>497</v>
      </c>
    </row>
    <row r="186" s="1" customFormat="1" spans="1:1">
      <c r="A186" s="1" t="s">
        <v>499</v>
      </c>
    </row>
    <row r="187" s="1" customFormat="1" spans="1:1">
      <c r="A187" s="1" t="s">
        <v>501</v>
      </c>
    </row>
    <row r="188" s="1" customFormat="1" spans="1:1">
      <c r="A188" s="1" t="s">
        <v>503</v>
      </c>
    </row>
    <row r="189" s="1" customFormat="1" spans="1:1">
      <c r="A189" s="1" t="s">
        <v>505</v>
      </c>
    </row>
    <row r="190" s="1" customFormat="1" spans="1:1">
      <c r="A190" s="1" t="s">
        <v>507</v>
      </c>
    </row>
    <row r="191" s="1" customFormat="1" spans="1:1">
      <c r="A191" s="1" t="s">
        <v>509</v>
      </c>
    </row>
    <row r="192" s="1" customFormat="1" spans="1:1">
      <c r="A192" s="1" t="s">
        <v>511</v>
      </c>
    </row>
    <row r="193" s="1" customFormat="1" spans="1:1">
      <c r="A193" s="1" t="s">
        <v>513</v>
      </c>
    </row>
    <row r="194" s="1" customFormat="1" spans="1:1">
      <c r="A194" s="1" t="s">
        <v>515</v>
      </c>
    </row>
    <row r="195" s="1" customFormat="1" spans="1:1">
      <c r="A195" s="1" t="s">
        <v>517</v>
      </c>
    </row>
    <row r="196" s="1" customFormat="1" spans="1:1">
      <c r="A196" s="1" t="s">
        <v>519</v>
      </c>
    </row>
    <row r="197" s="1" customFormat="1" spans="1:1">
      <c r="A197" s="1" t="s">
        <v>521</v>
      </c>
    </row>
    <row r="198" s="1" customFormat="1" spans="1:1">
      <c r="A198" s="1" t="s">
        <v>522</v>
      </c>
    </row>
    <row r="199" s="1" customFormat="1" spans="1:1">
      <c r="A199" s="1" t="s">
        <v>523</v>
      </c>
    </row>
    <row r="200" s="1" customFormat="1" spans="1:1">
      <c r="A200" s="1" t="s">
        <v>524</v>
      </c>
    </row>
    <row r="201" s="1" customFormat="1" spans="1:1">
      <c r="A201" s="1" t="s">
        <v>525</v>
      </c>
    </row>
    <row r="202" s="1" customFormat="1" spans="1:1">
      <c r="A202" s="1" t="s">
        <v>526</v>
      </c>
    </row>
    <row r="203" s="1" customFormat="1" spans="1:1">
      <c r="A203" s="1" t="s">
        <v>527</v>
      </c>
    </row>
    <row r="204" s="1" customFormat="1" spans="1:1">
      <c r="A204" s="1" t="s">
        <v>528</v>
      </c>
    </row>
    <row r="205" s="1" customFormat="1" spans="1:1">
      <c r="A205" s="1" t="s">
        <v>529</v>
      </c>
    </row>
    <row r="206" s="1" customFormat="1" spans="1:1">
      <c r="A206" s="1" t="s">
        <v>530</v>
      </c>
    </row>
    <row r="207" s="1" customFormat="1" spans="1:1">
      <c r="A207" s="1" t="s">
        <v>531</v>
      </c>
    </row>
    <row r="208" s="1" customFormat="1" spans="1:1">
      <c r="A208" s="1" t="s">
        <v>532</v>
      </c>
    </row>
    <row r="209" s="1" customFormat="1" spans="1:1">
      <c r="A209" s="1" t="s">
        <v>533</v>
      </c>
    </row>
    <row r="210" s="1" customFormat="1" spans="1:1">
      <c r="A210" s="1" t="s">
        <v>535</v>
      </c>
    </row>
    <row r="211" s="1" customFormat="1" spans="1:1">
      <c r="A211" s="1" t="s">
        <v>537</v>
      </c>
    </row>
    <row r="212" s="1" customFormat="1" spans="1:1">
      <c r="A212" s="1" t="s">
        <v>539</v>
      </c>
    </row>
    <row r="213" s="1" customFormat="1" spans="1:1">
      <c r="A213" s="1" t="s">
        <v>541</v>
      </c>
    </row>
    <row r="214" s="1" customFormat="1" spans="1:1">
      <c r="A214" s="1" t="s">
        <v>543</v>
      </c>
    </row>
    <row r="215" s="1" customFormat="1" spans="1:1">
      <c r="A215" s="1" t="s">
        <v>545</v>
      </c>
    </row>
    <row r="216" s="1" customFormat="1" spans="1:1">
      <c r="A216" s="1" t="s">
        <v>547</v>
      </c>
    </row>
    <row r="217" s="1" customFormat="1" spans="1:1">
      <c r="A217" s="1" t="s">
        <v>549</v>
      </c>
    </row>
    <row r="218" s="1" customFormat="1" spans="1:1">
      <c r="A218" s="1" t="s">
        <v>551</v>
      </c>
    </row>
    <row r="219" s="1" customFormat="1" spans="1:1">
      <c r="A219" s="1" t="s">
        <v>553</v>
      </c>
    </row>
    <row r="220" s="1" customFormat="1" spans="1:1">
      <c r="A220" s="1" t="s">
        <v>555</v>
      </c>
    </row>
    <row r="221" s="1" customFormat="1" spans="1:1">
      <c r="A221" s="1" t="s">
        <v>557</v>
      </c>
    </row>
    <row r="222" s="1" customFormat="1" spans="1:1">
      <c r="A222" s="1" t="s">
        <v>559</v>
      </c>
    </row>
    <row r="223" s="1" customFormat="1" spans="1:1">
      <c r="A223" s="1" t="s">
        <v>561</v>
      </c>
    </row>
    <row r="224" s="1" customFormat="1" spans="1:1">
      <c r="A224" s="1" t="s">
        <v>563</v>
      </c>
    </row>
    <row r="225" s="1" customFormat="1" spans="1:1">
      <c r="A225" s="1" t="s">
        <v>565</v>
      </c>
    </row>
    <row r="226" s="1" customFormat="1" spans="1:1">
      <c r="A226" s="1" t="s">
        <v>567</v>
      </c>
    </row>
    <row r="227" s="1" customFormat="1" spans="1:1">
      <c r="A227" s="1" t="s">
        <v>569</v>
      </c>
    </row>
    <row r="228" s="1" customFormat="1" spans="1:1">
      <c r="A228" s="1" t="s">
        <v>571</v>
      </c>
    </row>
    <row r="229" s="1" customFormat="1" spans="1:1">
      <c r="A229" s="1" t="s">
        <v>573</v>
      </c>
    </row>
    <row r="230" s="1" customFormat="1" spans="1:1">
      <c r="A230" s="1" t="s">
        <v>575</v>
      </c>
    </row>
    <row r="231" s="1" customFormat="1" spans="1:1">
      <c r="A231" s="1" t="s">
        <v>577</v>
      </c>
    </row>
    <row r="232" s="1" customFormat="1" spans="1:1">
      <c r="A232" s="1" t="s">
        <v>579</v>
      </c>
    </row>
    <row r="233" s="1" customFormat="1" spans="1:1">
      <c r="A233" s="1" t="s">
        <v>581</v>
      </c>
    </row>
    <row r="234" s="1" customFormat="1" spans="1:1">
      <c r="A234" s="1" t="s">
        <v>583</v>
      </c>
    </row>
    <row r="235" s="1" customFormat="1" spans="1:1">
      <c r="A235" s="1" t="s">
        <v>585</v>
      </c>
    </row>
    <row r="236" s="1" customFormat="1" spans="1:1">
      <c r="A236" s="1" t="s">
        <v>587</v>
      </c>
    </row>
    <row r="237" s="1" customFormat="1" spans="1:1">
      <c r="A237" s="1" t="s">
        <v>589</v>
      </c>
    </row>
    <row r="238" s="1" customFormat="1" spans="1:1">
      <c r="A238" s="1" t="s">
        <v>591</v>
      </c>
    </row>
    <row r="239" s="1" customFormat="1" spans="1:1">
      <c r="A239" s="1" t="s">
        <v>593</v>
      </c>
    </row>
    <row r="240" s="1" customFormat="1" spans="1:1">
      <c r="A240" s="1" t="s">
        <v>595</v>
      </c>
    </row>
    <row r="241" s="1" customFormat="1" spans="1:1">
      <c r="A241" s="1" t="s">
        <v>597</v>
      </c>
    </row>
    <row r="242" s="1" customFormat="1" spans="1:1">
      <c r="A242" s="1" t="s">
        <v>598</v>
      </c>
    </row>
    <row r="243" s="1" customFormat="1" spans="1:1">
      <c r="A243" s="1" t="s">
        <v>599</v>
      </c>
    </row>
    <row r="244" s="1" customFormat="1" spans="1:1">
      <c r="A244" s="1" t="s">
        <v>600</v>
      </c>
    </row>
    <row r="245" s="1" customFormat="1" spans="1:1">
      <c r="A245" s="1" t="s">
        <v>601</v>
      </c>
    </row>
    <row r="246" s="1" customFormat="1" spans="1:1">
      <c r="A246" s="1" t="s">
        <v>602</v>
      </c>
    </row>
    <row r="247" s="1" customFormat="1" spans="1:1">
      <c r="A247" s="1" t="s">
        <v>603</v>
      </c>
    </row>
    <row r="248" s="1" customFormat="1" spans="1:1">
      <c r="A248" s="1" t="s">
        <v>604</v>
      </c>
    </row>
    <row r="249" s="1" customFormat="1" spans="1:1">
      <c r="A249" s="1" t="s">
        <v>605</v>
      </c>
    </row>
    <row r="250" s="1" customFormat="1" spans="1:1">
      <c r="A250" s="1" t="s">
        <v>606</v>
      </c>
    </row>
    <row r="251" s="1" customFormat="1" spans="1:1">
      <c r="A251" s="1" t="s">
        <v>607</v>
      </c>
    </row>
    <row r="252" s="1" customFormat="1" spans="1:1">
      <c r="A252" s="1" t="s">
        <v>608</v>
      </c>
    </row>
    <row r="253" s="1" customFormat="1" spans="1:1">
      <c r="A253" s="1" t="s">
        <v>609</v>
      </c>
    </row>
    <row r="254" s="1" customFormat="1" spans="1:1">
      <c r="A254" s="1" t="s">
        <v>610</v>
      </c>
    </row>
    <row r="255" s="1" customFormat="1" spans="1:1">
      <c r="A255" s="1" t="s">
        <v>611</v>
      </c>
    </row>
    <row r="256" s="1" customFormat="1" spans="1:1">
      <c r="A256" s="1" t="s">
        <v>612</v>
      </c>
    </row>
    <row r="257" s="1" customFormat="1" spans="1:1">
      <c r="A257" s="1" t="s">
        <v>613</v>
      </c>
    </row>
    <row r="258" s="1" customFormat="1" spans="1:1">
      <c r="A258" s="1" t="s">
        <v>614</v>
      </c>
    </row>
    <row r="259" s="1" customFormat="1" spans="1:1">
      <c r="A259" s="1" t="s">
        <v>615</v>
      </c>
    </row>
    <row r="260" s="1" customFormat="1" spans="1:1">
      <c r="A260" s="1" t="s">
        <v>616</v>
      </c>
    </row>
    <row r="261" s="1" customFormat="1" spans="1:1">
      <c r="A261" s="1" t="s">
        <v>617</v>
      </c>
    </row>
    <row r="262" s="1" customFormat="1" spans="1:1">
      <c r="A262" s="1" t="s">
        <v>618</v>
      </c>
    </row>
    <row r="263" s="1" customFormat="1" spans="1:1">
      <c r="A263" s="1" t="s">
        <v>619</v>
      </c>
    </row>
    <row r="264" s="1" customFormat="1" spans="1:1">
      <c r="A264" s="1" t="s">
        <v>620</v>
      </c>
    </row>
    <row r="265" s="1" customFormat="1" spans="1:1">
      <c r="A265" s="1" t="s">
        <v>621</v>
      </c>
    </row>
    <row r="266" s="1" customFormat="1" spans="1:1">
      <c r="A266" s="1" t="s">
        <v>623</v>
      </c>
    </row>
    <row r="267" s="1" customFormat="1" spans="1:1">
      <c r="A267" s="1" t="s">
        <v>625</v>
      </c>
    </row>
    <row r="268" s="1" customFormat="1" spans="1:1">
      <c r="A268" s="1" t="s">
        <v>627</v>
      </c>
    </row>
    <row r="269" s="1" customFormat="1" spans="1:1">
      <c r="A269" s="1" t="s">
        <v>629</v>
      </c>
    </row>
    <row r="270" s="1" customFormat="1" spans="1:1">
      <c r="A270" s="1" t="s">
        <v>631</v>
      </c>
    </row>
    <row r="271" s="1" customFormat="1" spans="1:1">
      <c r="A271" s="1" t="s">
        <v>633</v>
      </c>
    </row>
    <row r="272" s="1" customFormat="1" spans="1:1">
      <c r="A272" s="1" t="s">
        <v>635</v>
      </c>
    </row>
    <row r="273" s="1" customFormat="1" spans="1:1">
      <c r="A273" s="1" t="s">
        <v>637</v>
      </c>
    </row>
    <row r="274" s="1" customFormat="1" spans="1:1">
      <c r="A274" s="1" t="s">
        <v>639</v>
      </c>
    </row>
    <row r="275" s="1" customFormat="1" spans="1:1">
      <c r="A275" s="1" t="s">
        <v>641</v>
      </c>
    </row>
    <row r="276" s="1" customFormat="1" spans="1:1">
      <c r="A276" s="1" t="s">
        <v>643</v>
      </c>
    </row>
    <row r="277" s="1" customFormat="1" spans="1:1">
      <c r="A277" s="1" t="s">
        <v>645</v>
      </c>
    </row>
    <row r="278" s="1" customFormat="1" spans="1:1">
      <c r="A278" s="1" t="s">
        <v>647</v>
      </c>
    </row>
    <row r="279" s="1" customFormat="1" spans="1:1">
      <c r="A279" s="1" t="s">
        <v>649</v>
      </c>
    </row>
    <row r="280" s="1" customFormat="1" spans="1:1">
      <c r="A280" s="1" t="s">
        <v>651</v>
      </c>
    </row>
    <row r="281" s="1" customFormat="1" spans="1:1">
      <c r="A281" s="1" t="s">
        <v>653</v>
      </c>
    </row>
    <row r="282" s="1" customFormat="1" spans="1:1">
      <c r="A282" s="1" t="s">
        <v>655</v>
      </c>
    </row>
    <row r="283" s="1" customFormat="1" spans="1:1">
      <c r="A283" s="1" t="s">
        <v>657</v>
      </c>
    </row>
    <row r="284" s="1" customFormat="1" spans="1:1">
      <c r="A284" s="1" t="s">
        <v>659</v>
      </c>
    </row>
    <row r="285" s="1" customFormat="1" spans="1:1">
      <c r="A285" s="1" t="s">
        <v>661</v>
      </c>
    </row>
    <row r="286" s="1" customFormat="1" spans="1:1">
      <c r="A286" s="1" t="s">
        <v>663</v>
      </c>
    </row>
    <row r="287" s="1" customFormat="1" spans="1:1">
      <c r="A287" s="1" t="s">
        <v>665</v>
      </c>
    </row>
    <row r="288" s="1" customFormat="1" spans="1:1">
      <c r="A288" s="1" t="s">
        <v>666</v>
      </c>
    </row>
    <row r="289" s="1" customFormat="1" spans="1:1">
      <c r="A289" s="1" t="s">
        <v>668</v>
      </c>
    </row>
    <row r="290" s="1" customFormat="1" spans="1:1">
      <c r="A290" s="1" t="s">
        <v>670</v>
      </c>
    </row>
    <row r="291" s="1" customFormat="1" spans="1:1">
      <c r="A291" s="1" t="s">
        <v>672</v>
      </c>
    </row>
    <row r="292" s="1" customFormat="1" spans="1:1">
      <c r="A292" s="1" t="s">
        <v>674</v>
      </c>
    </row>
    <row r="293" s="1" customFormat="1" spans="1:1">
      <c r="A293" s="1" t="s">
        <v>676</v>
      </c>
    </row>
    <row r="294" s="1" customFormat="1" spans="1:1">
      <c r="A294" s="1" t="s">
        <v>678</v>
      </c>
    </row>
    <row r="295" s="1" customFormat="1" spans="1:1">
      <c r="A295" s="1" t="s">
        <v>680</v>
      </c>
    </row>
    <row r="296" s="1" customFormat="1" spans="1:1">
      <c r="A296" s="1" t="s">
        <v>682</v>
      </c>
    </row>
    <row r="297" s="1" customFormat="1" spans="1:1">
      <c r="A297" s="1" t="s">
        <v>684</v>
      </c>
    </row>
    <row r="298" s="1" customFormat="1" spans="1:1">
      <c r="A298" s="1" t="s">
        <v>686</v>
      </c>
    </row>
    <row r="299" s="1" customFormat="1" spans="1:1">
      <c r="A299" s="1" t="s">
        <v>688</v>
      </c>
    </row>
    <row r="300" s="1" customFormat="1" spans="1:1">
      <c r="A300" s="1" t="s">
        <v>690</v>
      </c>
    </row>
    <row r="301" s="1" customFormat="1" spans="1:1">
      <c r="A301" s="1" t="s">
        <v>692</v>
      </c>
    </row>
    <row r="302" s="1" customFormat="1" spans="1:1">
      <c r="A302" s="1" t="s">
        <v>694</v>
      </c>
    </row>
    <row r="303" s="1" customFormat="1" spans="1:1">
      <c r="A303" s="1" t="s">
        <v>696</v>
      </c>
    </row>
    <row r="304" s="1" customFormat="1" spans="1:1">
      <c r="A304" s="1" t="s">
        <v>698</v>
      </c>
    </row>
    <row r="305" s="1" customFormat="1" spans="1:1">
      <c r="A305" s="1" t="s">
        <v>700</v>
      </c>
    </row>
    <row r="306" s="1" customFormat="1" spans="1:1">
      <c r="A306" s="1" t="s">
        <v>702</v>
      </c>
    </row>
    <row r="307" s="1" customFormat="1" spans="1:1">
      <c r="A307" s="1" t="s">
        <v>704</v>
      </c>
    </row>
    <row r="308" s="1" customFormat="1" spans="1:1">
      <c r="A308" s="1" t="s">
        <v>706</v>
      </c>
    </row>
    <row r="309" s="1" customFormat="1" spans="1:1">
      <c r="A309" s="1" t="s">
        <v>708</v>
      </c>
    </row>
    <row r="310" s="1" customFormat="1" spans="1:1">
      <c r="A310" s="1" t="s">
        <v>710</v>
      </c>
    </row>
    <row r="311" s="1" customFormat="1" spans="1:1">
      <c r="A311" s="1" t="s">
        <v>712</v>
      </c>
    </row>
    <row r="312" s="1" customFormat="1" spans="1:1">
      <c r="A312" s="1" t="s">
        <v>714</v>
      </c>
    </row>
    <row r="313" s="1" customFormat="1" spans="1:1">
      <c r="A313" s="1" t="s">
        <v>716</v>
      </c>
    </row>
    <row r="314" s="1" customFormat="1" spans="1:1">
      <c r="A314" s="1" t="s">
        <v>718</v>
      </c>
    </row>
    <row r="315" s="1" customFormat="1" spans="1:1">
      <c r="A315" s="1" t="s">
        <v>720</v>
      </c>
    </row>
    <row r="316" s="1" customFormat="1" spans="1:1">
      <c r="A316" s="1" t="s">
        <v>722</v>
      </c>
    </row>
    <row r="317" s="1" customFormat="1" spans="1:1">
      <c r="A317" s="1" t="s">
        <v>724</v>
      </c>
    </row>
    <row r="318" s="1" customFormat="1" spans="1:1">
      <c r="A318" s="1" t="s">
        <v>726</v>
      </c>
    </row>
    <row r="319" s="1" customFormat="1" spans="1:1">
      <c r="A319" s="1" t="s">
        <v>728</v>
      </c>
    </row>
    <row r="320" s="1" customFormat="1" spans="1:1">
      <c r="A320" s="1" t="s">
        <v>730</v>
      </c>
    </row>
    <row r="321" s="1" customFormat="1" spans="1:1">
      <c r="A321" s="1" t="s">
        <v>732</v>
      </c>
    </row>
    <row r="322" s="1" customFormat="1" spans="1:1">
      <c r="A322" s="1" t="s">
        <v>734</v>
      </c>
    </row>
    <row r="323" s="1" customFormat="1" spans="1:1">
      <c r="A323" s="1" t="s">
        <v>736</v>
      </c>
    </row>
    <row r="324" s="1" customFormat="1" spans="1:1">
      <c r="A324" s="1" t="s">
        <v>738</v>
      </c>
    </row>
    <row r="325" s="1" customFormat="1" spans="1:1">
      <c r="A325" s="1" t="s">
        <v>740</v>
      </c>
    </row>
    <row r="326" s="1" customFormat="1" spans="1:1">
      <c r="A326" s="1" t="s">
        <v>742</v>
      </c>
    </row>
    <row r="327" s="1" customFormat="1" spans="1:1">
      <c r="A327" s="1" t="s">
        <v>744</v>
      </c>
    </row>
    <row r="328" s="1" customFormat="1" spans="1:1">
      <c r="A328" s="1" t="s">
        <v>746</v>
      </c>
    </row>
    <row r="329" s="1" customFormat="1" spans="1:1">
      <c r="A329" s="1" t="s">
        <v>748</v>
      </c>
    </row>
    <row r="330" s="1" customFormat="1" spans="1:1">
      <c r="A330" s="1" t="s">
        <v>750</v>
      </c>
    </row>
    <row r="331" s="1" customFormat="1" spans="1:1">
      <c r="A331" s="1" t="s">
        <v>752</v>
      </c>
    </row>
    <row r="332" s="1" customFormat="1" spans="1:1">
      <c r="A332" s="1" t="s">
        <v>754</v>
      </c>
    </row>
    <row r="333" s="1" customFormat="1" spans="1:1">
      <c r="A333" s="1" t="s">
        <v>756</v>
      </c>
    </row>
    <row r="334" s="1" customFormat="1" spans="1:1">
      <c r="A334" s="1" t="s">
        <v>758</v>
      </c>
    </row>
    <row r="335" s="1" customFormat="1" spans="1:1">
      <c r="A335" s="1" t="s">
        <v>760</v>
      </c>
    </row>
    <row r="336" s="1" customFormat="1" spans="1:1">
      <c r="A336" s="1" t="s">
        <v>762</v>
      </c>
    </row>
    <row r="337" s="1" customFormat="1" spans="1:1">
      <c r="A337" s="1" t="s">
        <v>764</v>
      </c>
    </row>
    <row r="338" s="1" customFormat="1" spans="1:1">
      <c r="A338" s="1" t="s">
        <v>766</v>
      </c>
    </row>
    <row r="339" s="1" customFormat="1" spans="1:1">
      <c r="A339" s="1" t="s">
        <v>768</v>
      </c>
    </row>
    <row r="340" s="1" customFormat="1" spans="1:1">
      <c r="A340" s="1" t="s">
        <v>770</v>
      </c>
    </row>
    <row r="341" s="1" customFormat="1" spans="1:1">
      <c r="A341" s="1" t="s">
        <v>772</v>
      </c>
    </row>
    <row r="342" s="1" customFormat="1" spans="1:1">
      <c r="A342" s="1" t="s">
        <v>774</v>
      </c>
    </row>
    <row r="343" s="1" customFormat="1" spans="1:1">
      <c r="A343" s="1" t="s">
        <v>776</v>
      </c>
    </row>
    <row r="344" s="1" customFormat="1" spans="1:1">
      <c r="A344" s="1" t="s">
        <v>778</v>
      </c>
    </row>
    <row r="345" s="1" customFormat="1" spans="1:1">
      <c r="A345" s="1" t="s">
        <v>780</v>
      </c>
    </row>
    <row r="346" s="1" customFormat="1" spans="1:1">
      <c r="A346" s="1" t="s">
        <v>782</v>
      </c>
    </row>
    <row r="347" s="1" customFormat="1" spans="1:1">
      <c r="A347" s="1" t="s">
        <v>784</v>
      </c>
    </row>
    <row r="348" s="1" customFormat="1" spans="1:1">
      <c r="A348" s="1" t="s">
        <v>786</v>
      </c>
    </row>
    <row r="349" s="1" customFormat="1" spans="1:1">
      <c r="A349" s="1" t="s">
        <v>788</v>
      </c>
    </row>
    <row r="350" s="1" customFormat="1" spans="1:1">
      <c r="A350" s="1" t="s">
        <v>790</v>
      </c>
    </row>
    <row r="351" s="1" customFormat="1" spans="1:1">
      <c r="A351" s="1" t="s">
        <v>792</v>
      </c>
    </row>
    <row r="352" s="1" customFormat="1" spans="1:1">
      <c r="A352" s="1" t="s">
        <v>794</v>
      </c>
    </row>
    <row r="353" s="1" customFormat="1" spans="1:1">
      <c r="A353" s="1" t="s">
        <v>796</v>
      </c>
    </row>
    <row r="354" s="1" customFormat="1" spans="1:1">
      <c r="A354" s="1" t="s">
        <v>798</v>
      </c>
    </row>
    <row r="355" s="1" customFormat="1" spans="1:1">
      <c r="A355" s="1" t="s">
        <v>800</v>
      </c>
    </row>
    <row r="356" s="1" customFormat="1" spans="1:1">
      <c r="A356" s="1" t="s">
        <v>802</v>
      </c>
    </row>
    <row r="357" s="1" customFormat="1" spans="1:1">
      <c r="A357" s="1" t="s">
        <v>804</v>
      </c>
    </row>
    <row r="358" s="1" customFormat="1" spans="1:1">
      <c r="A358" s="1" t="s">
        <v>806</v>
      </c>
    </row>
    <row r="359" s="1" customFormat="1" spans="1:1">
      <c r="A359" s="1" t="s">
        <v>808</v>
      </c>
    </row>
    <row r="360" s="1" customFormat="1" spans="1:1">
      <c r="A360" s="1" t="s">
        <v>810</v>
      </c>
    </row>
    <row r="361" s="1" customFormat="1" spans="1:1">
      <c r="A361" s="1" t="s">
        <v>812</v>
      </c>
    </row>
    <row r="362" s="1" customFormat="1" spans="1:1">
      <c r="A362" s="1" t="s">
        <v>813</v>
      </c>
    </row>
    <row r="363" s="1" customFormat="1" spans="1:1">
      <c r="A363" s="1" t="s">
        <v>814</v>
      </c>
    </row>
    <row r="364" s="1" customFormat="1" spans="1:1">
      <c r="A364" s="1" t="s">
        <v>815</v>
      </c>
    </row>
    <row r="365" s="1" customFormat="1" spans="1:1">
      <c r="A365" s="1" t="s">
        <v>816</v>
      </c>
    </row>
    <row r="366" s="1" customFormat="1" spans="1:1">
      <c r="A366" s="1" t="s">
        <v>817</v>
      </c>
    </row>
    <row r="367" s="1" customFormat="1" spans="1:1">
      <c r="A367" s="1" t="s">
        <v>818</v>
      </c>
    </row>
    <row r="368" s="1" customFormat="1" spans="1:1">
      <c r="A368" s="1" t="s">
        <v>819</v>
      </c>
    </row>
    <row r="369" s="1" customFormat="1" spans="1:1">
      <c r="A369" s="1" t="s">
        <v>820</v>
      </c>
    </row>
    <row r="370" s="1" customFormat="1" spans="1:1">
      <c r="A370" s="1" t="s">
        <v>821</v>
      </c>
    </row>
    <row r="371" s="1" customFormat="1" spans="1:1">
      <c r="A371" s="1" t="s">
        <v>822</v>
      </c>
    </row>
    <row r="372" s="1" customFormat="1" spans="1:1">
      <c r="A372" s="1" t="s">
        <v>823</v>
      </c>
    </row>
    <row r="373" s="1" customFormat="1" spans="1:1">
      <c r="A373" s="1" t="s">
        <v>824</v>
      </c>
    </row>
    <row r="374" s="1" customFormat="1" spans="1:1">
      <c r="A374" s="1" t="s">
        <v>825</v>
      </c>
    </row>
    <row r="375" s="1" customFormat="1" spans="1:1">
      <c r="A375" s="1" t="s">
        <v>826</v>
      </c>
    </row>
    <row r="376" s="1" customFormat="1" spans="1:1">
      <c r="A376" s="1" t="s">
        <v>827</v>
      </c>
    </row>
    <row r="377" s="1" customFormat="1" spans="1:1">
      <c r="A377" s="1" t="s">
        <v>828</v>
      </c>
    </row>
    <row r="378" s="1" customFormat="1" spans="1:1">
      <c r="A378" s="1" t="s">
        <v>829</v>
      </c>
    </row>
    <row r="379" s="1" customFormat="1" spans="1:1">
      <c r="A379" s="1" t="s">
        <v>830</v>
      </c>
    </row>
    <row r="380" s="1" customFormat="1" spans="1:1">
      <c r="A380" s="1" t="s">
        <v>831</v>
      </c>
    </row>
    <row r="381" s="1" customFormat="1" spans="1:1">
      <c r="A381" s="1" t="s">
        <v>832</v>
      </c>
    </row>
    <row r="382" s="1" customFormat="1" spans="1:1">
      <c r="A382" s="1" t="s">
        <v>833</v>
      </c>
    </row>
    <row r="383" s="1" customFormat="1" spans="1:1">
      <c r="A383" s="1" t="s">
        <v>834</v>
      </c>
    </row>
    <row r="384" s="1" customFormat="1" spans="1:1">
      <c r="A384" s="1" t="s">
        <v>835</v>
      </c>
    </row>
    <row r="385" s="1" customFormat="1" spans="1:1">
      <c r="A385" s="1" t="s">
        <v>836</v>
      </c>
    </row>
    <row r="386" s="1" customFormat="1" spans="1:1">
      <c r="A386" s="1" t="s">
        <v>838</v>
      </c>
    </row>
    <row r="387" s="1" customFormat="1" spans="1:1">
      <c r="A387" s="1" t="s">
        <v>840</v>
      </c>
    </row>
    <row r="388" s="1" customFormat="1" spans="1:1">
      <c r="A388" s="1" t="s">
        <v>842</v>
      </c>
    </row>
    <row r="389" s="1" customFormat="1" spans="1:1">
      <c r="A389" s="1" t="s">
        <v>844</v>
      </c>
    </row>
    <row r="390" s="1" customFormat="1" spans="1:1">
      <c r="A390" s="1" t="s">
        <v>846</v>
      </c>
    </row>
    <row r="391" s="1" customFormat="1" spans="1:1">
      <c r="A391" s="1" t="s">
        <v>848</v>
      </c>
    </row>
    <row r="392" s="1" customFormat="1" spans="1:1">
      <c r="A392" s="1" t="s">
        <v>850</v>
      </c>
    </row>
    <row r="393" s="1" customFormat="1" spans="1:1">
      <c r="A393" s="1" t="s">
        <v>852</v>
      </c>
    </row>
    <row r="394" s="1" customFormat="1" spans="1:1">
      <c r="A394" s="1" t="s">
        <v>854</v>
      </c>
    </row>
    <row r="395" s="1" customFormat="1" spans="1:1">
      <c r="A395" s="1" t="s">
        <v>856</v>
      </c>
    </row>
    <row r="396" s="1" customFormat="1" spans="1:1">
      <c r="A396" s="1" t="s">
        <v>858</v>
      </c>
    </row>
    <row r="397" s="1" customFormat="1" spans="1:1">
      <c r="A397" s="1" t="s">
        <v>860</v>
      </c>
    </row>
    <row r="398" s="1" customFormat="1" spans="1:1">
      <c r="A398" s="1" t="s">
        <v>862</v>
      </c>
    </row>
    <row r="399" s="1" customFormat="1" spans="1:1">
      <c r="A399" s="1" t="s">
        <v>864</v>
      </c>
    </row>
    <row r="400" s="1" customFormat="1" spans="1:1">
      <c r="A400" s="1" t="s">
        <v>866</v>
      </c>
    </row>
    <row r="401" s="1" customFormat="1" spans="1:1">
      <c r="A401" s="1" t="s">
        <v>868</v>
      </c>
    </row>
    <row r="402" s="1" customFormat="1" spans="1:1">
      <c r="A402" s="1" t="s">
        <v>870</v>
      </c>
    </row>
    <row r="403" s="1" customFormat="1" spans="1:1">
      <c r="A403" s="1" t="s">
        <v>872</v>
      </c>
    </row>
    <row r="404" s="1" customFormat="1" spans="1:1">
      <c r="A404" s="1" t="s">
        <v>874</v>
      </c>
    </row>
    <row r="405" s="1" customFormat="1" spans="1:1">
      <c r="A405" s="1" t="s">
        <v>876</v>
      </c>
    </row>
    <row r="406" s="1" customFormat="1" spans="1:1">
      <c r="A406" s="1" t="s">
        <v>878</v>
      </c>
    </row>
    <row r="407" s="1" customFormat="1" spans="1:1">
      <c r="A407" s="1" t="s">
        <v>880</v>
      </c>
    </row>
    <row r="408" s="1" customFormat="1" spans="1:1">
      <c r="A408" s="1" t="s">
        <v>882</v>
      </c>
    </row>
    <row r="409" s="1" customFormat="1" spans="1:1">
      <c r="A409" s="1" t="s">
        <v>884</v>
      </c>
    </row>
    <row r="410" s="1" customFormat="1" spans="1:1">
      <c r="A410" s="1" t="s">
        <v>886</v>
      </c>
    </row>
    <row r="411" s="1" customFormat="1" spans="1:1">
      <c r="A411" s="1" t="s">
        <v>888</v>
      </c>
    </row>
    <row r="412" s="1" customFormat="1" spans="1:1">
      <c r="A412" s="1" t="s">
        <v>890</v>
      </c>
    </row>
    <row r="413" s="1" customFormat="1" spans="1:1">
      <c r="A413" s="1" t="s">
        <v>892</v>
      </c>
    </row>
    <row r="414" s="1" customFormat="1" spans="1:1">
      <c r="A414" s="1" t="s">
        <v>894</v>
      </c>
    </row>
    <row r="415" s="1" customFormat="1" spans="1:1">
      <c r="A415" s="1" t="s">
        <v>896</v>
      </c>
    </row>
    <row r="416" s="1" customFormat="1" spans="1:1">
      <c r="A416" s="1" t="s">
        <v>898</v>
      </c>
    </row>
    <row r="417" s="1" customFormat="1" spans="1:1">
      <c r="A417" s="1" t="s">
        <v>900</v>
      </c>
    </row>
    <row r="418" s="1" customFormat="1" spans="1:1">
      <c r="A418" s="1" t="s">
        <v>902</v>
      </c>
    </row>
    <row r="419" s="1" customFormat="1" spans="1:1">
      <c r="A419" s="1" t="s">
        <v>904</v>
      </c>
    </row>
    <row r="420" s="1" customFormat="1" spans="1:1">
      <c r="A420" s="1" t="s">
        <v>906</v>
      </c>
    </row>
    <row r="421" s="1" customFormat="1" spans="1:1">
      <c r="A421" s="1" t="s">
        <v>908</v>
      </c>
    </row>
    <row r="422" s="1" customFormat="1" spans="1:1">
      <c r="A422" s="1" t="s">
        <v>910</v>
      </c>
    </row>
    <row r="423" s="1" customFormat="1" spans="1:1">
      <c r="A423" s="1" t="s">
        <v>912</v>
      </c>
    </row>
    <row r="424" s="1" customFormat="1" spans="1:1">
      <c r="A424" s="1" t="s">
        <v>914</v>
      </c>
    </row>
    <row r="425" s="1" customFormat="1" spans="1:1">
      <c r="A425" s="1" t="s">
        <v>916</v>
      </c>
    </row>
    <row r="426" s="1" customFormat="1" spans="1:1">
      <c r="A426" s="1" t="s">
        <v>918</v>
      </c>
    </row>
    <row r="427" s="1" customFormat="1" spans="1:1">
      <c r="A427" s="1" t="s">
        <v>920</v>
      </c>
    </row>
    <row r="428" s="1" customFormat="1" spans="1:1">
      <c r="A428" s="1" t="s">
        <v>922</v>
      </c>
    </row>
    <row r="429" s="1" customFormat="1" spans="1:1">
      <c r="A429" s="1" t="s">
        <v>924</v>
      </c>
    </row>
    <row r="430" s="1" customFormat="1" spans="1:1">
      <c r="A430" s="1" t="s">
        <v>926</v>
      </c>
    </row>
    <row r="431" s="1" customFormat="1" spans="1:1">
      <c r="A431" s="1" t="s">
        <v>928</v>
      </c>
    </row>
    <row r="432" s="1" customFormat="1" spans="1:1">
      <c r="A432" s="1" t="s">
        <v>930</v>
      </c>
    </row>
    <row r="433" s="1" customFormat="1" spans="1:1">
      <c r="A433" s="1" t="s">
        <v>932</v>
      </c>
    </row>
    <row r="434" s="1" customFormat="1" spans="1:1">
      <c r="A434" s="1" t="s">
        <v>934</v>
      </c>
    </row>
    <row r="435" s="1" customFormat="1" spans="1:1">
      <c r="A435" s="1" t="s">
        <v>936</v>
      </c>
    </row>
    <row r="436" s="1" customFormat="1" spans="1:1">
      <c r="A436" s="1" t="s">
        <v>938</v>
      </c>
    </row>
    <row r="437" s="1" customFormat="1" spans="1:1">
      <c r="A437" s="1" t="s">
        <v>940</v>
      </c>
    </row>
    <row r="438" s="1" customFormat="1" spans="1:1">
      <c r="A438" s="1" t="s">
        <v>942</v>
      </c>
    </row>
    <row r="439" s="1" customFormat="1" spans="1:1">
      <c r="A439" s="1" t="s">
        <v>944</v>
      </c>
    </row>
    <row r="440" s="1" customFormat="1" spans="1:1">
      <c r="A440" s="1" t="s">
        <v>946</v>
      </c>
    </row>
    <row r="441" s="1" customFormat="1" spans="1:1">
      <c r="A441" s="1" t="s">
        <v>948</v>
      </c>
    </row>
    <row r="442" s="1" customFormat="1" spans="1:1">
      <c r="A442" s="1" t="s">
        <v>950</v>
      </c>
    </row>
    <row r="443" s="1" customFormat="1" spans="1:1">
      <c r="A443" s="1" t="s">
        <v>952</v>
      </c>
    </row>
    <row r="444" s="1" customFormat="1" spans="1:1">
      <c r="A444" s="1" t="s">
        <v>954</v>
      </c>
    </row>
    <row r="445" s="1" customFormat="1" spans="1:1">
      <c r="A445" s="1" t="s">
        <v>956</v>
      </c>
    </row>
    <row r="446" s="1" customFormat="1" spans="1:1">
      <c r="A446" s="1" t="s">
        <v>958</v>
      </c>
    </row>
    <row r="447" s="1" customFormat="1" spans="1:1">
      <c r="A447" s="1" t="s">
        <v>960</v>
      </c>
    </row>
    <row r="448" s="1" customFormat="1" spans="1:1">
      <c r="A448" s="1" t="s">
        <v>962</v>
      </c>
    </row>
    <row r="449" s="1" customFormat="1" spans="1:1">
      <c r="A449" s="1" t="s">
        <v>964</v>
      </c>
    </row>
    <row r="450" s="1" customFormat="1" spans="1:1">
      <c r="A450" s="1" t="s">
        <v>966</v>
      </c>
    </row>
    <row r="451" s="1" customFormat="1" spans="1:1">
      <c r="A451" s="1" t="s">
        <v>968</v>
      </c>
    </row>
    <row r="452" s="1" customFormat="1" spans="1:1">
      <c r="A452" s="1" t="s">
        <v>970</v>
      </c>
    </row>
    <row r="453" s="1" customFormat="1" spans="1:1">
      <c r="A453" s="1" t="s">
        <v>972</v>
      </c>
    </row>
    <row r="454" s="1" customFormat="1" spans="1:1">
      <c r="A454" s="1" t="s">
        <v>974</v>
      </c>
    </row>
    <row r="455" s="1" customFormat="1" spans="1:1">
      <c r="A455" s="1" t="s">
        <v>976</v>
      </c>
    </row>
    <row r="456" s="1" customFormat="1" spans="1:1">
      <c r="A456" s="1" t="s">
        <v>978</v>
      </c>
    </row>
    <row r="457" s="1" customFormat="1" spans="1:1">
      <c r="A457" s="1" t="s">
        <v>980</v>
      </c>
    </row>
    <row r="458" s="1" customFormat="1" spans="1:1">
      <c r="A458" s="1" t="s">
        <v>982</v>
      </c>
    </row>
    <row r="459" s="1" customFormat="1" spans="1:1">
      <c r="A459" s="1" t="s">
        <v>984</v>
      </c>
    </row>
    <row r="460" s="1" customFormat="1" spans="1:1">
      <c r="A460" s="1" t="s">
        <v>986</v>
      </c>
    </row>
    <row r="461" s="1" customFormat="1" spans="1:1">
      <c r="A461" s="1" t="s">
        <v>988</v>
      </c>
    </row>
    <row r="462" s="1" customFormat="1" spans="1:1">
      <c r="A462" s="1" t="s">
        <v>990</v>
      </c>
    </row>
    <row r="463" s="1" customFormat="1" spans="1:1">
      <c r="A463" s="1" t="s">
        <v>992</v>
      </c>
    </row>
    <row r="464" s="1" customFormat="1" spans="1:1">
      <c r="A464" s="1" t="s">
        <v>994</v>
      </c>
    </row>
    <row r="465" s="1" customFormat="1" spans="1:1">
      <c r="A465" s="1" t="s">
        <v>996</v>
      </c>
    </row>
    <row r="466" s="1" customFormat="1" spans="1:1">
      <c r="A466" s="1" t="s">
        <v>998</v>
      </c>
    </row>
    <row r="467" s="1" customFormat="1" spans="1:1">
      <c r="A467" s="1" t="s">
        <v>1000</v>
      </c>
    </row>
    <row r="468" s="1" customFormat="1" spans="1:1">
      <c r="A468" s="1" t="s">
        <v>1002</v>
      </c>
    </row>
    <row r="469" s="1" customFormat="1" spans="1:1">
      <c r="A469" s="1" t="s">
        <v>1004</v>
      </c>
    </row>
    <row r="470" s="1" customFormat="1" spans="1:1">
      <c r="A470" s="1" t="s">
        <v>1006</v>
      </c>
    </row>
    <row r="471" s="1" customFormat="1" spans="1:1">
      <c r="A471" s="1" t="s">
        <v>1008</v>
      </c>
    </row>
    <row r="472" s="1" customFormat="1" spans="1:1">
      <c r="A472" s="1" t="s">
        <v>1010</v>
      </c>
    </row>
    <row r="473" s="1" customFormat="1" spans="1:1">
      <c r="A473" s="1" t="s">
        <v>1012</v>
      </c>
    </row>
    <row r="474" s="1" customFormat="1" spans="1:1">
      <c r="A474" s="1" t="s">
        <v>1014</v>
      </c>
    </row>
    <row r="475" s="1" customFormat="1" spans="1:1">
      <c r="A475" s="1" t="s">
        <v>1016</v>
      </c>
    </row>
    <row r="476" s="1" customFormat="1" spans="1:1">
      <c r="A476" s="1" t="s">
        <v>1018</v>
      </c>
    </row>
    <row r="477" s="1" customFormat="1" spans="1:1">
      <c r="A477" s="1" t="s">
        <v>1020</v>
      </c>
    </row>
    <row r="478" s="1" customFormat="1" spans="1:1">
      <c r="A478" s="1" t="s">
        <v>1022</v>
      </c>
    </row>
    <row r="479" s="1" customFormat="1" spans="1:1">
      <c r="A479" s="1" t="s">
        <v>1024</v>
      </c>
    </row>
    <row r="480" s="1" customFormat="1" spans="1:1">
      <c r="A480" s="1" t="s">
        <v>1026</v>
      </c>
    </row>
    <row r="481" s="1" customFormat="1" spans="1:11">
      <c r="A481" s="1" t="s">
        <v>1028</v>
      </c>
      <c r="B481" s="1" t="s">
        <v>59</v>
      </c>
      <c r="C481" s="1" t="s">
        <v>1029</v>
      </c>
      <c r="D481" s="1" t="s">
        <v>1030</v>
      </c>
      <c r="E481" s="1" t="s">
        <v>1031</v>
      </c>
      <c r="F481" s="1" t="s">
        <v>1032</v>
      </c>
      <c r="G481" s="1" t="s">
        <v>1033</v>
      </c>
      <c r="H481" s="1" t="s">
        <v>1034</v>
      </c>
      <c r="I481" s="1" t="s">
        <v>1035</v>
      </c>
      <c r="J481" s="1" t="s">
        <v>1036</v>
      </c>
      <c r="K481" s="1" t="s">
        <v>1037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LB-10</vt:lpstr>
      <vt:lpstr>LP-10</vt:lpstr>
      <vt:lpstr>Reference</vt:lpstr>
      <vt:lpstr>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zuhai.zhang</cp:lastModifiedBy>
  <dcterms:created xsi:type="dcterms:W3CDTF">2011-06-30T00:09:00Z</dcterms:created>
  <dcterms:modified xsi:type="dcterms:W3CDTF">2026-03-05T09:14:53Z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ICV">
    <vt:lpwstr>5B3AF336B80945F5B4CD1DAB8343266B</vt:lpwstr>
  </property>
  <property fmtid="{D5CDD505-2E9C-101B-9397-08002B2CF9AE}" pid="4" name="KSOProductBuildVer">
    <vt:lpwstr>2052-11.8.2.12307</vt:lpwstr>
  </property>
</Properties>
</file>