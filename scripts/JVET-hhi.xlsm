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-22.04\home\zhy\HHI\HHI_TS2X2_new\script\"/>
    </mc:Choice>
  </mc:AlternateContent>
  <xr:revisionPtr revIDLastSave="0" documentId="13_ncr:1_{738A33CD-5F93-4327-89C0-D6F15DEAF0D2}" xr6:coauthVersionLast="47" xr6:coauthVersionMax="47" xr10:uidLastSave="{00000000-0000-0000-0000-000000000000}"/>
  <bookViews>
    <workbookView xWindow="2505" yWindow="3120" windowWidth="20745" windowHeight="16275" tabRatio="884" activeTab="4" xr2:uid="{00000000-000D-0000-FFFF-FFFF00000000}"/>
  </bookViews>
  <sheets>
    <sheet name="Summary" sheetId="1" r:id="rId1"/>
    <sheet name="Plot" sheetId="2" r:id="rId2"/>
    <sheet name="AI-10" sheetId="3" r:id="rId3"/>
    <sheet name="RA-10" sheetId="4" r:id="rId4"/>
    <sheet name="LB-10" sheetId="5" r:id="rId5"/>
    <sheet name="LP-10" sheetId="6" r:id="rId6"/>
    <sheet name="Reference" sheetId="7" r:id="rId7"/>
    <sheet name="Test" sheetId="8" r:id="rId8"/>
  </sheets>
  <functionGroups builtInGroupCount="19"/>
  <definedNames>
    <definedName name="_xlnm._FilterDatabase" localSheetId="1" hidden="1">Plot!$A$1:$B$2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H131" i="5" l="1"/>
  <c r="AH126" i="5"/>
  <c r="AH127" i="5"/>
  <c r="AH128" i="5"/>
  <c r="AH129" i="5"/>
  <c r="AH130" i="5"/>
  <c r="AH125" i="5"/>
  <c r="AH131" i="4"/>
  <c r="AH130" i="4"/>
  <c r="AH129" i="4"/>
  <c r="AH126" i="4"/>
  <c r="AH127" i="4"/>
  <c r="AH125" i="4"/>
  <c r="AH124" i="4"/>
  <c r="AH123" i="4"/>
  <c r="AL30" i="4"/>
  <c r="AK30" i="4"/>
  <c r="AJ30" i="4"/>
  <c r="AI30" i="4"/>
  <c r="AL29" i="4"/>
  <c r="AK29" i="4"/>
  <c r="AJ29" i="4"/>
  <c r="AI29" i="4"/>
  <c r="AL28" i="4"/>
  <c r="AK28" i="4"/>
  <c r="AJ28" i="4"/>
  <c r="AI28" i="4"/>
  <c r="AL27" i="4"/>
  <c r="AK27" i="4"/>
  <c r="AJ27" i="4"/>
  <c r="AI27" i="4"/>
  <c r="AH27" i="4"/>
  <c r="AL46" i="4"/>
  <c r="AK46" i="4"/>
  <c r="AJ46" i="4"/>
  <c r="AI46" i="4"/>
  <c r="AL45" i="4"/>
  <c r="AK45" i="4"/>
  <c r="AJ45" i="4"/>
  <c r="AI45" i="4"/>
  <c r="AL44" i="4"/>
  <c r="AK44" i="4"/>
  <c r="AJ44" i="4"/>
  <c r="AI44" i="4"/>
  <c r="AL43" i="4"/>
  <c r="AK43" i="4"/>
  <c r="AJ43" i="4"/>
  <c r="AI43" i="4"/>
  <c r="AH43" i="4"/>
  <c r="AL42" i="4"/>
  <c r="AK42" i="4"/>
  <c r="AJ42" i="4"/>
  <c r="AI42" i="4"/>
  <c r="AL41" i="4"/>
  <c r="AK41" i="4"/>
  <c r="AJ41" i="4"/>
  <c r="AI41" i="4"/>
  <c r="AL40" i="4"/>
  <c r="AK40" i="4"/>
  <c r="AJ40" i="4"/>
  <c r="AI40" i="4"/>
  <c r="AL39" i="4"/>
  <c r="AK39" i="4"/>
  <c r="AJ39" i="4"/>
  <c r="AI39" i="4"/>
  <c r="AH39" i="4"/>
  <c r="AL38" i="4"/>
  <c r="AK38" i="4"/>
  <c r="AJ38" i="4"/>
  <c r="AI38" i="4"/>
  <c r="AL37" i="4"/>
  <c r="AK37" i="4"/>
  <c r="AJ37" i="4"/>
  <c r="AI37" i="4"/>
  <c r="AL36" i="4"/>
  <c r="AK36" i="4"/>
  <c r="AJ36" i="4"/>
  <c r="AI36" i="4"/>
  <c r="AL35" i="4"/>
  <c r="AK35" i="4"/>
  <c r="AJ35" i="4"/>
  <c r="AI35" i="4"/>
  <c r="AH35" i="4"/>
  <c r="AL34" i="4"/>
  <c r="AK34" i="4"/>
  <c r="AJ34" i="4"/>
  <c r="AI34" i="4"/>
  <c r="AL33" i="4"/>
  <c r="AK33" i="4"/>
  <c r="AJ33" i="4"/>
  <c r="AI33" i="4"/>
  <c r="AL32" i="4"/>
  <c r="AK32" i="4"/>
  <c r="AJ32" i="4"/>
  <c r="AI32" i="4"/>
  <c r="AL31" i="4"/>
  <c r="AK31" i="4"/>
  <c r="AJ31" i="4"/>
  <c r="AI31" i="4"/>
  <c r="AH31" i="4"/>
  <c r="AL90" i="4"/>
  <c r="AK90" i="4"/>
  <c r="AJ90" i="4"/>
  <c r="AI90" i="4"/>
  <c r="AL89" i="4"/>
  <c r="AK89" i="4"/>
  <c r="AJ89" i="4"/>
  <c r="AI89" i="4"/>
  <c r="AL88" i="4"/>
  <c r="AK88" i="4"/>
  <c r="AJ88" i="4"/>
  <c r="AI88" i="4"/>
  <c r="AL87" i="4"/>
  <c r="AK87" i="4"/>
  <c r="AJ87" i="4"/>
  <c r="AI87" i="4"/>
  <c r="AH87" i="4"/>
  <c r="AL86" i="4"/>
  <c r="AK86" i="4"/>
  <c r="AJ86" i="4"/>
  <c r="AI86" i="4"/>
  <c r="AL85" i="4"/>
  <c r="AK85" i="4"/>
  <c r="AJ85" i="4"/>
  <c r="AI85" i="4"/>
  <c r="AL84" i="4"/>
  <c r="AK84" i="4"/>
  <c r="AJ84" i="4"/>
  <c r="AI84" i="4"/>
  <c r="AL83" i="4"/>
  <c r="AK83" i="4"/>
  <c r="AJ83" i="4"/>
  <c r="AI83" i="4"/>
  <c r="AH83" i="4"/>
  <c r="AL82" i="4"/>
  <c r="AK82" i="4"/>
  <c r="AJ82" i="4"/>
  <c r="AI82" i="4"/>
  <c r="AL81" i="4"/>
  <c r="AK81" i="4"/>
  <c r="AJ81" i="4"/>
  <c r="AI81" i="4"/>
  <c r="AL80" i="4"/>
  <c r="AK80" i="4"/>
  <c r="AJ80" i="4"/>
  <c r="AI80" i="4"/>
  <c r="AL79" i="4"/>
  <c r="AK79" i="4"/>
  <c r="AJ79" i="4"/>
  <c r="AI79" i="4"/>
  <c r="AH79" i="4"/>
  <c r="AL78" i="4"/>
  <c r="AK78" i="4"/>
  <c r="AJ78" i="4"/>
  <c r="AI78" i="4"/>
  <c r="AL77" i="4"/>
  <c r="AK77" i="4"/>
  <c r="AJ77" i="4"/>
  <c r="AI77" i="4"/>
  <c r="AL76" i="4"/>
  <c r="AK76" i="4"/>
  <c r="AJ76" i="4"/>
  <c r="AI76" i="4"/>
  <c r="AL75" i="4"/>
  <c r="AK75" i="4"/>
  <c r="AJ75" i="4"/>
  <c r="AI75" i="4"/>
  <c r="AH75" i="4"/>
  <c r="AL74" i="4"/>
  <c r="AK74" i="4"/>
  <c r="AJ74" i="4"/>
  <c r="AI74" i="4"/>
  <c r="AL73" i="4"/>
  <c r="AK73" i="4"/>
  <c r="AJ73" i="4"/>
  <c r="AI73" i="4"/>
  <c r="AL72" i="4"/>
  <c r="AK72" i="4"/>
  <c r="AJ72" i="4"/>
  <c r="AI72" i="4"/>
  <c r="AL71" i="4"/>
  <c r="AK71" i="4"/>
  <c r="AJ71" i="4"/>
  <c r="AI71" i="4"/>
  <c r="AH71" i="4"/>
  <c r="AL70" i="4"/>
  <c r="AK70" i="4"/>
  <c r="AJ70" i="4"/>
  <c r="AI70" i="4"/>
  <c r="AL69" i="4"/>
  <c r="AK69" i="4"/>
  <c r="AJ69" i="4"/>
  <c r="AI69" i="4"/>
  <c r="AL68" i="4"/>
  <c r="AK68" i="4"/>
  <c r="AJ68" i="4"/>
  <c r="AI68" i="4"/>
  <c r="AL67" i="4"/>
  <c r="AK67" i="4"/>
  <c r="AJ67" i="4"/>
  <c r="AI67" i="4"/>
  <c r="AH67" i="4"/>
  <c r="AL66" i="4"/>
  <c r="AK66" i="4"/>
  <c r="AJ66" i="4"/>
  <c r="AI66" i="4"/>
  <c r="AL65" i="4"/>
  <c r="AK65" i="4"/>
  <c r="AJ65" i="4"/>
  <c r="AI65" i="4"/>
  <c r="AL64" i="4"/>
  <c r="AK64" i="4"/>
  <c r="AJ64" i="4"/>
  <c r="AI64" i="4"/>
  <c r="AL63" i="4"/>
  <c r="AK63" i="4"/>
  <c r="AJ63" i="4"/>
  <c r="AI63" i="4"/>
  <c r="AH63" i="4"/>
  <c r="AL62" i="4"/>
  <c r="AK62" i="4"/>
  <c r="AJ62" i="4"/>
  <c r="AI62" i="4"/>
  <c r="AL61" i="4"/>
  <c r="AK61" i="4"/>
  <c r="AJ61" i="4"/>
  <c r="AI61" i="4"/>
  <c r="AL60" i="4"/>
  <c r="AK60" i="4"/>
  <c r="AJ60" i="4"/>
  <c r="AI60" i="4"/>
  <c r="AL59" i="4"/>
  <c r="AK59" i="4"/>
  <c r="AJ59" i="4"/>
  <c r="AI59" i="4"/>
  <c r="AH59" i="4"/>
  <c r="AL58" i="4"/>
  <c r="AK58" i="4"/>
  <c r="AJ58" i="4"/>
  <c r="AI58" i="4"/>
  <c r="AL57" i="4"/>
  <c r="AK57" i="4"/>
  <c r="AJ57" i="4"/>
  <c r="AI57" i="4"/>
  <c r="AL56" i="4"/>
  <c r="AK56" i="4"/>
  <c r="AJ56" i="4"/>
  <c r="AI56" i="4"/>
  <c r="AL55" i="4"/>
  <c r="AK55" i="4"/>
  <c r="AJ55" i="4"/>
  <c r="AI55" i="4"/>
  <c r="AH55" i="4"/>
  <c r="AL54" i="4"/>
  <c r="AK54" i="4"/>
  <c r="AJ54" i="4"/>
  <c r="AI54" i="4"/>
  <c r="AL53" i="4"/>
  <c r="AK53" i="4"/>
  <c r="AJ53" i="4"/>
  <c r="AI53" i="4"/>
  <c r="AL52" i="4"/>
  <c r="AK52" i="4"/>
  <c r="AJ52" i="4"/>
  <c r="AI52" i="4"/>
  <c r="AL51" i="4"/>
  <c r="AK51" i="4"/>
  <c r="AJ51" i="4"/>
  <c r="AI51" i="4"/>
  <c r="AH51" i="4"/>
  <c r="AL50" i="4"/>
  <c r="AK50" i="4"/>
  <c r="AJ50" i="4"/>
  <c r="AI50" i="4"/>
  <c r="AL49" i="4"/>
  <c r="AK49" i="4"/>
  <c r="AJ49" i="4"/>
  <c r="AI49" i="4"/>
  <c r="AL48" i="4"/>
  <c r="AK48" i="4"/>
  <c r="AJ48" i="4"/>
  <c r="AI48" i="4"/>
  <c r="AL47" i="4"/>
  <c r="AK47" i="4"/>
  <c r="AJ47" i="4"/>
  <c r="AI47" i="4"/>
  <c r="AH47" i="4"/>
  <c r="AL90" i="5"/>
  <c r="AK90" i="5"/>
  <c r="AJ90" i="5"/>
  <c r="AI90" i="5"/>
  <c r="AL89" i="5"/>
  <c r="AK89" i="5"/>
  <c r="AJ89" i="5"/>
  <c r="AI89" i="5"/>
  <c r="AL88" i="5"/>
  <c r="AK88" i="5"/>
  <c r="AJ88" i="5"/>
  <c r="AI88" i="5"/>
  <c r="AL87" i="5"/>
  <c r="AK87" i="5"/>
  <c r="AJ87" i="5"/>
  <c r="AI87" i="5"/>
  <c r="AH87" i="5"/>
  <c r="AL86" i="5"/>
  <c r="AK86" i="5"/>
  <c r="AJ86" i="5"/>
  <c r="AI86" i="5"/>
  <c r="AL85" i="5"/>
  <c r="AK85" i="5"/>
  <c r="AJ85" i="5"/>
  <c r="AI85" i="5"/>
  <c r="AL84" i="5"/>
  <c r="AK84" i="5"/>
  <c r="AJ84" i="5"/>
  <c r="AI84" i="5"/>
  <c r="AL83" i="5"/>
  <c r="AK83" i="5"/>
  <c r="AJ83" i="5"/>
  <c r="AI83" i="5"/>
  <c r="AH83" i="5"/>
  <c r="AL82" i="5"/>
  <c r="AK82" i="5"/>
  <c r="AJ82" i="5"/>
  <c r="AI82" i="5"/>
  <c r="AL81" i="5"/>
  <c r="AK81" i="5"/>
  <c r="AJ81" i="5"/>
  <c r="AI81" i="5"/>
  <c r="AL80" i="5"/>
  <c r="AK80" i="5"/>
  <c r="AJ80" i="5"/>
  <c r="AI80" i="5"/>
  <c r="AL79" i="5"/>
  <c r="AK79" i="5"/>
  <c r="AJ79" i="5"/>
  <c r="AI79" i="5"/>
  <c r="AH79" i="5"/>
  <c r="AL78" i="5"/>
  <c r="AK78" i="5"/>
  <c r="AJ78" i="5"/>
  <c r="AI78" i="5"/>
  <c r="AL77" i="5"/>
  <c r="AK77" i="5"/>
  <c r="AJ77" i="5"/>
  <c r="AI77" i="5"/>
  <c r="AL76" i="5"/>
  <c r="AK76" i="5"/>
  <c r="AJ76" i="5"/>
  <c r="AI76" i="5"/>
  <c r="AL75" i="5"/>
  <c r="AK75" i="5"/>
  <c r="AJ75" i="5"/>
  <c r="AI75" i="5"/>
  <c r="AH75" i="5"/>
  <c r="AL74" i="5"/>
  <c r="AK74" i="5"/>
  <c r="AJ74" i="5"/>
  <c r="AI74" i="5"/>
  <c r="AL73" i="5"/>
  <c r="AK73" i="5"/>
  <c r="AJ73" i="5"/>
  <c r="AI73" i="5"/>
  <c r="AL72" i="5"/>
  <c r="AK72" i="5"/>
  <c r="AJ72" i="5"/>
  <c r="AI72" i="5"/>
  <c r="AL71" i="5"/>
  <c r="AK71" i="5"/>
  <c r="AJ71" i="5"/>
  <c r="AI71" i="5"/>
  <c r="AH71" i="5"/>
  <c r="AL70" i="5"/>
  <c r="AK70" i="5"/>
  <c r="AJ70" i="5"/>
  <c r="AI70" i="5"/>
  <c r="AL69" i="5"/>
  <c r="AK69" i="5"/>
  <c r="AJ69" i="5"/>
  <c r="AI69" i="5"/>
  <c r="AL68" i="5"/>
  <c r="AK68" i="5"/>
  <c r="AJ68" i="5"/>
  <c r="AI68" i="5"/>
  <c r="AL67" i="5"/>
  <c r="AK67" i="5"/>
  <c r="AJ67" i="5"/>
  <c r="AI67" i="5"/>
  <c r="AH67" i="5"/>
  <c r="AL66" i="5"/>
  <c r="AK66" i="5"/>
  <c r="AJ66" i="5"/>
  <c r="AI66" i="5"/>
  <c r="AL65" i="5"/>
  <c r="AK65" i="5"/>
  <c r="AJ65" i="5"/>
  <c r="AI65" i="5"/>
  <c r="AL64" i="5"/>
  <c r="AK64" i="5"/>
  <c r="AJ64" i="5"/>
  <c r="AI64" i="5"/>
  <c r="AL63" i="5"/>
  <c r="AK63" i="5"/>
  <c r="AJ63" i="5"/>
  <c r="AI63" i="5"/>
  <c r="AH63" i="5"/>
  <c r="AL62" i="5"/>
  <c r="AK62" i="5"/>
  <c r="AJ62" i="5"/>
  <c r="AI62" i="5"/>
  <c r="AL61" i="5"/>
  <c r="AK61" i="5"/>
  <c r="AJ61" i="5"/>
  <c r="AI61" i="5"/>
  <c r="AL60" i="5"/>
  <c r="AK60" i="5"/>
  <c r="AJ60" i="5"/>
  <c r="AI60" i="5"/>
  <c r="AL59" i="5"/>
  <c r="AK59" i="5"/>
  <c r="AJ59" i="5"/>
  <c r="AI59" i="5"/>
  <c r="AH59" i="5"/>
  <c r="AL58" i="5"/>
  <c r="AK58" i="5"/>
  <c r="AJ58" i="5"/>
  <c r="AI58" i="5"/>
  <c r="AL57" i="5"/>
  <c r="AK57" i="5"/>
  <c r="AJ57" i="5"/>
  <c r="AI57" i="5"/>
  <c r="AL56" i="5"/>
  <c r="AK56" i="5"/>
  <c r="AJ56" i="5"/>
  <c r="AI56" i="5"/>
  <c r="AL55" i="5"/>
  <c r="AK55" i="5"/>
  <c r="AJ55" i="5"/>
  <c r="AI55" i="5"/>
  <c r="AH55" i="5"/>
  <c r="AL54" i="5"/>
  <c r="AK54" i="5"/>
  <c r="AJ54" i="5"/>
  <c r="AI54" i="5"/>
  <c r="AL53" i="5"/>
  <c r="AK53" i="5"/>
  <c r="AJ53" i="5"/>
  <c r="AI53" i="5"/>
  <c r="AL52" i="5"/>
  <c r="AK52" i="5"/>
  <c r="AJ52" i="5"/>
  <c r="AI52" i="5"/>
  <c r="AL51" i="5"/>
  <c r="AK51" i="5"/>
  <c r="AJ51" i="5"/>
  <c r="AI51" i="5"/>
  <c r="AH51" i="5"/>
  <c r="AL50" i="5"/>
  <c r="AK50" i="5"/>
  <c r="AJ50" i="5"/>
  <c r="AI50" i="5"/>
  <c r="AL49" i="5"/>
  <c r="AK49" i="5"/>
  <c r="AJ49" i="5"/>
  <c r="AI49" i="5"/>
  <c r="AL48" i="5"/>
  <c r="AK48" i="5"/>
  <c r="AJ48" i="5"/>
  <c r="AI48" i="5"/>
  <c r="AL47" i="5"/>
  <c r="AK47" i="5"/>
  <c r="AJ47" i="5"/>
  <c r="AI47" i="5"/>
  <c r="AH47" i="5"/>
  <c r="T149" i="6"/>
  <c r="S149" i="6"/>
  <c r="J149" i="6"/>
  <c r="W149" i="6" s="1"/>
  <c r="I149" i="6"/>
  <c r="X149" i="6" s="1"/>
  <c r="X148" i="6"/>
  <c r="W148" i="6"/>
  <c r="T148" i="6"/>
  <c r="S148" i="6"/>
  <c r="J148" i="6"/>
  <c r="I148" i="6"/>
  <c r="S143" i="6"/>
  <c r="I142" i="6"/>
  <c r="T138" i="6"/>
  <c r="S138" i="6"/>
  <c r="J138" i="6"/>
  <c r="I138" i="6"/>
  <c r="X138" i="6" s="1"/>
  <c r="T137" i="6"/>
  <c r="S137" i="6"/>
  <c r="J137" i="6"/>
  <c r="W137" i="6" s="1"/>
  <c r="I137" i="6"/>
  <c r="V122" i="6"/>
  <c r="Z122" i="6" s="1"/>
  <c r="U122" i="6"/>
  <c r="S122" i="6"/>
  <c r="R122" i="6"/>
  <c r="Q122" i="6"/>
  <c r="P122" i="6"/>
  <c r="O122" i="6"/>
  <c r="N122" i="6"/>
  <c r="L122" i="6"/>
  <c r="K122" i="6"/>
  <c r="I122" i="6"/>
  <c r="X122" i="6" s="1"/>
  <c r="H122" i="6"/>
  <c r="J122" i="6" s="1"/>
  <c r="G122" i="6"/>
  <c r="F122" i="6"/>
  <c r="E122" i="6"/>
  <c r="D122" i="6"/>
  <c r="W121" i="6"/>
  <c r="V121" i="6"/>
  <c r="U121" i="6"/>
  <c r="T121" i="6"/>
  <c r="S121" i="6"/>
  <c r="X121" i="6" s="1"/>
  <c r="R121" i="6"/>
  <c r="Q121" i="6"/>
  <c r="P121" i="6"/>
  <c r="O121" i="6"/>
  <c r="N121" i="6"/>
  <c r="L121" i="6"/>
  <c r="K121" i="6"/>
  <c r="Y121" i="6" s="1"/>
  <c r="J121" i="6"/>
  <c r="I121" i="6"/>
  <c r="H121" i="6"/>
  <c r="G121" i="6"/>
  <c r="F121" i="6"/>
  <c r="E121" i="6"/>
  <c r="D121" i="6"/>
  <c r="Y120" i="6"/>
  <c r="X120" i="6"/>
  <c r="V120" i="6"/>
  <c r="U120" i="6"/>
  <c r="T120" i="6"/>
  <c r="S120" i="6"/>
  <c r="R120" i="6"/>
  <c r="Q120" i="6"/>
  <c r="P120" i="6"/>
  <c r="O120" i="6"/>
  <c r="N120" i="6"/>
  <c r="L120" i="6"/>
  <c r="Z120" i="6" s="1"/>
  <c r="K120" i="6"/>
  <c r="I120" i="6"/>
  <c r="H120" i="6"/>
  <c r="W120" i="6" s="1"/>
  <c r="G120" i="6"/>
  <c r="F120" i="6"/>
  <c r="E120" i="6"/>
  <c r="D120" i="6"/>
  <c r="V119" i="6"/>
  <c r="Z119" i="6" s="1"/>
  <c r="U119" i="6"/>
  <c r="Y119" i="6" s="1"/>
  <c r="S119" i="6"/>
  <c r="X119" i="6" s="1"/>
  <c r="R119" i="6"/>
  <c r="W119" i="6" s="1"/>
  <c r="Q119" i="6"/>
  <c r="P119" i="6"/>
  <c r="O119" i="6"/>
  <c r="N119" i="6"/>
  <c r="L119" i="6"/>
  <c r="K119" i="6"/>
  <c r="I119" i="6"/>
  <c r="H119" i="6"/>
  <c r="J119" i="6" s="1"/>
  <c r="G119" i="6"/>
  <c r="F119" i="6"/>
  <c r="E119" i="6"/>
  <c r="D119" i="6"/>
  <c r="W118" i="6"/>
  <c r="V118" i="6"/>
  <c r="Z118" i="6" s="1"/>
  <c r="U118" i="6"/>
  <c r="Y118" i="6" s="1"/>
  <c r="T118" i="6"/>
  <c r="S118" i="6"/>
  <c r="X118" i="6" s="1"/>
  <c r="R118" i="6"/>
  <c r="Q118" i="6"/>
  <c r="P118" i="6"/>
  <c r="O118" i="6"/>
  <c r="N118" i="6"/>
  <c r="L118" i="6"/>
  <c r="K118" i="6"/>
  <c r="J118" i="6"/>
  <c r="I118" i="6"/>
  <c r="H118" i="6"/>
  <c r="G118" i="6"/>
  <c r="F118" i="6"/>
  <c r="E118" i="6"/>
  <c r="D118" i="6"/>
  <c r="X117" i="6"/>
  <c r="W117" i="6"/>
  <c r="V117" i="6"/>
  <c r="Z117" i="6" s="1"/>
  <c r="U117" i="6"/>
  <c r="Y117" i="6" s="1"/>
  <c r="S117" i="6"/>
  <c r="R117" i="6"/>
  <c r="T117" i="6" s="1"/>
  <c r="Q117" i="6"/>
  <c r="P117" i="6"/>
  <c r="O117" i="6"/>
  <c r="N117" i="6"/>
  <c r="L117" i="6"/>
  <c r="K117" i="6"/>
  <c r="J117" i="6"/>
  <c r="I117" i="6"/>
  <c r="H117" i="6"/>
  <c r="G117" i="6"/>
  <c r="F117" i="6"/>
  <c r="E117" i="6"/>
  <c r="D117" i="6"/>
  <c r="Z116" i="6"/>
  <c r="Y116" i="6"/>
  <c r="V116" i="6"/>
  <c r="U116" i="6"/>
  <c r="S116" i="6"/>
  <c r="R116" i="6"/>
  <c r="T116" i="6" s="1"/>
  <c r="Q116" i="6"/>
  <c r="P116" i="6"/>
  <c r="O116" i="6"/>
  <c r="N116" i="6"/>
  <c r="L116" i="6"/>
  <c r="K116" i="6"/>
  <c r="I116" i="6"/>
  <c r="X116" i="6" s="1"/>
  <c r="H116" i="6"/>
  <c r="G116" i="6"/>
  <c r="F116" i="6"/>
  <c r="E116" i="6"/>
  <c r="D116" i="6"/>
  <c r="V115" i="6"/>
  <c r="U115" i="6"/>
  <c r="S115" i="6"/>
  <c r="R115" i="6"/>
  <c r="T115" i="6" s="1"/>
  <c r="Q115" i="6"/>
  <c r="P115" i="6"/>
  <c r="O115" i="6"/>
  <c r="N115" i="6"/>
  <c r="L115" i="6"/>
  <c r="Z115" i="6" s="1"/>
  <c r="K115" i="6"/>
  <c r="Y115" i="6" s="1"/>
  <c r="I115" i="6"/>
  <c r="X115" i="6" s="1"/>
  <c r="H115" i="6"/>
  <c r="J115" i="6" s="1"/>
  <c r="G115" i="6"/>
  <c r="F115" i="6"/>
  <c r="E115" i="6"/>
  <c r="D115" i="6"/>
  <c r="V114" i="6"/>
  <c r="U114" i="6"/>
  <c r="T114" i="6"/>
  <c r="S114" i="6"/>
  <c r="R114" i="6"/>
  <c r="Q114" i="6"/>
  <c r="P114" i="6"/>
  <c r="O114" i="6"/>
  <c r="N114" i="6"/>
  <c r="L114" i="6"/>
  <c r="Z114" i="6" s="1"/>
  <c r="K114" i="6"/>
  <c r="Y114" i="6" s="1"/>
  <c r="J114" i="6"/>
  <c r="I114" i="6"/>
  <c r="H114" i="6"/>
  <c r="G114" i="6"/>
  <c r="F114" i="6"/>
  <c r="E114" i="6"/>
  <c r="D114" i="6"/>
  <c r="V113" i="6"/>
  <c r="U113" i="6"/>
  <c r="S113" i="6"/>
  <c r="X113" i="6" s="1"/>
  <c r="R113" i="6"/>
  <c r="Q113" i="6"/>
  <c r="P113" i="6"/>
  <c r="O113" i="6"/>
  <c r="N113" i="6"/>
  <c r="L113" i="6"/>
  <c r="K113" i="6"/>
  <c r="J113" i="6"/>
  <c r="I113" i="6"/>
  <c r="H113" i="6"/>
  <c r="G113" i="6"/>
  <c r="F113" i="6"/>
  <c r="E113" i="6"/>
  <c r="D113" i="6"/>
  <c r="V112" i="6"/>
  <c r="U112" i="6"/>
  <c r="S112" i="6"/>
  <c r="X112" i="6" s="1"/>
  <c r="R112" i="6"/>
  <c r="Q112" i="6"/>
  <c r="P112" i="6"/>
  <c r="O112" i="6"/>
  <c r="N112" i="6"/>
  <c r="L112" i="6"/>
  <c r="K112" i="6"/>
  <c r="I112" i="6"/>
  <c r="H112" i="6"/>
  <c r="J112" i="6" s="1"/>
  <c r="G112" i="6"/>
  <c r="F112" i="6"/>
  <c r="E112" i="6"/>
  <c r="D112" i="6"/>
  <c r="X111" i="6"/>
  <c r="V111" i="6"/>
  <c r="Z111" i="6" s="1"/>
  <c r="U111" i="6"/>
  <c r="Y111" i="6" s="1"/>
  <c r="S111" i="6"/>
  <c r="R111" i="6"/>
  <c r="Q111" i="6"/>
  <c r="P111" i="6"/>
  <c r="O111" i="6"/>
  <c r="N111" i="6"/>
  <c r="L111" i="6"/>
  <c r="K111" i="6"/>
  <c r="J111" i="6"/>
  <c r="I111" i="6"/>
  <c r="H111" i="6"/>
  <c r="G111" i="6"/>
  <c r="F111" i="6"/>
  <c r="E111" i="6"/>
  <c r="D111" i="6"/>
  <c r="Y110" i="6"/>
  <c r="W110" i="6"/>
  <c r="V110" i="6"/>
  <c r="Z110" i="6" s="1"/>
  <c r="U110" i="6"/>
  <c r="T110" i="6"/>
  <c r="S110" i="6"/>
  <c r="X110" i="6" s="1"/>
  <c r="R110" i="6"/>
  <c r="Q110" i="6"/>
  <c r="P110" i="6"/>
  <c r="O110" i="6"/>
  <c r="N110" i="6"/>
  <c r="L110" i="6"/>
  <c r="K110" i="6"/>
  <c r="I110" i="6"/>
  <c r="H110" i="6"/>
  <c r="J110" i="6" s="1"/>
  <c r="G110" i="6"/>
  <c r="F110" i="6"/>
  <c r="E110" i="6"/>
  <c r="D110" i="6"/>
  <c r="Y109" i="6"/>
  <c r="X109" i="6"/>
  <c r="V109" i="6"/>
  <c r="Z109" i="6" s="1"/>
  <c r="U109" i="6"/>
  <c r="T109" i="6"/>
  <c r="S109" i="6"/>
  <c r="R109" i="6"/>
  <c r="Q109" i="6"/>
  <c r="P109" i="6"/>
  <c r="O109" i="6"/>
  <c r="N109" i="6"/>
  <c r="L109" i="6"/>
  <c r="K109" i="6"/>
  <c r="I109" i="6"/>
  <c r="H109" i="6"/>
  <c r="G109" i="6"/>
  <c r="F109" i="6"/>
  <c r="E109" i="6"/>
  <c r="D109" i="6"/>
  <c r="Z108" i="6"/>
  <c r="X108" i="6"/>
  <c r="V108" i="6"/>
  <c r="U108" i="6"/>
  <c r="S108" i="6"/>
  <c r="R108" i="6"/>
  <c r="T108" i="6" s="1"/>
  <c r="Q108" i="6"/>
  <c r="P108" i="6"/>
  <c r="O108" i="6"/>
  <c r="N108" i="6"/>
  <c r="L108" i="6"/>
  <c r="K108" i="6"/>
  <c r="Y108" i="6" s="1"/>
  <c r="I108" i="6"/>
  <c r="H108" i="6"/>
  <c r="J108" i="6" s="1"/>
  <c r="G108" i="6"/>
  <c r="F108" i="6"/>
  <c r="E108" i="6"/>
  <c r="D108" i="6"/>
  <c r="Z107" i="6"/>
  <c r="Y107" i="6"/>
  <c r="X107" i="6"/>
  <c r="V107" i="6"/>
  <c r="U107" i="6"/>
  <c r="S107" i="6"/>
  <c r="R107" i="6"/>
  <c r="W107" i="6" s="1"/>
  <c r="Q107" i="6"/>
  <c r="P107" i="6"/>
  <c r="O107" i="6"/>
  <c r="N107" i="6"/>
  <c r="L107" i="6"/>
  <c r="K107" i="6"/>
  <c r="J107" i="6"/>
  <c r="I107" i="6"/>
  <c r="H107" i="6"/>
  <c r="G107" i="6"/>
  <c r="F107" i="6"/>
  <c r="E107" i="6"/>
  <c r="D107" i="6"/>
  <c r="V106" i="6"/>
  <c r="U106" i="6"/>
  <c r="Y106" i="6" s="1"/>
  <c r="S106" i="6"/>
  <c r="X106" i="6" s="1"/>
  <c r="R106" i="6"/>
  <c r="Q106" i="6"/>
  <c r="P106" i="6"/>
  <c r="O106" i="6"/>
  <c r="N106" i="6"/>
  <c r="L106" i="6"/>
  <c r="Z106" i="6" s="1"/>
  <c r="K106" i="6"/>
  <c r="J106" i="6"/>
  <c r="I106" i="6"/>
  <c r="H106" i="6"/>
  <c r="G106" i="6"/>
  <c r="F106" i="6"/>
  <c r="E106" i="6"/>
  <c r="D106" i="6"/>
  <c r="V105" i="6"/>
  <c r="Z105" i="6" s="1"/>
  <c r="U105" i="6"/>
  <c r="Y105" i="6" s="1"/>
  <c r="T105" i="6"/>
  <c r="S105" i="6"/>
  <c r="R105" i="6"/>
  <c r="Q105" i="6"/>
  <c r="P105" i="6"/>
  <c r="O105" i="6"/>
  <c r="N105" i="6"/>
  <c r="L105" i="6"/>
  <c r="K105" i="6"/>
  <c r="I105" i="6"/>
  <c r="H105" i="6"/>
  <c r="J105" i="6" s="1"/>
  <c r="G105" i="6"/>
  <c r="F105" i="6"/>
  <c r="E105" i="6"/>
  <c r="D105" i="6"/>
  <c r="V104" i="6"/>
  <c r="Z104" i="6" s="1"/>
  <c r="U104" i="6"/>
  <c r="Y104" i="6" s="1"/>
  <c r="S104" i="6"/>
  <c r="R104" i="6"/>
  <c r="Q104" i="6"/>
  <c r="P104" i="6"/>
  <c r="O104" i="6"/>
  <c r="N104" i="6"/>
  <c r="L104" i="6"/>
  <c r="K104" i="6"/>
  <c r="I104" i="6"/>
  <c r="X104" i="6" s="1"/>
  <c r="H104" i="6"/>
  <c r="J104" i="6" s="1"/>
  <c r="G104" i="6"/>
  <c r="F104" i="6"/>
  <c r="E104" i="6"/>
  <c r="D104" i="6"/>
  <c r="Z103" i="6"/>
  <c r="Y103" i="6"/>
  <c r="V103" i="6"/>
  <c r="U103" i="6"/>
  <c r="T103" i="6"/>
  <c r="S103" i="6"/>
  <c r="X103" i="6" s="1"/>
  <c r="R103" i="6"/>
  <c r="W103" i="6" s="1"/>
  <c r="Q103" i="6"/>
  <c r="P103" i="6"/>
  <c r="O103" i="6"/>
  <c r="N103" i="6"/>
  <c r="L103" i="6"/>
  <c r="K103" i="6"/>
  <c r="I103" i="6"/>
  <c r="H103" i="6"/>
  <c r="J103" i="6" s="1"/>
  <c r="G103" i="6"/>
  <c r="F103" i="6"/>
  <c r="E103" i="6"/>
  <c r="D103" i="6"/>
  <c r="V102" i="6"/>
  <c r="Z102" i="6" s="1"/>
  <c r="U102" i="6"/>
  <c r="Y102" i="6" s="1"/>
  <c r="S102" i="6"/>
  <c r="X102" i="6" s="1"/>
  <c r="R102" i="6"/>
  <c r="Q102" i="6"/>
  <c r="P102" i="6"/>
  <c r="O102" i="6"/>
  <c r="N102" i="6"/>
  <c r="L102" i="6"/>
  <c r="K102" i="6"/>
  <c r="J102" i="6"/>
  <c r="I102" i="6"/>
  <c r="H102" i="6"/>
  <c r="G102" i="6"/>
  <c r="F102" i="6"/>
  <c r="E102" i="6"/>
  <c r="D102" i="6"/>
  <c r="V101" i="6"/>
  <c r="Z101" i="6" s="1"/>
  <c r="U101" i="6"/>
  <c r="Y101" i="6" s="1"/>
  <c r="T101" i="6"/>
  <c r="S101" i="6"/>
  <c r="X101" i="6" s="1"/>
  <c r="R101" i="6"/>
  <c r="W101" i="6" s="1"/>
  <c r="Q101" i="6"/>
  <c r="P101" i="6"/>
  <c r="O101" i="6"/>
  <c r="N101" i="6"/>
  <c r="L101" i="6"/>
  <c r="K101" i="6"/>
  <c r="I101" i="6"/>
  <c r="H101" i="6"/>
  <c r="J101" i="6" s="1"/>
  <c r="G101" i="6"/>
  <c r="F101" i="6"/>
  <c r="E101" i="6"/>
  <c r="D101" i="6"/>
  <c r="W100" i="6"/>
  <c r="V100" i="6"/>
  <c r="Z100" i="6" s="1"/>
  <c r="U100" i="6"/>
  <c r="Y100" i="6" s="1"/>
  <c r="S100" i="6"/>
  <c r="X100" i="6" s="1"/>
  <c r="R100" i="6"/>
  <c r="T100" i="6" s="1"/>
  <c r="Q100" i="6"/>
  <c r="P100" i="6"/>
  <c r="O100" i="6"/>
  <c r="N100" i="6"/>
  <c r="L100" i="6"/>
  <c r="K100" i="6"/>
  <c r="J100" i="6"/>
  <c r="I100" i="6"/>
  <c r="H100" i="6"/>
  <c r="G100" i="6"/>
  <c r="F100" i="6"/>
  <c r="E100" i="6"/>
  <c r="D100" i="6"/>
  <c r="Z99" i="6"/>
  <c r="Y99" i="6"/>
  <c r="X99" i="6"/>
  <c r="V99" i="6"/>
  <c r="U99" i="6"/>
  <c r="T99" i="6"/>
  <c r="S99" i="6"/>
  <c r="R99" i="6"/>
  <c r="Q99" i="6"/>
  <c r="P99" i="6"/>
  <c r="O99" i="6"/>
  <c r="N99" i="6"/>
  <c r="L99" i="6"/>
  <c r="K99" i="6"/>
  <c r="I99" i="6"/>
  <c r="H99" i="6"/>
  <c r="G99" i="6"/>
  <c r="F99" i="6"/>
  <c r="E99" i="6"/>
  <c r="D99" i="6"/>
  <c r="Z98" i="6"/>
  <c r="V98" i="6"/>
  <c r="U98" i="6"/>
  <c r="T98" i="6"/>
  <c r="S98" i="6"/>
  <c r="R98" i="6"/>
  <c r="Q98" i="6"/>
  <c r="P98" i="6"/>
  <c r="O98" i="6"/>
  <c r="N98" i="6"/>
  <c r="L98" i="6"/>
  <c r="K98" i="6"/>
  <c r="Y98" i="6" s="1"/>
  <c r="I98" i="6"/>
  <c r="X98" i="6" s="1"/>
  <c r="H98" i="6"/>
  <c r="G98" i="6"/>
  <c r="F98" i="6"/>
  <c r="E98" i="6"/>
  <c r="D98" i="6"/>
  <c r="Z97" i="6"/>
  <c r="V97" i="6"/>
  <c r="U97" i="6"/>
  <c r="S97" i="6"/>
  <c r="R97" i="6"/>
  <c r="T97" i="6" s="1"/>
  <c r="Q97" i="6"/>
  <c r="P97" i="6"/>
  <c r="O97" i="6"/>
  <c r="N97" i="6"/>
  <c r="L97" i="6"/>
  <c r="K97" i="6"/>
  <c r="Y97" i="6" s="1"/>
  <c r="J97" i="6"/>
  <c r="I97" i="6"/>
  <c r="X97" i="6" s="1"/>
  <c r="H97" i="6"/>
  <c r="G97" i="6"/>
  <c r="F97" i="6"/>
  <c r="E97" i="6"/>
  <c r="D97" i="6"/>
  <c r="Z96" i="6"/>
  <c r="Y96" i="6"/>
  <c r="V96" i="6"/>
  <c r="U96" i="6"/>
  <c r="S96" i="6"/>
  <c r="R96" i="6"/>
  <c r="Q96" i="6"/>
  <c r="P96" i="6"/>
  <c r="O96" i="6"/>
  <c r="N96" i="6"/>
  <c r="L96" i="6"/>
  <c r="K96" i="6"/>
  <c r="I96" i="6"/>
  <c r="H96" i="6"/>
  <c r="J96" i="6" s="1"/>
  <c r="G96" i="6"/>
  <c r="F96" i="6"/>
  <c r="E96" i="6"/>
  <c r="D96" i="6"/>
  <c r="V95" i="6"/>
  <c r="U95" i="6"/>
  <c r="Y95" i="6" s="1"/>
  <c r="T95" i="6"/>
  <c r="S95" i="6"/>
  <c r="X95" i="6" s="1"/>
  <c r="R95" i="6"/>
  <c r="W95" i="6" s="1"/>
  <c r="Q95" i="6"/>
  <c r="P95" i="6"/>
  <c r="O95" i="6"/>
  <c r="N95" i="6"/>
  <c r="L95" i="6"/>
  <c r="K95" i="6"/>
  <c r="J95" i="6"/>
  <c r="I95" i="6"/>
  <c r="H95" i="6"/>
  <c r="G95" i="6"/>
  <c r="F95" i="6"/>
  <c r="E95" i="6"/>
  <c r="D95" i="6"/>
  <c r="V94" i="6"/>
  <c r="Z94" i="6" s="1"/>
  <c r="U94" i="6"/>
  <c r="Y94" i="6" s="1"/>
  <c r="T94" i="6"/>
  <c r="S94" i="6"/>
  <c r="X94" i="6" s="1"/>
  <c r="R94" i="6"/>
  <c r="W94" i="6" s="1"/>
  <c r="Q94" i="6"/>
  <c r="P94" i="6"/>
  <c r="O94" i="6"/>
  <c r="N94" i="6"/>
  <c r="L94" i="6"/>
  <c r="K94" i="6"/>
  <c r="I94" i="6"/>
  <c r="H94" i="6"/>
  <c r="J94" i="6" s="1"/>
  <c r="G94" i="6"/>
  <c r="F94" i="6"/>
  <c r="E94" i="6"/>
  <c r="D94" i="6"/>
  <c r="X93" i="6"/>
  <c r="V93" i="6"/>
  <c r="Z93" i="6" s="1"/>
  <c r="U93" i="6"/>
  <c r="Y93" i="6" s="1"/>
  <c r="T93" i="6"/>
  <c r="S93" i="6"/>
  <c r="R93" i="6"/>
  <c r="W93" i="6" s="1"/>
  <c r="Q93" i="6"/>
  <c r="P93" i="6"/>
  <c r="O93" i="6"/>
  <c r="N93" i="6"/>
  <c r="L93" i="6"/>
  <c r="K93" i="6"/>
  <c r="I93" i="6"/>
  <c r="H93" i="6"/>
  <c r="J93" i="6" s="1"/>
  <c r="G93" i="6"/>
  <c r="F93" i="6"/>
  <c r="E93" i="6"/>
  <c r="D93" i="6"/>
  <c r="Y92" i="6"/>
  <c r="V92" i="6"/>
  <c r="Z92" i="6" s="1"/>
  <c r="U92" i="6"/>
  <c r="T92" i="6"/>
  <c r="S92" i="6"/>
  <c r="R92" i="6"/>
  <c r="Q92" i="6"/>
  <c r="P92" i="6"/>
  <c r="O92" i="6"/>
  <c r="N92" i="6"/>
  <c r="L92" i="6"/>
  <c r="K92" i="6"/>
  <c r="I92" i="6"/>
  <c r="H92" i="6"/>
  <c r="J92" i="6" s="1"/>
  <c r="G92" i="6"/>
  <c r="F92" i="6"/>
  <c r="E92" i="6"/>
  <c r="D92" i="6"/>
  <c r="V91" i="6"/>
  <c r="U91" i="6"/>
  <c r="T91" i="6"/>
  <c r="S91" i="6"/>
  <c r="R91" i="6"/>
  <c r="W91" i="6" s="1"/>
  <c r="Q91" i="6"/>
  <c r="P91" i="6"/>
  <c r="O91" i="6"/>
  <c r="N91" i="6"/>
  <c r="L91" i="6"/>
  <c r="K91" i="6"/>
  <c r="J91" i="6"/>
  <c r="I91" i="6"/>
  <c r="H91" i="6"/>
  <c r="G91" i="6"/>
  <c r="F91" i="6"/>
  <c r="E91" i="6"/>
  <c r="D91" i="6"/>
  <c r="X90" i="6"/>
  <c r="W90" i="6"/>
  <c r="V90" i="6"/>
  <c r="U90" i="6"/>
  <c r="T90" i="6"/>
  <c r="S90" i="6"/>
  <c r="R90" i="6"/>
  <c r="Q90" i="6"/>
  <c r="P90" i="6"/>
  <c r="O90" i="6"/>
  <c r="N90" i="6"/>
  <c r="L90" i="6"/>
  <c r="K90" i="6"/>
  <c r="I90" i="6"/>
  <c r="H90" i="6"/>
  <c r="J90" i="6" s="1"/>
  <c r="G90" i="6"/>
  <c r="F90" i="6"/>
  <c r="E90" i="6"/>
  <c r="D90" i="6"/>
  <c r="Z89" i="6"/>
  <c r="Y89" i="6"/>
  <c r="X89" i="6"/>
  <c r="W89" i="6"/>
  <c r="V89" i="6"/>
  <c r="U89" i="6"/>
  <c r="S89" i="6"/>
  <c r="R89" i="6"/>
  <c r="T89" i="6" s="1"/>
  <c r="Q89" i="6"/>
  <c r="P89" i="6"/>
  <c r="O89" i="6"/>
  <c r="N89" i="6"/>
  <c r="L89" i="6"/>
  <c r="K89" i="6"/>
  <c r="J89" i="6"/>
  <c r="I89" i="6"/>
  <c r="H89" i="6"/>
  <c r="G89" i="6"/>
  <c r="F89" i="6"/>
  <c r="E89" i="6"/>
  <c r="D89" i="6"/>
  <c r="Z88" i="6"/>
  <c r="Y88" i="6"/>
  <c r="X88" i="6"/>
  <c r="W88" i="6"/>
  <c r="V88" i="6"/>
  <c r="U88" i="6"/>
  <c r="S88" i="6"/>
  <c r="R88" i="6"/>
  <c r="T88" i="6" s="1"/>
  <c r="Q88" i="6"/>
  <c r="P88" i="6"/>
  <c r="O88" i="6"/>
  <c r="N88" i="6"/>
  <c r="L88" i="6"/>
  <c r="K88" i="6"/>
  <c r="J88" i="6"/>
  <c r="I88" i="6"/>
  <c r="H88" i="6"/>
  <c r="G88" i="6"/>
  <c r="F88" i="6"/>
  <c r="E88" i="6"/>
  <c r="D88" i="6"/>
  <c r="X87" i="6"/>
  <c r="V87" i="6"/>
  <c r="Z87" i="6" s="1"/>
  <c r="U87" i="6"/>
  <c r="Y87" i="6" s="1"/>
  <c r="T87" i="6"/>
  <c r="S87" i="6"/>
  <c r="R87" i="6"/>
  <c r="Q87" i="6"/>
  <c r="P87" i="6"/>
  <c r="O87" i="6"/>
  <c r="N87" i="6"/>
  <c r="L87" i="6"/>
  <c r="K87" i="6"/>
  <c r="J87" i="6"/>
  <c r="I87" i="6"/>
  <c r="H87" i="6"/>
  <c r="W87" i="6" s="1"/>
  <c r="G87" i="6"/>
  <c r="F87" i="6"/>
  <c r="E87" i="6"/>
  <c r="D87" i="6"/>
  <c r="W86" i="6"/>
  <c r="V86" i="6"/>
  <c r="U86" i="6"/>
  <c r="S86" i="6"/>
  <c r="R86" i="6"/>
  <c r="T86" i="6" s="1"/>
  <c r="Q86" i="6"/>
  <c r="P86" i="6"/>
  <c r="O86" i="6"/>
  <c r="N86" i="6"/>
  <c r="L86" i="6"/>
  <c r="Z86" i="6" s="1"/>
  <c r="K86" i="6"/>
  <c r="Y86" i="6" s="1"/>
  <c r="J86" i="6"/>
  <c r="I86" i="6"/>
  <c r="X86" i="6" s="1"/>
  <c r="H86" i="6"/>
  <c r="G86" i="6"/>
  <c r="F86" i="6"/>
  <c r="E86" i="6"/>
  <c r="D86" i="6"/>
  <c r="Y85" i="6"/>
  <c r="V85" i="6"/>
  <c r="U85" i="6"/>
  <c r="T85" i="6"/>
  <c r="S85" i="6"/>
  <c r="X85" i="6" s="1"/>
  <c r="R85" i="6"/>
  <c r="W85" i="6" s="1"/>
  <c r="Q85" i="6"/>
  <c r="P85" i="6"/>
  <c r="O85" i="6"/>
  <c r="N85" i="6"/>
  <c r="L85" i="6"/>
  <c r="Z85" i="6" s="1"/>
  <c r="K85" i="6"/>
  <c r="J85" i="6"/>
  <c r="I85" i="6"/>
  <c r="H85" i="6"/>
  <c r="G85" i="6"/>
  <c r="F85" i="6"/>
  <c r="E85" i="6"/>
  <c r="D85" i="6"/>
  <c r="Z84" i="6"/>
  <c r="V84" i="6"/>
  <c r="U84" i="6"/>
  <c r="S84" i="6"/>
  <c r="X84" i="6" s="1"/>
  <c r="R84" i="6"/>
  <c r="Q84" i="6"/>
  <c r="P84" i="6"/>
  <c r="O84" i="6"/>
  <c r="N84" i="6"/>
  <c r="L84" i="6"/>
  <c r="K84" i="6"/>
  <c r="J84" i="6"/>
  <c r="I84" i="6"/>
  <c r="H84" i="6"/>
  <c r="G84" i="6"/>
  <c r="F84" i="6"/>
  <c r="E84" i="6"/>
  <c r="D84" i="6"/>
  <c r="Z83" i="6"/>
  <c r="Y83" i="6"/>
  <c r="W83" i="6"/>
  <c r="V83" i="6"/>
  <c r="U83" i="6"/>
  <c r="S83" i="6"/>
  <c r="R83" i="6"/>
  <c r="T83" i="6" s="1"/>
  <c r="Q83" i="6"/>
  <c r="P83" i="6"/>
  <c r="O83" i="6"/>
  <c r="N83" i="6"/>
  <c r="L83" i="6"/>
  <c r="K83" i="6"/>
  <c r="I83" i="6"/>
  <c r="X83" i="6" s="1"/>
  <c r="H83" i="6"/>
  <c r="J83" i="6" s="1"/>
  <c r="G83" i="6"/>
  <c r="F83" i="6"/>
  <c r="E83" i="6"/>
  <c r="D83" i="6"/>
  <c r="Z82" i="6"/>
  <c r="X82" i="6"/>
  <c r="W82" i="6"/>
  <c r="V82" i="6"/>
  <c r="U82" i="6"/>
  <c r="T82" i="6"/>
  <c r="S82" i="6"/>
  <c r="R82" i="6"/>
  <c r="Q82" i="6"/>
  <c r="P82" i="6"/>
  <c r="O82" i="6"/>
  <c r="N82" i="6"/>
  <c r="L82" i="6"/>
  <c r="K82" i="6"/>
  <c r="Y82" i="6" s="1"/>
  <c r="J82" i="6"/>
  <c r="I82" i="6"/>
  <c r="H82" i="6"/>
  <c r="G82" i="6"/>
  <c r="F82" i="6"/>
  <c r="E82" i="6"/>
  <c r="D82" i="6"/>
  <c r="Z81" i="6"/>
  <c r="Y81" i="6"/>
  <c r="V81" i="6"/>
  <c r="U81" i="6"/>
  <c r="S81" i="6"/>
  <c r="R81" i="6"/>
  <c r="T81" i="6" s="1"/>
  <c r="Q81" i="6"/>
  <c r="P81" i="6"/>
  <c r="O81" i="6"/>
  <c r="N81" i="6"/>
  <c r="L81" i="6"/>
  <c r="K81" i="6"/>
  <c r="I81" i="6"/>
  <c r="X81" i="6" s="1"/>
  <c r="H81" i="6"/>
  <c r="G81" i="6"/>
  <c r="F81" i="6"/>
  <c r="E81" i="6"/>
  <c r="D81" i="6"/>
  <c r="Z80" i="6"/>
  <c r="Y80" i="6"/>
  <c r="V80" i="6"/>
  <c r="U80" i="6"/>
  <c r="T80" i="6"/>
  <c r="S80" i="6"/>
  <c r="R80" i="6"/>
  <c r="Q80" i="6"/>
  <c r="P80" i="6"/>
  <c r="O80" i="6"/>
  <c r="N80" i="6"/>
  <c r="L80" i="6"/>
  <c r="K80" i="6"/>
  <c r="I80" i="6"/>
  <c r="X80" i="6" s="1"/>
  <c r="H80" i="6"/>
  <c r="G80" i="6"/>
  <c r="F80" i="6"/>
  <c r="E80" i="6"/>
  <c r="D80" i="6"/>
  <c r="V79" i="6"/>
  <c r="U79" i="6"/>
  <c r="Y79" i="6" s="1"/>
  <c r="T79" i="6"/>
  <c r="S79" i="6"/>
  <c r="R79" i="6"/>
  <c r="Q79" i="6"/>
  <c r="P79" i="6"/>
  <c r="O79" i="6"/>
  <c r="N79" i="6"/>
  <c r="L79" i="6"/>
  <c r="K79" i="6"/>
  <c r="I79" i="6"/>
  <c r="H79" i="6"/>
  <c r="J79" i="6" s="1"/>
  <c r="G79" i="6"/>
  <c r="F79" i="6"/>
  <c r="E79" i="6"/>
  <c r="D79" i="6"/>
  <c r="V78" i="6"/>
  <c r="Z78" i="6" s="1"/>
  <c r="U78" i="6"/>
  <c r="S78" i="6"/>
  <c r="R78" i="6"/>
  <c r="Q78" i="6"/>
  <c r="P78" i="6"/>
  <c r="O78" i="6"/>
  <c r="N78" i="6"/>
  <c r="L78" i="6"/>
  <c r="K78" i="6"/>
  <c r="J78" i="6"/>
  <c r="I78" i="6"/>
  <c r="H78" i="6"/>
  <c r="G78" i="6"/>
  <c r="F78" i="6"/>
  <c r="E78" i="6"/>
  <c r="D78" i="6"/>
  <c r="X77" i="6"/>
  <c r="V77" i="6"/>
  <c r="U77" i="6"/>
  <c r="S77" i="6"/>
  <c r="R77" i="6"/>
  <c r="Q77" i="6"/>
  <c r="P77" i="6"/>
  <c r="O77" i="6"/>
  <c r="N77" i="6"/>
  <c r="L77" i="6"/>
  <c r="K77" i="6"/>
  <c r="I77" i="6"/>
  <c r="H77" i="6"/>
  <c r="J77" i="6" s="1"/>
  <c r="G77" i="6"/>
  <c r="F77" i="6"/>
  <c r="E77" i="6"/>
  <c r="D77" i="6"/>
  <c r="Y76" i="6"/>
  <c r="X76" i="6"/>
  <c r="V76" i="6"/>
  <c r="Z76" i="6" s="1"/>
  <c r="U76" i="6"/>
  <c r="S76" i="6"/>
  <c r="R76" i="6"/>
  <c r="W76" i="6" s="1"/>
  <c r="Q76" i="6"/>
  <c r="P76" i="6"/>
  <c r="O76" i="6"/>
  <c r="N76" i="6"/>
  <c r="L76" i="6"/>
  <c r="K76" i="6"/>
  <c r="I76" i="6"/>
  <c r="H76" i="6"/>
  <c r="J76" i="6" s="1"/>
  <c r="G76" i="6"/>
  <c r="F76" i="6"/>
  <c r="E76" i="6"/>
  <c r="D76" i="6"/>
  <c r="W75" i="6"/>
  <c r="V75" i="6"/>
  <c r="Z75" i="6" s="1"/>
  <c r="U75" i="6"/>
  <c r="S75" i="6"/>
  <c r="R75" i="6"/>
  <c r="T75" i="6" s="1"/>
  <c r="Q75" i="6"/>
  <c r="P75" i="6"/>
  <c r="O75" i="6"/>
  <c r="N75" i="6"/>
  <c r="L75" i="6"/>
  <c r="K75" i="6"/>
  <c r="Y75" i="6" s="1"/>
  <c r="I75" i="6"/>
  <c r="X75" i="6" s="1"/>
  <c r="H75" i="6"/>
  <c r="J75" i="6" s="1"/>
  <c r="G75" i="6"/>
  <c r="F75" i="6"/>
  <c r="E75" i="6"/>
  <c r="D75" i="6"/>
  <c r="Z74" i="6"/>
  <c r="Y74" i="6"/>
  <c r="V74" i="6"/>
  <c r="U74" i="6"/>
  <c r="T74" i="6"/>
  <c r="S74" i="6"/>
  <c r="R74" i="6"/>
  <c r="W74" i="6" s="1"/>
  <c r="Q74" i="6"/>
  <c r="P74" i="6"/>
  <c r="O74" i="6"/>
  <c r="N74" i="6"/>
  <c r="L74" i="6"/>
  <c r="K74" i="6"/>
  <c r="J74" i="6"/>
  <c r="I74" i="6"/>
  <c r="X74" i="6" s="1"/>
  <c r="H74" i="6"/>
  <c r="G74" i="6"/>
  <c r="F74" i="6"/>
  <c r="E74" i="6"/>
  <c r="D74" i="6"/>
  <c r="V73" i="6"/>
  <c r="Z73" i="6" s="1"/>
  <c r="U73" i="6"/>
  <c r="Y73" i="6" s="1"/>
  <c r="T73" i="6"/>
  <c r="S73" i="6"/>
  <c r="R73" i="6"/>
  <c r="W73" i="6" s="1"/>
  <c r="Q73" i="6"/>
  <c r="P73" i="6"/>
  <c r="O73" i="6"/>
  <c r="N73" i="6"/>
  <c r="L73" i="6"/>
  <c r="K73" i="6"/>
  <c r="J73" i="6"/>
  <c r="I73" i="6"/>
  <c r="H73" i="6"/>
  <c r="G73" i="6"/>
  <c r="F73" i="6"/>
  <c r="E73" i="6"/>
  <c r="D73" i="6"/>
  <c r="V72" i="6"/>
  <c r="Z72" i="6" s="1"/>
  <c r="U72" i="6"/>
  <c r="Y72" i="6" s="1"/>
  <c r="T72" i="6"/>
  <c r="S72" i="6"/>
  <c r="X72" i="6" s="1"/>
  <c r="R72" i="6"/>
  <c r="Q72" i="6"/>
  <c r="P72" i="6"/>
  <c r="O72" i="6"/>
  <c r="N72" i="6"/>
  <c r="L72" i="6"/>
  <c r="K72" i="6"/>
  <c r="I72" i="6"/>
  <c r="H72" i="6"/>
  <c r="J72" i="6" s="1"/>
  <c r="G72" i="6"/>
  <c r="F72" i="6"/>
  <c r="E72" i="6"/>
  <c r="D72" i="6"/>
  <c r="Z71" i="6"/>
  <c r="X71" i="6"/>
  <c r="V71" i="6"/>
  <c r="U71" i="6"/>
  <c r="S71" i="6"/>
  <c r="R71" i="6"/>
  <c r="W71" i="6" s="1"/>
  <c r="Q71" i="6"/>
  <c r="P71" i="6"/>
  <c r="O71" i="6"/>
  <c r="N71" i="6"/>
  <c r="L71" i="6"/>
  <c r="K71" i="6"/>
  <c r="Y71" i="6" s="1"/>
  <c r="I71" i="6"/>
  <c r="H71" i="6"/>
  <c r="J71" i="6" s="1"/>
  <c r="G71" i="6"/>
  <c r="F71" i="6"/>
  <c r="E71" i="6"/>
  <c r="D71" i="6"/>
  <c r="V70" i="6"/>
  <c r="U70" i="6"/>
  <c r="S70" i="6"/>
  <c r="R70" i="6"/>
  <c r="Q70" i="6"/>
  <c r="P70" i="6"/>
  <c r="O70" i="6"/>
  <c r="N70" i="6"/>
  <c r="L70" i="6"/>
  <c r="Z70" i="6" s="1"/>
  <c r="K70" i="6"/>
  <c r="Y70" i="6" s="1"/>
  <c r="J70" i="6"/>
  <c r="I70" i="6"/>
  <c r="H70" i="6"/>
  <c r="G70" i="6"/>
  <c r="F70" i="6"/>
  <c r="E70" i="6"/>
  <c r="D70" i="6"/>
  <c r="V69" i="6"/>
  <c r="Z69" i="6" s="1"/>
  <c r="U69" i="6"/>
  <c r="T69" i="6"/>
  <c r="S69" i="6"/>
  <c r="R69" i="6"/>
  <c r="Q69" i="6"/>
  <c r="P69" i="6"/>
  <c r="O69" i="6"/>
  <c r="N69" i="6"/>
  <c r="L69" i="6"/>
  <c r="K69" i="6"/>
  <c r="J69" i="6"/>
  <c r="I69" i="6"/>
  <c r="X69" i="6" s="1"/>
  <c r="H69" i="6"/>
  <c r="W69" i="6" s="1"/>
  <c r="G69" i="6"/>
  <c r="F69" i="6"/>
  <c r="E69" i="6"/>
  <c r="D69" i="6"/>
  <c r="V68" i="6"/>
  <c r="U68" i="6"/>
  <c r="S68" i="6"/>
  <c r="R68" i="6"/>
  <c r="T68" i="6" s="1"/>
  <c r="Q68" i="6"/>
  <c r="P68" i="6"/>
  <c r="O68" i="6"/>
  <c r="N68" i="6"/>
  <c r="L68" i="6"/>
  <c r="K68" i="6"/>
  <c r="Y68" i="6" s="1"/>
  <c r="J68" i="6"/>
  <c r="I68" i="6"/>
  <c r="H68" i="6"/>
  <c r="G68" i="6"/>
  <c r="F68" i="6"/>
  <c r="E68" i="6"/>
  <c r="D68" i="6"/>
  <c r="Y67" i="6"/>
  <c r="X67" i="6"/>
  <c r="V67" i="6"/>
  <c r="Z67" i="6" s="1"/>
  <c r="U67" i="6"/>
  <c r="S67" i="6"/>
  <c r="R67" i="6"/>
  <c r="W67" i="6" s="1"/>
  <c r="Q67" i="6"/>
  <c r="P67" i="6"/>
  <c r="O67" i="6"/>
  <c r="N67" i="6"/>
  <c r="L67" i="6"/>
  <c r="K67" i="6"/>
  <c r="J67" i="6"/>
  <c r="I67" i="6"/>
  <c r="H67" i="6"/>
  <c r="G67" i="6"/>
  <c r="F67" i="6"/>
  <c r="E67" i="6"/>
  <c r="D67" i="6"/>
  <c r="V66" i="6"/>
  <c r="Z66" i="6" s="1"/>
  <c r="U66" i="6"/>
  <c r="Y66" i="6" s="1"/>
  <c r="S66" i="6"/>
  <c r="X66" i="6" s="1"/>
  <c r="R66" i="6"/>
  <c r="W66" i="6" s="1"/>
  <c r="Q66" i="6"/>
  <c r="P66" i="6"/>
  <c r="O66" i="6"/>
  <c r="N66" i="6"/>
  <c r="L66" i="6"/>
  <c r="K66" i="6"/>
  <c r="I66" i="6"/>
  <c r="H66" i="6"/>
  <c r="J66" i="6" s="1"/>
  <c r="G66" i="6"/>
  <c r="F66" i="6"/>
  <c r="E66" i="6"/>
  <c r="D66" i="6"/>
  <c r="C66" i="6"/>
  <c r="X65" i="6"/>
  <c r="V65" i="6"/>
  <c r="Z65" i="6" s="1"/>
  <c r="U65" i="6"/>
  <c r="Y65" i="6" s="1"/>
  <c r="T65" i="6"/>
  <c r="S65" i="6"/>
  <c r="R65" i="6"/>
  <c r="Q65" i="6"/>
  <c r="P65" i="6"/>
  <c r="O65" i="6"/>
  <c r="N65" i="6"/>
  <c r="L65" i="6"/>
  <c r="K65" i="6"/>
  <c r="I65" i="6"/>
  <c r="H65" i="6"/>
  <c r="G65" i="6"/>
  <c r="F65" i="6"/>
  <c r="E65" i="6"/>
  <c r="D65" i="6"/>
  <c r="C65" i="6"/>
  <c r="X64" i="6"/>
  <c r="W64" i="6"/>
  <c r="V64" i="6"/>
  <c r="Z64" i="6" s="1"/>
  <c r="U64" i="6"/>
  <c r="T64" i="6"/>
  <c r="S64" i="6"/>
  <c r="R64" i="6"/>
  <c r="Q64" i="6"/>
  <c r="P64" i="6"/>
  <c r="O64" i="6"/>
  <c r="N64" i="6"/>
  <c r="L64" i="6"/>
  <c r="K64" i="6"/>
  <c r="Y64" i="6" s="1"/>
  <c r="J64" i="6"/>
  <c r="I64" i="6"/>
  <c r="H64" i="6"/>
  <c r="G64" i="6"/>
  <c r="F64" i="6"/>
  <c r="E64" i="6"/>
  <c r="D64" i="6"/>
  <c r="C64" i="6"/>
  <c r="V63" i="6"/>
  <c r="U63" i="6"/>
  <c r="S63" i="6"/>
  <c r="X63" i="6" s="1"/>
  <c r="R63" i="6"/>
  <c r="Q63" i="6"/>
  <c r="P63" i="6"/>
  <c r="O63" i="6"/>
  <c r="N63" i="6"/>
  <c r="L63" i="6"/>
  <c r="K63" i="6"/>
  <c r="I63" i="6"/>
  <c r="I141" i="6" s="1"/>
  <c r="H63" i="6"/>
  <c r="J63" i="6" s="1"/>
  <c r="G63" i="6"/>
  <c r="F63" i="6"/>
  <c r="E63" i="6"/>
  <c r="D63" i="6"/>
  <c r="C63" i="6"/>
  <c r="V62" i="6"/>
  <c r="Z62" i="6" s="1"/>
  <c r="U62" i="6"/>
  <c r="S62" i="6"/>
  <c r="X62" i="6" s="1"/>
  <c r="R62" i="6"/>
  <c r="Q62" i="6"/>
  <c r="P62" i="6"/>
  <c r="O62" i="6"/>
  <c r="N62" i="6"/>
  <c r="L62" i="6"/>
  <c r="K62" i="6"/>
  <c r="J62" i="6"/>
  <c r="I62" i="6"/>
  <c r="H62" i="6"/>
  <c r="G62" i="6"/>
  <c r="F62" i="6"/>
  <c r="E62" i="6"/>
  <c r="D62" i="6"/>
  <c r="V61" i="6"/>
  <c r="Z61" i="6" s="1"/>
  <c r="U61" i="6"/>
  <c r="Y61" i="6" s="1"/>
  <c r="S61" i="6"/>
  <c r="X61" i="6" s="1"/>
  <c r="R61" i="6"/>
  <c r="W61" i="6" s="1"/>
  <c r="Q61" i="6"/>
  <c r="P61" i="6"/>
  <c r="O61" i="6"/>
  <c r="N61" i="6"/>
  <c r="L61" i="6"/>
  <c r="K61" i="6"/>
  <c r="I61" i="6"/>
  <c r="H61" i="6"/>
  <c r="J61" i="6" s="1"/>
  <c r="G61" i="6"/>
  <c r="F61" i="6"/>
  <c r="E61" i="6"/>
  <c r="D61" i="6"/>
  <c r="V60" i="6"/>
  <c r="Z60" i="6" s="1"/>
  <c r="U60" i="6"/>
  <c r="Y60" i="6" s="1"/>
  <c r="T60" i="6"/>
  <c r="S60" i="6"/>
  <c r="X60" i="6" s="1"/>
  <c r="R60" i="6"/>
  <c r="W60" i="6" s="1"/>
  <c r="Q60" i="6"/>
  <c r="P60" i="6"/>
  <c r="O60" i="6"/>
  <c r="N60" i="6"/>
  <c r="L60" i="6"/>
  <c r="K60" i="6"/>
  <c r="I60" i="6"/>
  <c r="H60" i="6"/>
  <c r="J60" i="6" s="1"/>
  <c r="G60" i="6"/>
  <c r="F60" i="6"/>
  <c r="E60" i="6"/>
  <c r="D60" i="6"/>
  <c r="Z59" i="6"/>
  <c r="X59" i="6"/>
  <c r="W59" i="6"/>
  <c r="V59" i="6"/>
  <c r="U59" i="6"/>
  <c r="S59" i="6"/>
  <c r="R59" i="6"/>
  <c r="T59" i="6" s="1"/>
  <c r="Q59" i="6"/>
  <c r="P59" i="6"/>
  <c r="O59" i="6"/>
  <c r="N59" i="6"/>
  <c r="L59" i="6"/>
  <c r="K59" i="6"/>
  <c r="Y59" i="6" s="1"/>
  <c r="J59" i="6"/>
  <c r="I59" i="6"/>
  <c r="H59" i="6"/>
  <c r="G59" i="6"/>
  <c r="F59" i="6"/>
  <c r="E59" i="6"/>
  <c r="D59" i="6"/>
  <c r="X58" i="6"/>
  <c r="V58" i="6"/>
  <c r="U58" i="6"/>
  <c r="T58" i="6"/>
  <c r="S58" i="6"/>
  <c r="R58" i="6"/>
  <c r="Q58" i="6"/>
  <c r="P58" i="6"/>
  <c r="O58" i="6"/>
  <c r="N58" i="6"/>
  <c r="L58" i="6"/>
  <c r="Z58" i="6" s="1"/>
  <c r="K58" i="6"/>
  <c r="Y58" i="6" s="1"/>
  <c r="I58" i="6"/>
  <c r="H58" i="6"/>
  <c r="J58" i="6" s="1"/>
  <c r="G58" i="6"/>
  <c r="F58" i="6"/>
  <c r="E58" i="6"/>
  <c r="D58" i="6"/>
  <c r="V57" i="6"/>
  <c r="Z57" i="6" s="1"/>
  <c r="U57" i="6"/>
  <c r="T57" i="6"/>
  <c r="S57" i="6"/>
  <c r="X57" i="6" s="1"/>
  <c r="R57" i="6"/>
  <c r="W57" i="6" s="1"/>
  <c r="Q57" i="6"/>
  <c r="P57" i="6"/>
  <c r="O57" i="6"/>
  <c r="N57" i="6"/>
  <c r="L57" i="6"/>
  <c r="K57" i="6"/>
  <c r="J57" i="6"/>
  <c r="I57" i="6"/>
  <c r="H57" i="6"/>
  <c r="G57" i="6"/>
  <c r="F57" i="6"/>
  <c r="E57" i="6"/>
  <c r="D57" i="6"/>
  <c r="X56" i="6"/>
  <c r="W56" i="6"/>
  <c r="V56" i="6"/>
  <c r="Z56" i="6" s="1"/>
  <c r="U56" i="6"/>
  <c r="T56" i="6"/>
  <c r="S56" i="6"/>
  <c r="R56" i="6"/>
  <c r="Q56" i="6"/>
  <c r="P56" i="6"/>
  <c r="O56" i="6"/>
  <c r="N56" i="6"/>
  <c r="L56" i="6"/>
  <c r="K56" i="6"/>
  <c r="I56" i="6"/>
  <c r="H56" i="6"/>
  <c r="J56" i="6" s="1"/>
  <c r="G56" i="6"/>
  <c r="F56" i="6"/>
  <c r="E56" i="6"/>
  <c r="D56" i="6"/>
  <c r="Z55" i="6"/>
  <c r="V55" i="6"/>
  <c r="U55" i="6"/>
  <c r="Y55" i="6" s="1"/>
  <c r="S55" i="6"/>
  <c r="R55" i="6"/>
  <c r="Q55" i="6"/>
  <c r="P55" i="6"/>
  <c r="O55" i="6"/>
  <c r="N55" i="6"/>
  <c r="L55" i="6"/>
  <c r="K55" i="6"/>
  <c r="I55" i="6"/>
  <c r="X55" i="6" s="1"/>
  <c r="H55" i="6"/>
  <c r="J55" i="6" s="1"/>
  <c r="G55" i="6"/>
  <c r="F55" i="6"/>
  <c r="E55" i="6"/>
  <c r="D55" i="6"/>
  <c r="V54" i="6"/>
  <c r="U54" i="6"/>
  <c r="S54" i="6"/>
  <c r="X54" i="6" s="1"/>
  <c r="R54" i="6"/>
  <c r="W54" i="6" s="1"/>
  <c r="Q54" i="6"/>
  <c r="P54" i="6"/>
  <c r="O54" i="6"/>
  <c r="N54" i="6"/>
  <c r="L54" i="6"/>
  <c r="K54" i="6"/>
  <c r="Y54" i="6" s="1"/>
  <c r="J54" i="6"/>
  <c r="I54" i="6"/>
  <c r="H54" i="6"/>
  <c r="G54" i="6"/>
  <c r="F54" i="6"/>
  <c r="E54" i="6"/>
  <c r="D54" i="6"/>
  <c r="V53" i="6"/>
  <c r="U53" i="6"/>
  <c r="Y53" i="6" s="1"/>
  <c r="T53" i="6"/>
  <c r="S53" i="6"/>
  <c r="R53" i="6"/>
  <c r="Q53" i="6"/>
  <c r="P53" i="6"/>
  <c r="O53" i="6"/>
  <c r="N53" i="6"/>
  <c r="L53" i="6"/>
  <c r="K53" i="6"/>
  <c r="I53" i="6"/>
  <c r="X53" i="6" s="1"/>
  <c r="H53" i="6"/>
  <c r="G53" i="6"/>
  <c r="F53" i="6"/>
  <c r="E53" i="6"/>
  <c r="D53" i="6"/>
  <c r="V52" i="6"/>
  <c r="Z52" i="6" s="1"/>
  <c r="U52" i="6"/>
  <c r="S52" i="6"/>
  <c r="R52" i="6"/>
  <c r="T52" i="6" s="1"/>
  <c r="Q52" i="6"/>
  <c r="P52" i="6"/>
  <c r="O52" i="6"/>
  <c r="N52" i="6"/>
  <c r="L52" i="6"/>
  <c r="K52" i="6"/>
  <c r="Y52" i="6" s="1"/>
  <c r="J52" i="6"/>
  <c r="I52" i="6"/>
  <c r="X52" i="6" s="1"/>
  <c r="H52" i="6"/>
  <c r="W52" i="6" s="1"/>
  <c r="G52" i="6"/>
  <c r="F52" i="6"/>
  <c r="E52" i="6"/>
  <c r="D52" i="6"/>
  <c r="W51" i="6"/>
  <c r="V51" i="6"/>
  <c r="Z51" i="6" s="1"/>
  <c r="U51" i="6"/>
  <c r="Y51" i="6" s="1"/>
  <c r="S51" i="6"/>
  <c r="X51" i="6" s="1"/>
  <c r="R51" i="6"/>
  <c r="T51" i="6" s="1"/>
  <c r="Q51" i="6"/>
  <c r="P51" i="6"/>
  <c r="O51" i="6"/>
  <c r="N51" i="6"/>
  <c r="L51" i="6"/>
  <c r="K51" i="6"/>
  <c r="J51" i="6"/>
  <c r="I51" i="6"/>
  <c r="H51" i="6"/>
  <c r="G51" i="6"/>
  <c r="F51" i="6"/>
  <c r="E51" i="6"/>
  <c r="D51" i="6"/>
  <c r="Y50" i="6"/>
  <c r="X50" i="6"/>
  <c r="W50" i="6"/>
  <c r="V50" i="6"/>
  <c r="Z50" i="6" s="1"/>
  <c r="U50" i="6"/>
  <c r="T50" i="6"/>
  <c r="S50" i="6"/>
  <c r="R50" i="6"/>
  <c r="Q50" i="6"/>
  <c r="P50" i="6"/>
  <c r="O50" i="6"/>
  <c r="N50" i="6"/>
  <c r="L50" i="6"/>
  <c r="K50" i="6"/>
  <c r="J50" i="6"/>
  <c r="I50" i="6"/>
  <c r="H50" i="6"/>
  <c r="G50" i="6"/>
  <c r="F50" i="6"/>
  <c r="E50" i="6"/>
  <c r="D50" i="6"/>
  <c r="Y49" i="6"/>
  <c r="X49" i="6"/>
  <c r="V49" i="6"/>
  <c r="Z49" i="6" s="1"/>
  <c r="U49" i="6"/>
  <c r="S49" i="6"/>
  <c r="R49" i="6"/>
  <c r="T49" i="6" s="1"/>
  <c r="Q49" i="6"/>
  <c r="P49" i="6"/>
  <c r="O49" i="6"/>
  <c r="N49" i="6"/>
  <c r="L49" i="6"/>
  <c r="K49" i="6"/>
  <c r="I49" i="6"/>
  <c r="H49" i="6"/>
  <c r="J49" i="6" s="1"/>
  <c r="G49" i="6"/>
  <c r="F49" i="6"/>
  <c r="E49" i="6"/>
  <c r="D49" i="6"/>
  <c r="Y48" i="6"/>
  <c r="X48" i="6"/>
  <c r="W48" i="6"/>
  <c r="V48" i="6"/>
  <c r="Z48" i="6" s="1"/>
  <c r="U48" i="6"/>
  <c r="T48" i="6"/>
  <c r="S48" i="6"/>
  <c r="R48" i="6"/>
  <c r="Q48" i="6"/>
  <c r="P48" i="6"/>
  <c r="O48" i="6"/>
  <c r="N48" i="6"/>
  <c r="L48" i="6"/>
  <c r="K48" i="6"/>
  <c r="J48" i="6"/>
  <c r="I48" i="6"/>
  <c r="H48" i="6"/>
  <c r="G48" i="6"/>
  <c r="F48" i="6"/>
  <c r="E48" i="6"/>
  <c r="D48" i="6"/>
  <c r="V47" i="6"/>
  <c r="U47" i="6"/>
  <c r="S47" i="6"/>
  <c r="R47" i="6"/>
  <c r="Q47" i="6"/>
  <c r="P47" i="6"/>
  <c r="O47" i="6"/>
  <c r="N47" i="6"/>
  <c r="L47" i="6"/>
  <c r="Z47" i="6" s="1"/>
  <c r="K47" i="6"/>
  <c r="Y47" i="6" s="1"/>
  <c r="I47" i="6"/>
  <c r="H47" i="6"/>
  <c r="J47" i="6" s="1"/>
  <c r="G47" i="6"/>
  <c r="F47" i="6"/>
  <c r="E47" i="6"/>
  <c r="D47" i="6"/>
  <c r="V46" i="6"/>
  <c r="U46" i="6"/>
  <c r="T46" i="6"/>
  <c r="S46" i="6"/>
  <c r="R46" i="6"/>
  <c r="W46" i="6" s="1"/>
  <c r="Q46" i="6"/>
  <c r="P46" i="6"/>
  <c r="O46" i="6"/>
  <c r="N46" i="6"/>
  <c r="L46" i="6"/>
  <c r="K46" i="6"/>
  <c r="J46" i="6"/>
  <c r="I46" i="6"/>
  <c r="H46" i="6"/>
  <c r="G46" i="6"/>
  <c r="F46" i="6"/>
  <c r="E46" i="6"/>
  <c r="D46" i="6"/>
  <c r="V45" i="6"/>
  <c r="U45" i="6"/>
  <c r="Y45" i="6" s="1"/>
  <c r="S45" i="6"/>
  <c r="R45" i="6"/>
  <c r="Q45" i="6"/>
  <c r="P45" i="6"/>
  <c r="O45" i="6"/>
  <c r="N45" i="6"/>
  <c r="L45" i="6"/>
  <c r="K45" i="6"/>
  <c r="I45" i="6"/>
  <c r="H45" i="6"/>
  <c r="J45" i="6" s="1"/>
  <c r="G45" i="6"/>
  <c r="F45" i="6"/>
  <c r="E45" i="6"/>
  <c r="D45" i="6"/>
  <c r="V44" i="6"/>
  <c r="Z44" i="6" s="1"/>
  <c r="U44" i="6"/>
  <c r="Y44" i="6" s="1"/>
  <c r="S44" i="6"/>
  <c r="X44" i="6" s="1"/>
  <c r="R44" i="6"/>
  <c r="Q44" i="6"/>
  <c r="P44" i="6"/>
  <c r="O44" i="6"/>
  <c r="N44" i="6"/>
  <c r="L44" i="6"/>
  <c r="K44" i="6"/>
  <c r="J44" i="6"/>
  <c r="I44" i="6"/>
  <c r="H44" i="6"/>
  <c r="G44" i="6"/>
  <c r="F44" i="6"/>
  <c r="E44" i="6"/>
  <c r="D44" i="6"/>
  <c r="Z43" i="6"/>
  <c r="Y43" i="6"/>
  <c r="W43" i="6"/>
  <c r="V43" i="6"/>
  <c r="U43" i="6"/>
  <c r="S43" i="6"/>
  <c r="R43" i="6"/>
  <c r="T43" i="6" s="1"/>
  <c r="Q43" i="6"/>
  <c r="P43" i="6"/>
  <c r="O43" i="6"/>
  <c r="N43" i="6"/>
  <c r="L43" i="6"/>
  <c r="K43" i="6"/>
  <c r="I43" i="6"/>
  <c r="X43" i="6" s="1"/>
  <c r="H43" i="6"/>
  <c r="J43" i="6" s="1"/>
  <c r="G43" i="6"/>
  <c r="F43" i="6"/>
  <c r="E43" i="6"/>
  <c r="D43" i="6"/>
  <c r="Y42" i="6"/>
  <c r="V42" i="6"/>
  <c r="Z42" i="6" s="1"/>
  <c r="U42" i="6"/>
  <c r="T42" i="6"/>
  <c r="S42" i="6"/>
  <c r="R42" i="6"/>
  <c r="Q42" i="6"/>
  <c r="P42" i="6"/>
  <c r="O42" i="6"/>
  <c r="N42" i="6"/>
  <c r="L42" i="6"/>
  <c r="K42" i="6"/>
  <c r="J42" i="6"/>
  <c r="I42" i="6"/>
  <c r="X42" i="6" s="1"/>
  <c r="H42" i="6"/>
  <c r="W42" i="6" s="1"/>
  <c r="G42" i="6"/>
  <c r="F42" i="6"/>
  <c r="E42" i="6"/>
  <c r="D42" i="6"/>
  <c r="Z41" i="6"/>
  <c r="W41" i="6"/>
  <c r="V41" i="6"/>
  <c r="U41" i="6"/>
  <c r="S41" i="6"/>
  <c r="R41" i="6"/>
  <c r="T41" i="6" s="1"/>
  <c r="Q41" i="6"/>
  <c r="P41" i="6"/>
  <c r="O41" i="6"/>
  <c r="N41" i="6"/>
  <c r="L41" i="6"/>
  <c r="K41" i="6"/>
  <c r="Y41" i="6" s="1"/>
  <c r="J41" i="6"/>
  <c r="I41" i="6"/>
  <c r="X41" i="6" s="1"/>
  <c r="H41" i="6"/>
  <c r="G41" i="6"/>
  <c r="F41" i="6"/>
  <c r="E41" i="6"/>
  <c r="D41" i="6"/>
  <c r="Z40" i="6"/>
  <c r="Y40" i="6"/>
  <c r="X40" i="6"/>
  <c r="V40" i="6"/>
  <c r="U40" i="6"/>
  <c r="T40" i="6"/>
  <c r="S40" i="6"/>
  <c r="R40" i="6"/>
  <c r="Q40" i="6"/>
  <c r="P40" i="6"/>
  <c r="O40" i="6"/>
  <c r="N40" i="6"/>
  <c r="L40" i="6"/>
  <c r="K40" i="6"/>
  <c r="I40" i="6"/>
  <c r="H40" i="6"/>
  <c r="J40" i="6" s="1"/>
  <c r="G40" i="6"/>
  <c r="F40" i="6"/>
  <c r="E40" i="6"/>
  <c r="D40" i="6"/>
  <c r="V39" i="6"/>
  <c r="U39" i="6"/>
  <c r="T39" i="6"/>
  <c r="S39" i="6"/>
  <c r="X39" i="6" s="1"/>
  <c r="R39" i="6"/>
  <c r="W39" i="6" s="1"/>
  <c r="Q39" i="6"/>
  <c r="P39" i="6"/>
  <c r="O39" i="6"/>
  <c r="N39" i="6"/>
  <c r="L39" i="6"/>
  <c r="K39" i="6"/>
  <c r="I39" i="6"/>
  <c r="H39" i="6"/>
  <c r="J39" i="6" s="1"/>
  <c r="G39" i="6"/>
  <c r="F39" i="6"/>
  <c r="E39" i="6"/>
  <c r="D39" i="6"/>
  <c r="V38" i="6"/>
  <c r="Z38" i="6" s="1"/>
  <c r="U38" i="6"/>
  <c r="Y38" i="6" s="1"/>
  <c r="S38" i="6"/>
  <c r="R38" i="6"/>
  <c r="Q38" i="6"/>
  <c r="P38" i="6"/>
  <c r="O38" i="6"/>
  <c r="N38" i="6"/>
  <c r="L38" i="6"/>
  <c r="K38" i="6"/>
  <c r="I38" i="6"/>
  <c r="H38" i="6"/>
  <c r="J38" i="6" s="1"/>
  <c r="G38" i="6"/>
  <c r="F38" i="6"/>
  <c r="E38" i="6"/>
  <c r="D38" i="6"/>
  <c r="V37" i="6"/>
  <c r="Z37" i="6" s="1"/>
  <c r="U37" i="6"/>
  <c r="Y37" i="6" s="1"/>
  <c r="S37" i="6"/>
  <c r="R37" i="6"/>
  <c r="Q37" i="6"/>
  <c r="P37" i="6"/>
  <c r="O37" i="6"/>
  <c r="N37" i="6"/>
  <c r="L37" i="6"/>
  <c r="K37" i="6"/>
  <c r="I37" i="6"/>
  <c r="X37" i="6" s="1"/>
  <c r="H37" i="6"/>
  <c r="J37" i="6" s="1"/>
  <c r="G37" i="6"/>
  <c r="F37" i="6"/>
  <c r="E37" i="6"/>
  <c r="D37" i="6"/>
  <c r="X36" i="6"/>
  <c r="W36" i="6"/>
  <c r="V36" i="6"/>
  <c r="U36" i="6"/>
  <c r="T36" i="6"/>
  <c r="S36" i="6"/>
  <c r="R36" i="6"/>
  <c r="Q36" i="6"/>
  <c r="P36" i="6"/>
  <c r="O36" i="6"/>
  <c r="N36" i="6"/>
  <c r="L36" i="6"/>
  <c r="K36" i="6"/>
  <c r="Y36" i="6" s="1"/>
  <c r="J36" i="6"/>
  <c r="I36" i="6"/>
  <c r="H36" i="6"/>
  <c r="G36" i="6"/>
  <c r="F36" i="6"/>
  <c r="E36" i="6"/>
  <c r="D36" i="6"/>
  <c r="V35" i="6"/>
  <c r="Z35" i="6" s="1"/>
  <c r="U35" i="6"/>
  <c r="Y35" i="6" s="1"/>
  <c r="S35" i="6"/>
  <c r="X35" i="6" s="1"/>
  <c r="R35" i="6"/>
  <c r="Q35" i="6"/>
  <c r="P35" i="6"/>
  <c r="O35" i="6"/>
  <c r="N35" i="6"/>
  <c r="L35" i="6"/>
  <c r="K35" i="6"/>
  <c r="J35" i="6"/>
  <c r="I35" i="6"/>
  <c r="H35" i="6"/>
  <c r="G35" i="6"/>
  <c r="F35" i="6"/>
  <c r="E35" i="6"/>
  <c r="D35" i="6"/>
  <c r="V34" i="6"/>
  <c r="Z34" i="6" s="1"/>
  <c r="U34" i="6"/>
  <c r="Y34" i="6" s="1"/>
  <c r="S34" i="6"/>
  <c r="X34" i="6" s="1"/>
  <c r="R34" i="6"/>
  <c r="Q34" i="6"/>
  <c r="P34" i="6"/>
  <c r="O34" i="6"/>
  <c r="N34" i="6"/>
  <c r="L34" i="6"/>
  <c r="K34" i="6"/>
  <c r="I34" i="6"/>
  <c r="H34" i="6"/>
  <c r="J34" i="6" s="1"/>
  <c r="G34" i="6"/>
  <c r="F34" i="6"/>
  <c r="E34" i="6"/>
  <c r="D34" i="6"/>
  <c r="Z33" i="6"/>
  <c r="V33" i="6"/>
  <c r="U33" i="6"/>
  <c r="Y33" i="6" s="1"/>
  <c r="T33" i="6"/>
  <c r="S33" i="6"/>
  <c r="X33" i="6" s="1"/>
  <c r="R33" i="6"/>
  <c r="W33" i="6" s="1"/>
  <c r="Q33" i="6"/>
  <c r="P33" i="6"/>
  <c r="O33" i="6"/>
  <c r="N33" i="6"/>
  <c r="L33" i="6"/>
  <c r="K33" i="6"/>
  <c r="J33" i="6"/>
  <c r="I33" i="6"/>
  <c r="H33" i="6"/>
  <c r="G33" i="6"/>
  <c r="F33" i="6"/>
  <c r="E33" i="6"/>
  <c r="D33" i="6"/>
  <c r="W32" i="6"/>
  <c r="V32" i="6"/>
  <c r="Z32" i="6" s="1"/>
  <c r="U32" i="6"/>
  <c r="Y32" i="6" s="1"/>
  <c r="T32" i="6"/>
  <c r="S32" i="6"/>
  <c r="X32" i="6" s="1"/>
  <c r="R32" i="6"/>
  <c r="Q32" i="6"/>
  <c r="P32" i="6"/>
  <c r="O32" i="6"/>
  <c r="N32" i="6"/>
  <c r="L32" i="6"/>
  <c r="K32" i="6"/>
  <c r="I32" i="6"/>
  <c r="H32" i="6"/>
  <c r="J32" i="6" s="1"/>
  <c r="G32" i="6"/>
  <c r="F32" i="6"/>
  <c r="E32" i="6"/>
  <c r="D32" i="6"/>
  <c r="V31" i="6"/>
  <c r="U31" i="6"/>
  <c r="T31" i="6"/>
  <c r="S31" i="6"/>
  <c r="R31" i="6"/>
  <c r="Q31" i="6"/>
  <c r="P31" i="6"/>
  <c r="O31" i="6"/>
  <c r="N31" i="6"/>
  <c r="L31" i="6"/>
  <c r="Z31" i="6" s="1"/>
  <c r="K31" i="6"/>
  <c r="Y31" i="6" s="1"/>
  <c r="I31" i="6"/>
  <c r="X31" i="6" s="1"/>
  <c r="H31" i="6"/>
  <c r="W31" i="6" s="1"/>
  <c r="G31" i="6"/>
  <c r="F31" i="6"/>
  <c r="E31" i="6"/>
  <c r="D31" i="6"/>
  <c r="V30" i="6"/>
  <c r="U30" i="6"/>
  <c r="S30" i="6"/>
  <c r="R30" i="6"/>
  <c r="Q30" i="6"/>
  <c r="P30" i="6"/>
  <c r="O30" i="6"/>
  <c r="N30" i="6"/>
  <c r="L30" i="6"/>
  <c r="Z30" i="6" s="1"/>
  <c r="K30" i="6"/>
  <c r="Y30" i="6" s="1"/>
  <c r="I30" i="6"/>
  <c r="X30" i="6" s="1"/>
  <c r="H30" i="6"/>
  <c r="J30" i="6" s="1"/>
  <c r="G30" i="6"/>
  <c r="F30" i="6"/>
  <c r="E30" i="6"/>
  <c r="D30" i="6"/>
  <c r="V29" i="6"/>
  <c r="U29" i="6"/>
  <c r="S29" i="6"/>
  <c r="R29" i="6"/>
  <c r="Q29" i="6"/>
  <c r="P29" i="6"/>
  <c r="O29" i="6"/>
  <c r="N29" i="6"/>
  <c r="L29" i="6"/>
  <c r="Z29" i="6" s="1"/>
  <c r="K29" i="6"/>
  <c r="Y29" i="6" s="1"/>
  <c r="J29" i="6"/>
  <c r="I29" i="6"/>
  <c r="I150" i="6" s="1"/>
  <c r="H29" i="6"/>
  <c r="G29" i="6"/>
  <c r="F29" i="6"/>
  <c r="E29" i="6"/>
  <c r="D29" i="6"/>
  <c r="V28" i="6"/>
  <c r="U28" i="6"/>
  <c r="S28" i="6"/>
  <c r="R28" i="6"/>
  <c r="Q28" i="6"/>
  <c r="P28" i="6"/>
  <c r="O28" i="6"/>
  <c r="N28" i="6"/>
  <c r="L28" i="6"/>
  <c r="Z28" i="6" s="1"/>
  <c r="K28" i="6"/>
  <c r="J28" i="6"/>
  <c r="I28" i="6"/>
  <c r="I139" i="6" s="1"/>
  <c r="H28" i="6"/>
  <c r="G28" i="6"/>
  <c r="F28" i="6"/>
  <c r="E28" i="6"/>
  <c r="D28" i="6"/>
  <c r="Y27" i="6"/>
  <c r="V27" i="6"/>
  <c r="Z27" i="6" s="1"/>
  <c r="U27" i="6"/>
  <c r="S27" i="6"/>
  <c r="R27" i="6"/>
  <c r="Q27" i="6"/>
  <c r="P27" i="6"/>
  <c r="O27" i="6"/>
  <c r="N27" i="6"/>
  <c r="L27" i="6"/>
  <c r="K27" i="6"/>
  <c r="I27" i="6"/>
  <c r="H27" i="6"/>
  <c r="J27" i="6" s="1"/>
  <c r="G27" i="6"/>
  <c r="F27" i="6"/>
  <c r="E27" i="6"/>
  <c r="D27" i="6"/>
  <c r="T149" i="5"/>
  <c r="S149" i="5"/>
  <c r="J149" i="5"/>
  <c r="I149" i="5"/>
  <c r="T148" i="5"/>
  <c r="S148" i="5"/>
  <c r="X148" i="5" s="1"/>
  <c r="J148" i="5"/>
  <c r="I148" i="5"/>
  <c r="T138" i="5"/>
  <c r="S138" i="5"/>
  <c r="J138" i="5"/>
  <c r="I138" i="5"/>
  <c r="T137" i="5"/>
  <c r="S137" i="5"/>
  <c r="J137" i="5"/>
  <c r="I137" i="5"/>
  <c r="V122" i="5"/>
  <c r="U122" i="5"/>
  <c r="S122" i="5"/>
  <c r="R122" i="5"/>
  <c r="T122" i="5" s="1"/>
  <c r="Q122" i="5"/>
  <c r="P122" i="5"/>
  <c r="O122" i="5"/>
  <c r="N122" i="5"/>
  <c r="L122" i="5"/>
  <c r="K122" i="5"/>
  <c r="I122" i="5"/>
  <c r="H122" i="5"/>
  <c r="J122" i="5" s="1"/>
  <c r="G122" i="5"/>
  <c r="F122" i="5"/>
  <c r="E122" i="5"/>
  <c r="D122" i="5"/>
  <c r="V121" i="5"/>
  <c r="U121" i="5"/>
  <c r="S121" i="5"/>
  <c r="R121" i="5"/>
  <c r="Q121" i="5"/>
  <c r="P121" i="5"/>
  <c r="O121" i="5"/>
  <c r="N121" i="5"/>
  <c r="L121" i="5"/>
  <c r="K121" i="5"/>
  <c r="I121" i="5"/>
  <c r="H121" i="5"/>
  <c r="J121" i="5" s="1"/>
  <c r="G121" i="5"/>
  <c r="F121" i="5"/>
  <c r="E121" i="5"/>
  <c r="D121" i="5"/>
  <c r="V120" i="5"/>
  <c r="U120" i="5"/>
  <c r="S120" i="5"/>
  <c r="R120" i="5"/>
  <c r="T120" i="5" s="1"/>
  <c r="Q120" i="5"/>
  <c r="P120" i="5"/>
  <c r="O120" i="5"/>
  <c r="N120" i="5"/>
  <c r="L120" i="5"/>
  <c r="K120" i="5"/>
  <c r="I120" i="5"/>
  <c r="H120" i="5"/>
  <c r="J120" i="5" s="1"/>
  <c r="G120" i="5"/>
  <c r="F120" i="5"/>
  <c r="E120" i="5"/>
  <c r="D120" i="5"/>
  <c r="V119" i="5"/>
  <c r="U119" i="5"/>
  <c r="Y119" i="5" s="1"/>
  <c r="S119" i="5"/>
  <c r="R119" i="5"/>
  <c r="T119" i="5" s="1"/>
  <c r="Q119" i="5"/>
  <c r="P119" i="5"/>
  <c r="O119" i="5"/>
  <c r="N119" i="5"/>
  <c r="L119" i="5"/>
  <c r="K119" i="5"/>
  <c r="I119" i="5"/>
  <c r="H119" i="5"/>
  <c r="G119" i="5"/>
  <c r="F119" i="5"/>
  <c r="E119" i="5"/>
  <c r="D119" i="5"/>
  <c r="V118" i="5"/>
  <c r="U118" i="5"/>
  <c r="S118" i="5"/>
  <c r="X118" i="5" s="1"/>
  <c r="R118" i="5"/>
  <c r="T118" i="5" s="1"/>
  <c r="Q118" i="5"/>
  <c r="P118" i="5"/>
  <c r="O118" i="5"/>
  <c r="N118" i="5"/>
  <c r="L118" i="5"/>
  <c r="K118" i="5"/>
  <c r="I118" i="5"/>
  <c r="H118" i="5"/>
  <c r="J118" i="5" s="1"/>
  <c r="G118" i="5"/>
  <c r="F118" i="5"/>
  <c r="E118" i="5"/>
  <c r="D118" i="5"/>
  <c r="V117" i="5"/>
  <c r="U117" i="5"/>
  <c r="S117" i="5"/>
  <c r="R117" i="5"/>
  <c r="Q117" i="5"/>
  <c r="P117" i="5"/>
  <c r="O117" i="5"/>
  <c r="N117" i="5"/>
  <c r="L117" i="5"/>
  <c r="K117" i="5"/>
  <c r="I117" i="5"/>
  <c r="H117" i="5"/>
  <c r="J117" i="5" s="1"/>
  <c r="G117" i="5"/>
  <c r="F117" i="5"/>
  <c r="E117" i="5"/>
  <c r="D117" i="5"/>
  <c r="V116" i="5"/>
  <c r="U116" i="5"/>
  <c r="S116" i="5"/>
  <c r="R116" i="5"/>
  <c r="T116" i="5" s="1"/>
  <c r="Q116" i="5"/>
  <c r="P116" i="5"/>
  <c r="O116" i="5"/>
  <c r="N116" i="5"/>
  <c r="L116" i="5"/>
  <c r="K116" i="5"/>
  <c r="I116" i="5"/>
  <c r="H116" i="5"/>
  <c r="J116" i="5" s="1"/>
  <c r="G116" i="5"/>
  <c r="F116" i="5"/>
  <c r="E116" i="5"/>
  <c r="D116" i="5"/>
  <c r="V115" i="5"/>
  <c r="U115" i="5"/>
  <c r="S115" i="5"/>
  <c r="R115" i="5"/>
  <c r="Q115" i="5"/>
  <c r="P115" i="5"/>
  <c r="O115" i="5"/>
  <c r="N115" i="5"/>
  <c r="L115" i="5"/>
  <c r="Z115" i="5" s="1"/>
  <c r="K115" i="5"/>
  <c r="Y115" i="5" s="1"/>
  <c r="I115" i="5"/>
  <c r="H115" i="5"/>
  <c r="J115" i="5" s="1"/>
  <c r="G115" i="5"/>
  <c r="F115" i="5"/>
  <c r="E115" i="5"/>
  <c r="D115" i="5"/>
  <c r="V114" i="5"/>
  <c r="U114" i="5"/>
  <c r="S114" i="5"/>
  <c r="R114" i="5"/>
  <c r="Q114" i="5"/>
  <c r="P114" i="5"/>
  <c r="O114" i="5"/>
  <c r="N114" i="5"/>
  <c r="L114" i="5"/>
  <c r="K114" i="5"/>
  <c r="I114" i="5"/>
  <c r="X114" i="5" s="1"/>
  <c r="H114" i="5"/>
  <c r="J114" i="5" s="1"/>
  <c r="G114" i="5"/>
  <c r="F114" i="5"/>
  <c r="E114" i="5"/>
  <c r="D114" i="5"/>
  <c r="V113" i="5"/>
  <c r="Z113" i="5" s="1"/>
  <c r="U113" i="5"/>
  <c r="S113" i="5"/>
  <c r="R113" i="5"/>
  <c r="T113" i="5" s="1"/>
  <c r="Q113" i="5"/>
  <c r="P113" i="5"/>
  <c r="O113" i="5"/>
  <c r="N113" i="5"/>
  <c r="L113" i="5"/>
  <c r="K113" i="5"/>
  <c r="I113" i="5"/>
  <c r="H113" i="5"/>
  <c r="J113" i="5" s="1"/>
  <c r="G113" i="5"/>
  <c r="F113" i="5"/>
  <c r="E113" i="5"/>
  <c r="D113" i="5"/>
  <c r="V112" i="5"/>
  <c r="U112" i="5"/>
  <c r="S112" i="5"/>
  <c r="R112" i="5"/>
  <c r="T112" i="5" s="1"/>
  <c r="Q112" i="5"/>
  <c r="P112" i="5"/>
  <c r="O112" i="5"/>
  <c r="N112" i="5"/>
  <c r="L112" i="5"/>
  <c r="K112" i="5"/>
  <c r="I112" i="5"/>
  <c r="H112" i="5"/>
  <c r="G112" i="5"/>
  <c r="F112" i="5"/>
  <c r="E112" i="5"/>
  <c r="D112" i="5"/>
  <c r="V111" i="5"/>
  <c r="U111" i="5"/>
  <c r="S111" i="5"/>
  <c r="R111" i="5"/>
  <c r="Q111" i="5"/>
  <c r="P111" i="5"/>
  <c r="O111" i="5"/>
  <c r="N111" i="5"/>
  <c r="L111" i="5"/>
  <c r="K111" i="5"/>
  <c r="I111" i="5"/>
  <c r="H111" i="5"/>
  <c r="J111" i="5" s="1"/>
  <c r="G111" i="5"/>
  <c r="F111" i="5"/>
  <c r="E111" i="5"/>
  <c r="D111" i="5"/>
  <c r="V110" i="5"/>
  <c r="U110" i="5"/>
  <c r="S110" i="5"/>
  <c r="R110" i="5"/>
  <c r="Q110" i="5"/>
  <c r="P110" i="5"/>
  <c r="O110" i="5"/>
  <c r="N110" i="5"/>
  <c r="L110" i="5"/>
  <c r="K110" i="5"/>
  <c r="I110" i="5"/>
  <c r="H110" i="5"/>
  <c r="J110" i="5" s="1"/>
  <c r="G110" i="5"/>
  <c r="F110" i="5"/>
  <c r="E110" i="5"/>
  <c r="D110" i="5"/>
  <c r="V109" i="5"/>
  <c r="U109" i="5"/>
  <c r="S109" i="5"/>
  <c r="R109" i="5"/>
  <c r="Q109" i="5"/>
  <c r="P109" i="5"/>
  <c r="O109" i="5"/>
  <c r="N109" i="5"/>
  <c r="L109" i="5"/>
  <c r="K109" i="5"/>
  <c r="I109" i="5"/>
  <c r="H109" i="5"/>
  <c r="J109" i="5" s="1"/>
  <c r="G109" i="5"/>
  <c r="F109" i="5"/>
  <c r="E109" i="5"/>
  <c r="D109" i="5"/>
  <c r="V108" i="5"/>
  <c r="U108" i="5"/>
  <c r="S108" i="5"/>
  <c r="X108" i="5" s="1"/>
  <c r="R108" i="5"/>
  <c r="W108" i="5" s="1"/>
  <c r="Q108" i="5"/>
  <c r="P108" i="5"/>
  <c r="O108" i="5"/>
  <c r="N108" i="5"/>
  <c r="L108" i="5"/>
  <c r="K108" i="5"/>
  <c r="I108" i="5"/>
  <c r="H108" i="5"/>
  <c r="J108" i="5" s="1"/>
  <c r="G108" i="5"/>
  <c r="F108" i="5"/>
  <c r="E108" i="5"/>
  <c r="D108" i="5"/>
  <c r="V107" i="5"/>
  <c r="U107" i="5"/>
  <c r="S107" i="5"/>
  <c r="R107" i="5"/>
  <c r="T107" i="5" s="1"/>
  <c r="Q107" i="5"/>
  <c r="P107" i="5"/>
  <c r="O107" i="5"/>
  <c r="N107" i="5"/>
  <c r="L107" i="5"/>
  <c r="K107" i="5"/>
  <c r="I107" i="5"/>
  <c r="H107" i="5"/>
  <c r="J107" i="5" s="1"/>
  <c r="G107" i="5"/>
  <c r="F107" i="5"/>
  <c r="E107" i="5"/>
  <c r="D107" i="5"/>
  <c r="V106" i="5"/>
  <c r="U106" i="5"/>
  <c r="S106" i="5"/>
  <c r="R106" i="5"/>
  <c r="Q106" i="5"/>
  <c r="P106" i="5"/>
  <c r="O106" i="5"/>
  <c r="N106" i="5"/>
  <c r="L106" i="5"/>
  <c r="K106" i="5"/>
  <c r="I106" i="5"/>
  <c r="H106" i="5"/>
  <c r="J106" i="5" s="1"/>
  <c r="G106" i="5"/>
  <c r="F106" i="5"/>
  <c r="E106" i="5"/>
  <c r="D106" i="5"/>
  <c r="V105" i="5"/>
  <c r="U105" i="5"/>
  <c r="S105" i="5"/>
  <c r="R105" i="5"/>
  <c r="Q105" i="5"/>
  <c r="P105" i="5"/>
  <c r="O105" i="5"/>
  <c r="N105" i="5"/>
  <c r="L105" i="5"/>
  <c r="K105" i="5"/>
  <c r="I105" i="5"/>
  <c r="H105" i="5"/>
  <c r="J105" i="5" s="1"/>
  <c r="G105" i="5"/>
  <c r="F105" i="5"/>
  <c r="E105" i="5"/>
  <c r="D105" i="5"/>
  <c r="V104" i="5"/>
  <c r="U104" i="5"/>
  <c r="S104" i="5"/>
  <c r="R104" i="5"/>
  <c r="Q104" i="5"/>
  <c r="P104" i="5"/>
  <c r="O104" i="5"/>
  <c r="N104" i="5"/>
  <c r="L104" i="5"/>
  <c r="K104" i="5"/>
  <c r="I104" i="5"/>
  <c r="H104" i="5"/>
  <c r="J104" i="5" s="1"/>
  <c r="G104" i="5"/>
  <c r="F104" i="5"/>
  <c r="E104" i="5"/>
  <c r="D104" i="5"/>
  <c r="V103" i="5"/>
  <c r="Z103" i="5" s="1"/>
  <c r="U103" i="5"/>
  <c r="Y103" i="5" s="1"/>
  <c r="S103" i="5"/>
  <c r="R103" i="5"/>
  <c r="W103" i="5" s="1"/>
  <c r="Q103" i="5"/>
  <c r="P103" i="5"/>
  <c r="O103" i="5"/>
  <c r="N103" i="5"/>
  <c r="L103" i="5"/>
  <c r="K103" i="5"/>
  <c r="I103" i="5"/>
  <c r="H103" i="5"/>
  <c r="J103" i="5" s="1"/>
  <c r="G103" i="5"/>
  <c r="F103" i="5"/>
  <c r="E103" i="5"/>
  <c r="D103" i="5"/>
  <c r="V102" i="5"/>
  <c r="U102" i="5"/>
  <c r="S102" i="5"/>
  <c r="X102" i="5" s="1"/>
  <c r="R102" i="5"/>
  <c r="T102" i="5" s="1"/>
  <c r="Q102" i="5"/>
  <c r="P102" i="5"/>
  <c r="O102" i="5"/>
  <c r="N102" i="5"/>
  <c r="L102" i="5"/>
  <c r="K102" i="5"/>
  <c r="I102" i="5"/>
  <c r="H102" i="5"/>
  <c r="J102" i="5" s="1"/>
  <c r="G102" i="5"/>
  <c r="F102" i="5"/>
  <c r="E102" i="5"/>
  <c r="D102" i="5"/>
  <c r="V101" i="5"/>
  <c r="U101" i="5"/>
  <c r="S101" i="5"/>
  <c r="R101" i="5"/>
  <c r="T101" i="5" s="1"/>
  <c r="Q101" i="5"/>
  <c r="P101" i="5"/>
  <c r="O101" i="5"/>
  <c r="N101" i="5"/>
  <c r="L101" i="5"/>
  <c r="K101" i="5"/>
  <c r="I101" i="5"/>
  <c r="H101" i="5"/>
  <c r="G101" i="5"/>
  <c r="F101" i="5"/>
  <c r="E101" i="5"/>
  <c r="D101" i="5"/>
  <c r="V100" i="5"/>
  <c r="U100" i="5"/>
  <c r="S100" i="5"/>
  <c r="R100" i="5"/>
  <c r="T100" i="5" s="1"/>
  <c r="Q100" i="5"/>
  <c r="P100" i="5"/>
  <c r="O100" i="5"/>
  <c r="N100" i="5"/>
  <c r="L100" i="5"/>
  <c r="K100" i="5"/>
  <c r="I100" i="5"/>
  <c r="H100" i="5"/>
  <c r="J100" i="5" s="1"/>
  <c r="G100" i="5"/>
  <c r="F100" i="5"/>
  <c r="E100" i="5"/>
  <c r="D100" i="5"/>
  <c r="V99" i="5"/>
  <c r="U99" i="5"/>
  <c r="S99" i="5"/>
  <c r="R99" i="5"/>
  <c r="T99" i="5" s="1"/>
  <c r="Q99" i="5"/>
  <c r="P99" i="5"/>
  <c r="O99" i="5"/>
  <c r="N99" i="5"/>
  <c r="L99" i="5"/>
  <c r="K99" i="5"/>
  <c r="I99" i="5"/>
  <c r="H99" i="5"/>
  <c r="J99" i="5" s="1"/>
  <c r="G99" i="5"/>
  <c r="F99" i="5"/>
  <c r="E99" i="5"/>
  <c r="D99" i="5"/>
  <c r="V98" i="5"/>
  <c r="U98" i="5"/>
  <c r="S98" i="5"/>
  <c r="R98" i="5"/>
  <c r="Q98" i="5"/>
  <c r="P98" i="5"/>
  <c r="O98" i="5"/>
  <c r="N98" i="5"/>
  <c r="L98" i="5"/>
  <c r="K98" i="5"/>
  <c r="I98" i="5"/>
  <c r="H98" i="5"/>
  <c r="J98" i="5" s="1"/>
  <c r="G98" i="5"/>
  <c r="F98" i="5"/>
  <c r="E98" i="5"/>
  <c r="D98" i="5"/>
  <c r="V97" i="5"/>
  <c r="Z97" i="5" s="1"/>
  <c r="U97" i="5"/>
  <c r="Y97" i="5" s="1"/>
  <c r="S97" i="5"/>
  <c r="R97" i="5"/>
  <c r="Q97" i="5"/>
  <c r="P97" i="5"/>
  <c r="O97" i="5"/>
  <c r="N97" i="5"/>
  <c r="L97" i="5"/>
  <c r="K97" i="5"/>
  <c r="I97" i="5"/>
  <c r="H97" i="5"/>
  <c r="J97" i="5" s="1"/>
  <c r="G97" i="5"/>
  <c r="F97" i="5"/>
  <c r="E97" i="5"/>
  <c r="D97" i="5"/>
  <c r="V96" i="5"/>
  <c r="U96" i="5"/>
  <c r="S96" i="5"/>
  <c r="R96" i="5"/>
  <c r="Q96" i="5"/>
  <c r="P96" i="5"/>
  <c r="O96" i="5"/>
  <c r="N96" i="5"/>
  <c r="L96" i="5"/>
  <c r="K96" i="5"/>
  <c r="I96" i="5"/>
  <c r="X96" i="5" s="1"/>
  <c r="H96" i="5"/>
  <c r="J96" i="5" s="1"/>
  <c r="G96" i="5"/>
  <c r="F96" i="5"/>
  <c r="E96" i="5"/>
  <c r="D96" i="5"/>
  <c r="V95" i="5"/>
  <c r="U95" i="5"/>
  <c r="S95" i="5"/>
  <c r="R95" i="5"/>
  <c r="Q95" i="5"/>
  <c r="P95" i="5"/>
  <c r="O95" i="5"/>
  <c r="N95" i="5"/>
  <c r="L95" i="5"/>
  <c r="K95" i="5"/>
  <c r="I95" i="5"/>
  <c r="H95" i="5"/>
  <c r="J95" i="5" s="1"/>
  <c r="G95" i="5"/>
  <c r="F95" i="5"/>
  <c r="E95" i="5"/>
  <c r="D95" i="5"/>
  <c r="V94" i="5"/>
  <c r="U94" i="5"/>
  <c r="S94" i="5"/>
  <c r="R94" i="5"/>
  <c r="Q94" i="5"/>
  <c r="P94" i="5"/>
  <c r="O94" i="5"/>
  <c r="N94" i="5"/>
  <c r="L94" i="5"/>
  <c r="K94" i="5"/>
  <c r="I94" i="5"/>
  <c r="H94" i="5"/>
  <c r="J94" i="5" s="1"/>
  <c r="G94" i="5"/>
  <c r="F94" i="5"/>
  <c r="E94" i="5"/>
  <c r="D94" i="5"/>
  <c r="V93" i="5"/>
  <c r="U93" i="5"/>
  <c r="S93" i="5"/>
  <c r="R93" i="5"/>
  <c r="Q93" i="5"/>
  <c r="P93" i="5"/>
  <c r="O93" i="5"/>
  <c r="N93" i="5"/>
  <c r="L93" i="5"/>
  <c r="K93" i="5"/>
  <c r="I93" i="5"/>
  <c r="H93" i="5"/>
  <c r="J93" i="5" s="1"/>
  <c r="G93" i="5"/>
  <c r="F93" i="5"/>
  <c r="E93" i="5"/>
  <c r="D93" i="5"/>
  <c r="V92" i="5"/>
  <c r="U92" i="5"/>
  <c r="Y92" i="5" s="1"/>
  <c r="S92" i="5"/>
  <c r="R92" i="5"/>
  <c r="T92" i="5" s="1"/>
  <c r="Q92" i="5"/>
  <c r="P92" i="5"/>
  <c r="O92" i="5"/>
  <c r="N92" i="5"/>
  <c r="L92" i="5"/>
  <c r="K92" i="5"/>
  <c r="I92" i="5"/>
  <c r="H92" i="5"/>
  <c r="J92" i="5" s="1"/>
  <c r="G92" i="5"/>
  <c r="F92" i="5"/>
  <c r="E92" i="5"/>
  <c r="D92" i="5"/>
  <c r="V91" i="5"/>
  <c r="U91" i="5"/>
  <c r="S91" i="5"/>
  <c r="R91" i="5"/>
  <c r="T91" i="5" s="1"/>
  <c r="Q91" i="5"/>
  <c r="P91" i="5"/>
  <c r="O91" i="5"/>
  <c r="N91" i="5"/>
  <c r="L91" i="5"/>
  <c r="K91" i="5"/>
  <c r="I91" i="5"/>
  <c r="X91" i="5" s="1"/>
  <c r="H91" i="5"/>
  <c r="J91" i="5" s="1"/>
  <c r="G91" i="5"/>
  <c r="F91" i="5"/>
  <c r="E91" i="5"/>
  <c r="D91" i="5"/>
  <c r="V90" i="5"/>
  <c r="U90" i="5"/>
  <c r="S90" i="5"/>
  <c r="X90" i="5" s="1"/>
  <c r="R90" i="5"/>
  <c r="T90" i="5" s="1"/>
  <c r="Q90" i="5"/>
  <c r="P90" i="5"/>
  <c r="O90" i="5"/>
  <c r="N90" i="5"/>
  <c r="L90" i="5"/>
  <c r="K90" i="5"/>
  <c r="I90" i="5"/>
  <c r="H90" i="5"/>
  <c r="G90" i="5"/>
  <c r="F90" i="5"/>
  <c r="E90" i="5"/>
  <c r="D90" i="5"/>
  <c r="V89" i="5"/>
  <c r="U89" i="5"/>
  <c r="S89" i="5"/>
  <c r="X89" i="5" s="1"/>
  <c r="R89" i="5"/>
  <c r="T89" i="5" s="1"/>
  <c r="Q89" i="5"/>
  <c r="P89" i="5"/>
  <c r="O89" i="5"/>
  <c r="N89" i="5"/>
  <c r="L89" i="5"/>
  <c r="K89" i="5"/>
  <c r="I89" i="5"/>
  <c r="H89" i="5"/>
  <c r="J89" i="5" s="1"/>
  <c r="G89" i="5"/>
  <c r="F89" i="5"/>
  <c r="E89" i="5"/>
  <c r="D89" i="5"/>
  <c r="V88" i="5"/>
  <c r="Z88" i="5" s="1"/>
  <c r="U88" i="5"/>
  <c r="S88" i="5"/>
  <c r="R88" i="5"/>
  <c r="Q88" i="5"/>
  <c r="P88" i="5"/>
  <c r="O88" i="5"/>
  <c r="N88" i="5"/>
  <c r="L88" i="5"/>
  <c r="K88" i="5"/>
  <c r="I88" i="5"/>
  <c r="H88" i="5"/>
  <c r="J88" i="5" s="1"/>
  <c r="G88" i="5"/>
  <c r="F88" i="5"/>
  <c r="E88" i="5"/>
  <c r="D88" i="5"/>
  <c r="V87" i="5"/>
  <c r="U87" i="5"/>
  <c r="Y87" i="5" s="1"/>
  <c r="S87" i="5"/>
  <c r="X87" i="5" s="1"/>
  <c r="R87" i="5"/>
  <c r="W87" i="5" s="1"/>
  <c r="Q87" i="5"/>
  <c r="P87" i="5"/>
  <c r="O87" i="5"/>
  <c r="N87" i="5"/>
  <c r="L87" i="5"/>
  <c r="K87" i="5"/>
  <c r="I87" i="5"/>
  <c r="H87" i="5"/>
  <c r="J87" i="5" s="1"/>
  <c r="G87" i="5"/>
  <c r="F87" i="5"/>
  <c r="E87" i="5"/>
  <c r="D87" i="5"/>
  <c r="V86" i="5"/>
  <c r="U86" i="5"/>
  <c r="S86" i="5"/>
  <c r="R86" i="5"/>
  <c r="W86" i="5" s="1"/>
  <c r="Q86" i="5"/>
  <c r="P86" i="5"/>
  <c r="O86" i="5"/>
  <c r="N86" i="5"/>
  <c r="L86" i="5"/>
  <c r="K86" i="5"/>
  <c r="I86" i="5"/>
  <c r="H86" i="5"/>
  <c r="J86" i="5" s="1"/>
  <c r="G86" i="5"/>
  <c r="F86" i="5"/>
  <c r="E86" i="5"/>
  <c r="D86" i="5"/>
  <c r="V85" i="5"/>
  <c r="U85" i="5"/>
  <c r="S85" i="5"/>
  <c r="R85" i="5"/>
  <c r="Q85" i="5"/>
  <c r="P85" i="5"/>
  <c r="O85" i="5"/>
  <c r="N85" i="5"/>
  <c r="L85" i="5"/>
  <c r="K85" i="5"/>
  <c r="I85" i="5"/>
  <c r="H85" i="5"/>
  <c r="J85" i="5" s="1"/>
  <c r="G85" i="5"/>
  <c r="F85" i="5"/>
  <c r="E85" i="5"/>
  <c r="D85" i="5"/>
  <c r="V84" i="5"/>
  <c r="U84" i="5"/>
  <c r="S84" i="5"/>
  <c r="R84" i="5"/>
  <c r="T84" i="5" s="1"/>
  <c r="Q84" i="5"/>
  <c r="P84" i="5"/>
  <c r="O84" i="5"/>
  <c r="N84" i="5"/>
  <c r="L84" i="5"/>
  <c r="K84" i="5"/>
  <c r="I84" i="5"/>
  <c r="H84" i="5"/>
  <c r="J84" i="5" s="1"/>
  <c r="G84" i="5"/>
  <c r="F84" i="5"/>
  <c r="E84" i="5"/>
  <c r="D84" i="5"/>
  <c r="V83" i="5"/>
  <c r="Z83" i="5" s="1"/>
  <c r="U83" i="5"/>
  <c r="S83" i="5"/>
  <c r="R83" i="5"/>
  <c r="Q83" i="5"/>
  <c r="P83" i="5"/>
  <c r="O83" i="5"/>
  <c r="N83" i="5"/>
  <c r="L83" i="5"/>
  <c r="K83" i="5"/>
  <c r="I83" i="5"/>
  <c r="H83" i="5"/>
  <c r="J83" i="5" s="1"/>
  <c r="G83" i="5"/>
  <c r="F83" i="5"/>
  <c r="E83" i="5"/>
  <c r="D83" i="5"/>
  <c r="V82" i="5"/>
  <c r="U82" i="5"/>
  <c r="S82" i="5"/>
  <c r="X82" i="5" s="1"/>
  <c r="R82" i="5"/>
  <c r="W82" i="5" s="1"/>
  <c r="Q82" i="5"/>
  <c r="P82" i="5"/>
  <c r="O82" i="5"/>
  <c r="N82" i="5"/>
  <c r="L82" i="5"/>
  <c r="K82" i="5"/>
  <c r="I82" i="5"/>
  <c r="H82" i="5"/>
  <c r="J82" i="5" s="1"/>
  <c r="G82" i="5"/>
  <c r="F82" i="5"/>
  <c r="E82" i="5"/>
  <c r="D82" i="5"/>
  <c r="V81" i="5"/>
  <c r="U81" i="5"/>
  <c r="Y81" i="5" s="1"/>
  <c r="S81" i="5"/>
  <c r="X81" i="5" s="1"/>
  <c r="R81" i="5"/>
  <c r="T81" i="5" s="1"/>
  <c r="Q81" i="5"/>
  <c r="P81" i="5"/>
  <c r="O81" i="5"/>
  <c r="N81" i="5"/>
  <c r="L81" i="5"/>
  <c r="K81" i="5"/>
  <c r="I81" i="5"/>
  <c r="H81" i="5"/>
  <c r="J81" i="5" s="1"/>
  <c r="G81" i="5"/>
  <c r="F81" i="5"/>
  <c r="E81" i="5"/>
  <c r="D81" i="5"/>
  <c r="V80" i="5"/>
  <c r="U80" i="5"/>
  <c r="S80" i="5"/>
  <c r="R80" i="5"/>
  <c r="T80" i="5" s="1"/>
  <c r="Q80" i="5"/>
  <c r="P80" i="5"/>
  <c r="O80" i="5"/>
  <c r="N80" i="5"/>
  <c r="L80" i="5"/>
  <c r="K80" i="5"/>
  <c r="I80" i="5"/>
  <c r="H80" i="5"/>
  <c r="J80" i="5" s="1"/>
  <c r="G80" i="5"/>
  <c r="F80" i="5"/>
  <c r="E80" i="5"/>
  <c r="D80" i="5"/>
  <c r="V79" i="5"/>
  <c r="U79" i="5"/>
  <c r="S79" i="5"/>
  <c r="R79" i="5"/>
  <c r="T79" i="5" s="1"/>
  <c r="Q79" i="5"/>
  <c r="P79" i="5"/>
  <c r="O79" i="5"/>
  <c r="N79" i="5"/>
  <c r="L79" i="5"/>
  <c r="K79" i="5"/>
  <c r="I79" i="5"/>
  <c r="H79" i="5"/>
  <c r="W79" i="5" s="1"/>
  <c r="G79" i="5"/>
  <c r="F79" i="5"/>
  <c r="E79" i="5"/>
  <c r="D79" i="5"/>
  <c r="V78" i="5"/>
  <c r="U78" i="5"/>
  <c r="S78" i="5"/>
  <c r="R78" i="5"/>
  <c r="Q78" i="5"/>
  <c r="P78" i="5"/>
  <c r="O78" i="5"/>
  <c r="N78" i="5"/>
  <c r="L78" i="5"/>
  <c r="K78" i="5"/>
  <c r="I78" i="5"/>
  <c r="H78" i="5"/>
  <c r="J78" i="5" s="1"/>
  <c r="G78" i="5"/>
  <c r="F78" i="5"/>
  <c r="E78" i="5"/>
  <c r="D78" i="5"/>
  <c r="V77" i="5"/>
  <c r="U77" i="5"/>
  <c r="S77" i="5"/>
  <c r="R77" i="5"/>
  <c r="Q77" i="5"/>
  <c r="P77" i="5"/>
  <c r="O77" i="5"/>
  <c r="N77" i="5"/>
  <c r="L77" i="5"/>
  <c r="K77" i="5"/>
  <c r="I77" i="5"/>
  <c r="H77" i="5"/>
  <c r="J77" i="5" s="1"/>
  <c r="G77" i="5"/>
  <c r="F77" i="5"/>
  <c r="E77" i="5"/>
  <c r="D77" i="5"/>
  <c r="V76" i="5"/>
  <c r="U76" i="5"/>
  <c r="S76" i="5"/>
  <c r="R76" i="5"/>
  <c r="Q76" i="5"/>
  <c r="P76" i="5"/>
  <c r="O76" i="5"/>
  <c r="N76" i="5"/>
  <c r="L76" i="5"/>
  <c r="K76" i="5"/>
  <c r="I76" i="5"/>
  <c r="H76" i="5"/>
  <c r="J76" i="5" s="1"/>
  <c r="G76" i="5"/>
  <c r="F76" i="5"/>
  <c r="E76" i="5"/>
  <c r="D76" i="5"/>
  <c r="V75" i="5"/>
  <c r="U75" i="5"/>
  <c r="S75" i="5"/>
  <c r="R75" i="5"/>
  <c r="T75" i="5" s="1"/>
  <c r="Q75" i="5"/>
  <c r="P75" i="5"/>
  <c r="O75" i="5"/>
  <c r="N75" i="5"/>
  <c r="L75" i="5"/>
  <c r="K75" i="5"/>
  <c r="I75" i="5"/>
  <c r="H75" i="5"/>
  <c r="J75" i="5" s="1"/>
  <c r="G75" i="5"/>
  <c r="F75" i="5"/>
  <c r="E75" i="5"/>
  <c r="D75" i="5"/>
  <c r="V74" i="5"/>
  <c r="U74" i="5"/>
  <c r="S74" i="5"/>
  <c r="R74" i="5"/>
  <c r="T74" i="5" s="1"/>
  <c r="Q74" i="5"/>
  <c r="P74" i="5"/>
  <c r="O74" i="5"/>
  <c r="N74" i="5"/>
  <c r="L74" i="5"/>
  <c r="K74" i="5"/>
  <c r="I74" i="5"/>
  <c r="H74" i="5"/>
  <c r="J74" i="5" s="1"/>
  <c r="G74" i="5"/>
  <c r="F74" i="5"/>
  <c r="E74" i="5"/>
  <c r="D74" i="5"/>
  <c r="V73" i="5"/>
  <c r="U73" i="5"/>
  <c r="S73" i="5"/>
  <c r="R73" i="5"/>
  <c r="Q73" i="5"/>
  <c r="P73" i="5"/>
  <c r="O73" i="5"/>
  <c r="N73" i="5"/>
  <c r="L73" i="5"/>
  <c r="K73" i="5"/>
  <c r="I73" i="5"/>
  <c r="H73" i="5"/>
  <c r="J73" i="5" s="1"/>
  <c r="G73" i="5"/>
  <c r="F73" i="5"/>
  <c r="E73" i="5"/>
  <c r="D73" i="5"/>
  <c r="V72" i="5"/>
  <c r="Z72" i="5" s="1"/>
  <c r="U72" i="5"/>
  <c r="Y72" i="5" s="1"/>
  <c r="S72" i="5"/>
  <c r="X72" i="5" s="1"/>
  <c r="R72" i="5"/>
  <c r="T72" i="5" s="1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V71" i="5"/>
  <c r="U71" i="5"/>
  <c r="S71" i="5"/>
  <c r="R71" i="5"/>
  <c r="Q71" i="5"/>
  <c r="P71" i="5"/>
  <c r="O71" i="5"/>
  <c r="N71" i="5"/>
  <c r="L71" i="5"/>
  <c r="K71" i="5"/>
  <c r="I71" i="5"/>
  <c r="H71" i="5"/>
  <c r="J71" i="5" s="1"/>
  <c r="G71" i="5"/>
  <c r="F71" i="5"/>
  <c r="E71" i="5"/>
  <c r="D71" i="5"/>
  <c r="V70" i="5"/>
  <c r="U70" i="5"/>
  <c r="S70" i="5"/>
  <c r="R70" i="5"/>
  <c r="Q70" i="5"/>
  <c r="P70" i="5"/>
  <c r="O70" i="5"/>
  <c r="N70" i="5"/>
  <c r="L70" i="5"/>
  <c r="K70" i="5"/>
  <c r="I70" i="5"/>
  <c r="H70" i="5"/>
  <c r="J70" i="5" s="1"/>
  <c r="G70" i="5"/>
  <c r="F70" i="5"/>
  <c r="E70" i="5"/>
  <c r="D70" i="5"/>
  <c r="V69" i="5"/>
  <c r="U69" i="5"/>
  <c r="S69" i="5"/>
  <c r="R69" i="5"/>
  <c r="T69" i="5" s="1"/>
  <c r="Q69" i="5"/>
  <c r="P69" i="5"/>
  <c r="O69" i="5"/>
  <c r="N69" i="5"/>
  <c r="L69" i="5"/>
  <c r="K69" i="5"/>
  <c r="Y69" i="5" s="1"/>
  <c r="I69" i="5"/>
  <c r="H69" i="5"/>
  <c r="J69" i="5" s="1"/>
  <c r="G69" i="5"/>
  <c r="F69" i="5"/>
  <c r="E69" i="5"/>
  <c r="D69" i="5"/>
  <c r="V68" i="5"/>
  <c r="Z68" i="5" s="1"/>
  <c r="U68" i="5"/>
  <c r="S68" i="5"/>
  <c r="R68" i="5"/>
  <c r="T68" i="5" s="1"/>
  <c r="Q68" i="5"/>
  <c r="P68" i="5"/>
  <c r="O68" i="5"/>
  <c r="N68" i="5"/>
  <c r="L68" i="5"/>
  <c r="K68" i="5"/>
  <c r="I68" i="5"/>
  <c r="H68" i="5"/>
  <c r="J68" i="5" s="1"/>
  <c r="G68" i="5"/>
  <c r="F68" i="5"/>
  <c r="E68" i="5"/>
  <c r="D68" i="5"/>
  <c r="V67" i="5"/>
  <c r="Z67" i="5" s="1"/>
  <c r="U67" i="5"/>
  <c r="S67" i="5"/>
  <c r="X67" i="5" s="1"/>
  <c r="R67" i="5"/>
  <c r="T67" i="5" s="1"/>
  <c r="Q67" i="5"/>
  <c r="P67" i="5"/>
  <c r="O67" i="5"/>
  <c r="N67" i="5"/>
  <c r="L67" i="5"/>
  <c r="K67" i="5"/>
  <c r="I67" i="5"/>
  <c r="H67" i="5"/>
  <c r="J67" i="5" s="1"/>
  <c r="G67" i="5"/>
  <c r="F67" i="5"/>
  <c r="E67" i="5"/>
  <c r="D67" i="5"/>
  <c r="V66" i="5"/>
  <c r="Z66" i="5" s="1"/>
  <c r="U66" i="5"/>
  <c r="Y66" i="5" s="1"/>
  <c r="S66" i="5"/>
  <c r="X66" i="5" s="1"/>
  <c r="R66" i="5"/>
  <c r="T66" i="5" s="1"/>
  <c r="Q66" i="5"/>
  <c r="P66" i="5"/>
  <c r="O66" i="5"/>
  <c r="N66" i="5"/>
  <c r="L66" i="5"/>
  <c r="K66" i="5"/>
  <c r="I66" i="5"/>
  <c r="H66" i="5"/>
  <c r="J66" i="5" s="1"/>
  <c r="G66" i="5"/>
  <c r="F66" i="5"/>
  <c r="E66" i="5"/>
  <c r="D66" i="5"/>
  <c r="C66" i="5"/>
  <c r="V65" i="5"/>
  <c r="U65" i="5"/>
  <c r="S65" i="5"/>
  <c r="R65" i="5"/>
  <c r="Q65" i="5"/>
  <c r="P65" i="5"/>
  <c r="O65" i="5"/>
  <c r="N65" i="5"/>
  <c r="L65" i="5"/>
  <c r="K65" i="5"/>
  <c r="I65" i="5"/>
  <c r="H65" i="5"/>
  <c r="J65" i="5" s="1"/>
  <c r="G65" i="5"/>
  <c r="F65" i="5"/>
  <c r="E65" i="5"/>
  <c r="D65" i="5"/>
  <c r="C65" i="5"/>
  <c r="V64" i="5"/>
  <c r="U64" i="5"/>
  <c r="S64" i="5"/>
  <c r="R64" i="5"/>
  <c r="Q64" i="5"/>
  <c r="P64" i="5"/>
  <c r="O64" i="5"/>
  <c r="N64" i="5"/>
  <c r="L64" i="5"/>
  <c r="K64" i="5"/>
  <c r="I64" i="5"/>
  <c r="H64" i="5"/>
  <c r="J64" i="5" s="1"/>
  <c r="G64" i="5"/>
  <c r="F64" i="5"/>
  <c r="E64" i="5"/>
  <c r="D64" i="5"/>
  <c r="C64" i="5"/>
  <c r="V63" i="5"/>
  <c r="U63" i="5"/>
  <c r="S63" i="5"/>
  <c r="R63" i="5"/>
  <c r="T63" i="5" s="1"/>
  <c r="Q63" i="5"/>
  <c r="P63" i="5"/>
  <c r="O63" i="5"/>
  <c r="N63" i="5"/>
  <c r="L63" i="5"/>
  <c r="K63" i="5"/>
  <c r="I63" i="5"/>
  <c r="H63" i="5"/>
  <c r="G63" i="5"/>
  <c r="F63" i="5"/>
  <c r="E63" i="5"/>
  <c r="D63" i="5"/>
  <c r="C63" i="5"/>
  <c r="V62" i="5"/>
  <c r="U62" i="5"/>
  <c r="S62" i="5"/>
  <c r="R62" i="5"/>
  <c r="T62" i="5" s="1"/>
  <c r="Q62" i="5"/>
  <c r="P62" i="5"/>
  <c r="O62" i="5"/>
  <c r="N62" i="5"/>
  <c r="L62" i="5"/>
  <c r="K62" i="5"/>
  <c r="I62" i="5"/>
  <c r="H62" i="5"/>
  <c r="J62" i="5" s="1"/>
  <c r="G62" i="5"/>
  <c r="F62" i="5"/>
  <c r="E62" i="5"/>
  <c r="D62" i="5"/>
  <c r="V61" i="5"/>
  <c r="U61" i="5"/>
  <c r="Y61" i="5" s="1"/>
  <c r="S61" i="5"/>
  <c r="X61" i="5" s="1"/>
  <c r="R61" i="5"/>
  <c r="Q61" i="5"/>
  <c r="P61" i="5"/>
  <c r="O61" i="5"/>
  <c r="N61" i="5"/>
  <c r="L61" i="5"/>
  <c r="K61" i="5"/>
  <c r="I61" i="5"/>
  <c r="H61" i="5"/>
  <c r="J61" i="5" s="1"/>
  <c r="G61" i="5"/>
  <c r="F61" i="5"/>
  <c r="E61" i="5"/>
  <c r="D61" i="5"/>
  <c r="V60" i="5"/>
  <c r="U60" i="5"/>
  <c r="S60" i="5"/>
  <c r="R60" i="5"/>
  <c r="Q60" i="5"/>
  <c r="P60" i="5"/>
  <c r="O60" i="5"/>
  <c r="N60" i="5"/>
  <c r="L60" i="5"/>
  <c r="K60" i="5"/>
  <c r="I60" i="5"/>
  <c r="H60" i="5"/>
  <c r="J60" i="5" s="1"/>
  <c r="G60" i="5"/>
  <c r="F60" i="5"/>
  <c r="E60" i="5"/>
  <c r="D60" i="5"/>
  <c r="V59" i="5"/>
  <c r="U59" i="5"/>
  <c r="S59" i="5"/>
  <c r="R59" i="5"/>
  <c r="T59" i="5" s="1"/>
  <c r="Q59" i="5"/>
  <c r="P59" i="5"/>
  <c r="O59" i="5"/>
  <c r="N59" i="5"/>
  <c r="L59" i="5"/>
  <c r="K59" i="5"/>
  <c r="I59" i="5"/>
  <c r="H59" i="5"/>
  <c r="J59" i="5" s="1"/>
  <c r="G59" i="5"/>
  <c r="F59" i="5"/>
  <c r="E59" i="5"/>
  <c r="D59" i="5"/>
  <c r="V58" i="5"/>
  <c r="U58" i="5"/>
  <c r="S58" i="5"/>
  <c r="R58" i="5"/>
  <c r="Q58" i="5"/>
  <c r="P58" i="5"/>
  <c r="O58" i="5"/>
  <c r="N58" i="5"/>
  <c r="L58" i="5"/>
  <c r="K58" i="5"/>
  <c r="I58" i="5"/>
  <c r="H58" i="5"/>
  <c r="J58" i="5" s="1"/>
  <c r="G58" i="5"/>
  <c r="F58" i="5"/>
  <c r="E58" i="5"/>
  <c r="D58" i="5"/>
  <c r="V57" i="5"/>
  <c r="U57" i="5"/>
  <c r="S57" i="5"/>
  <c r="R57" i="5"/>
  <c r="T57" i="5" s="1"/>
  <c r="Q57" i="5"/>
  <c r="P57" i="5"/>
  <c r="O57" i="5"/>
  <c r="N57" i="5"/>
  <c r="L57" i="5"/>
  <c r="K57" i="5"/>
  <c r="Y57" i="5" s="1"/>
  <c r="I57" i="5"/>
  <c r="H57" i="5"/>
  <c r="J57" i="5" s="1"/>
  <c r="G57" i="5"/>
  <c r="F57" i="5"/>
  <c r="E57" i="5"/>
  <c r="D57" i="5"/>
  <c r="V56" i="5"/>
  <c r="Z56" i="5" s="1"/>
  <c r="U56" i="5"/>
  <c r="S56" i="5"/>
  <c r="R56" i="5"/>
  <c r="T56" i="5" s="1"/>
  <c r="Q56" i="5"/>
  <c r="P56" i="5"/>
  <c r="O56" i="5"/>
  <c r="N56" i="5"/>
  <c r="L56" i="5"/>
  <c r="K56" i="5"/>
  <c r="I56" i="5"/>
  <c r="H56" i="5"/>
  <c r="W56" i="5" s="1"/>
  <c r="G56" i="5"/>
  <c r="F56" i="5"/>
  <c r="E56" i="5"/>
  <c r="D56" i="5"/>
  <c r="V55" i="5"/>
  <c r="U55" i="5"/>
  <c r="S55" i="5"/>
  <c r="R55" i="5"/>
  <c r="T55" i="5" s="1"/>
  <c r="Q55" i="5"/>
  <c r="P55" i="5"/>
  <c r="O55" i="5"/>
  <c r="N55" i="5"/>
  <c r="L55" i="5"/>
  <c r="K55" i="5"/>
  <c r="I55" i="5"/>
  <c r="H55" i="5"/>
  <c r="G55" i="5"/>
  <c r="F55" i="5"/>
  <c r="E55" i="5"/>
  <c r="D55" i="5"/>
  <c r="V54" i="5"/>
  <c r="U54" i="5"/>
  <c r="S54" i="5"/>
  <c r="R54" i="5"/>
  <c r="Q54" i="5"/>
  <c r="P54" i="5"/>
  <c r="O54" i="5"/>
  <c r="N54" i="5"/>
  <c r="L54" i="5"/>
  <c r="K54" i="5"/>
  <c r="I54" i="5"/>
  <c r="H54" i="5"/>
  <c r="J54" i="5" s="1"/>
  <c r="G54" i="5"/>
  <c r="F54" i="5"/>
  <c r="E54" i="5"/>
  <c r="D54" i="5"/>
  <c r="V53" i="5"/>
  <c r="U53" i="5"/>
  <c r="S53" i="5"/>
  <c r="R53" i="5"/>
  <c r="T53" i="5" s="1"/>
  <c r="Q53" i="5"/>
  <c r="P53" i="5"/>
  <c r="O53" i="5"/>
  <c r="N53" i="5"/>
  <c r="L53" i="5"/>
  <c r="K53" i="5"/>
  <c r="I53" i="5"/>
  <c r="H53" i="5"/>
  <c r="J53" i="5" s="1"/>
  <c r="G53" i="5"/>
  <c r="F53" i="5"/>
  <c r="E53" i="5"/>
  <c r="D53" i="5"/>
  <c r="V52" i="5"/>
  <c r="U52" i="5"/>
  <c r="S52" i="5"/>
  <c r="R52" i="5"/>
  <c r="T52" i="5" s="1"/>
  <c r="Q52" i="5"/>
  <c r="P52" i="5"/>
  <c r="O52" i="5"/>
  <c r="N52" i="5"/>
  <c r="L52" i="5"/>
  <c r="K52" i="5"/>
  <c r="I52" i="5"/>
  <c r="H52" i="5"/>
  <c r="J52" i="5" s="1"/>
  <c r="G52" i="5"/>
  <c r="F52" i="5"/>
  <c r="E52" i="5"/>
  <c r="D52" i="5"/>
  <c r="V51" i="5"/>
  <c r="U51" i="5"/>
  <c r="S51" i="5"/>
  <c r="R51" i="5"/>
  <c r="T51" i="5" s="1"/>
  <c r="Q51" i="5"/>
  <c r="P51" i="5"/>
  <c r="O51" i="5"/>
  <c r="N51" i="5"/>
  <c r="L51" i="5"/>
  <c r="K51" i="5"/>
  <c r="I51" i="5"/>
  <c r="H51" i="5"/>
  <c r="J51" i="5" s="1"/>
  <c r="G51" i="5"/>
  <c r="F51" i="5"/>
  <c r="E51" i="5"/>
  <c r="D51" i="5"/>
  <c r="V50" i="5"/>
  <c r="U50" i="5"/>
  <c r="S50" i="5"/>
  <c r="X50" i="5" s="1"/>
  <c r="R50" i="5"/>
  <c r="T50" i="5" s="1"/>
  <c r="Q50" i="5"/>
  <c r="P50" i="5"/>
  <c r="O50" i="5"/>
  <c r="N50" i="5"/>
  <c r="L50" i="5"/>
  <c r="K50" i="5"/>
  <c r="I50" i="5"/>
  <c r="H50" i="5"/>
  <c r="J50" i="5" s="1"/>
  <c r="G50" i="5"/>
  <c r="F50" i="5"/>
  <c r="E50" i="5"/>
  <c r="D50" i="5"/>
  <c r="V49" i="5"/>
  <c r="U49" i="5"/>
  <c r="S49" i="5"/>
  <c r="R49" i="5"/>
  <c r="Q49" i="5"/>
  <c r="P49" i="5"/>
  <c r="O49" i="5"/>
  <c r="N49" i="5"/>
  <c r="L49" i="5"/>
  <c r="K49" i="5"/>
  <c r="I49" i="5"/>
  <c r="H49" i="5"/>
  <c r="J49" i="5" s="1"/>
  <c r="G49" i="5"/>
  <c r="F49" i="5"/>
  <c r="E49" i="5"/>
  <c r="D49" i="5"/>
  <c r="V48" i="5"/>
  <c r="U48" i="5"/>
  <c r="S48" i="5"/>
  <c r="R48" i="5"/>
  <c r="T48" i="5" s="1"/>
  <c r="Q48" i="5"/>
  <c r="P48" i="5"/>
  <c r="O48" i="5"/>
  <c r="N48" i="5"/>
  <c r="L48" i="5"/>
  <c r="K48" i="5"/>
  <c r="I48" i="5"/>
  <c r="H48" i="5"/>
  <c r="J48" i="5" s="1"/>
  <c r="G48" i="5"/>
  <c r="F48" i="5"/>
  <c r="E48" i="5"/>
  <c r="D48" i="5"/>
  <c r="V47" i="5"/>
  <c r="U47" i="5"/>
  <c r="S47" i="5"/>
  <c r="R47" i="5"/>
  <c r="Q47" i="5"/>
  <c r="P47" i="5"/>
  <c r="O47" i="5"/>
  <c r="N47" i="5"/>
  <c r="L47" i="5"/>
  <c r="K47" i="5"/>
  <c r="I47" i="5"/>
  <c r="H47" i="5"/>
  <c r="J47" i="5" s="1"/>
  <c r="G47" i="5"/>
  <c r="F47" i="5"/>
  <c r="E47" i="5"/>
  <c r="D47" i="5"/>
  <c r="V46" i="5"/>
  <c r="U46" i="5"/>
  <c r="S46" i="5"/>
  <c r="R46" i="5"/>
  <c r="T46" i="5" s="1"/>
  <c r="Q46" i="5"/>
  <c r="P46" i="5"/>
  <c r="O46" i="5"/>
  <c r="N46" i="5"/>
  <c r="L46" i="5"/>
  <c r="K46" i="5"/>
  <c r="I46" i="5"/>
  <c r="H46" i="5"/>
  <c r="J46" i="5" s="1"/>
  <c r="G46" i="5"/>
  <c r="F46" i="5"/>
  <c r="E46" i="5"/>
  <c r="D46" i="5"/>
  <c r="V45" i="5"/>
  <c r="U45" i="5"/>
  <c r="S45" i="5"/>
  <c r="R45" i="5"/>
  <c r="T45" i="5" s="1"/>
  <c r="Q45" i="5"/>
  <c r="P45" i="5"/>
  <c r="O45" i="5"/>
  <c r="N45" i="5"/>
  <c r="L45" i="5"/>
  <c r="K45" i="5"/>
  <c r="I45" i="5"/>
  <c r="H45" i="5"/>
  <c r="G45" i="5"/>
  <c r="F45" i="5"/>
  <c r="E45" i="5"/>
  <c r="D45" i="5"/>
  <c r="V44" i="5"/>
  <c r="U44" i="5"/>
  <c r="S44" i="5"/>
  <c r="R44" i="5"/>
  <c r="Q44" i="5"/>
  <c r="P44" i="5"/>
  <c r="O44" i="5"/>
  <c r="N44" i="5"/>
  <c r="L44" i="5"/>
  <c r="K44" i="5"/>
  <c r="Y44" i="5" s="1"/>
  <c r="I44" i="5"/>
  <c r="H44" i="5"/>
  <c r="J44" i="5" s="1"/>
  <c r="G44" i="5"/>
  <c r="F44" i="5"/>
  <c r="E44" i="5"/>
  <c r="D44" i="5"/>
  <c r="V43" i="5"/>
  <c r="U43" i="5"/>
  <c r="S43" i="5"/>
  <c r="R43" i="5"/>
  <c r="T43" i="5" s="1"/>
  <c r="Q43" i="5"/>
  <c r="P43" i="5"/>
  <c r="O43" i="5"/>
  <c r="N43" i="5"/>
  <c r="L43" i="5"/>
  <c r="K43" i="5"/>
  <c r="I43" i="5"/>
  <c r="H43" i="5"/>
  <c r="J43" i="5" s="1"/>
  <c r="G43" i="5"/>
  <c r="F43" i="5"/>
  <c r="E43" i="5"/>
  <c r="D43" i="5"/>
  <c r="V42" i="5"/>
  <c r="U42" i="5"/>
  <c r="S42" i="5"/>
  <c r="R42" i="5"/>
  <c r="T42" i="5" s="1"/>
  <c r="Q42" i="5"/>
  <c r="P42" i="5"/>
  <c r="O42" i="5"/>
  <c r="N42" i="5"/>
  <c r="L42" i="5"/>
  <c r="K42" i="5"/>
  <c r="I42" i="5"/>
  <c r="H42" i="5"/>
  <c r="J42" i="5" s="1"/>
  <c r="G42" i="5"/>
  <c r="F42" i="5"/>
  <c r="E42" i="5"/>
  <c r="D42" i="5"/>
  <c r="V41" i="5"/>
  <c r="Z41" i="5" s="1"/>
  <c r="U41" i="5"/>
  <c r="Y41" i="5" s="1"/>
  <c r="S41" i="5"/>
  <c r="R41" i="5"/>
  <c r="Q41" i="5"/>
  <c r="P41" i="5"/>
  <c r="O41" i="5"/>
  <c r="N41" i="5"/>
  <c r="L41" i="5"/>
  <c r="K41" i="5"/>
  <c r="I41" i="5"/>
  <c r="H41" i="5"/>
  <c r="J41" i="5" s="1"/>
  <c r="G41" i="5"/>
  <c r="F41" i="5"/>
  <c r="E41" i="5"/>
  <c r="D41" i="5"/>
  <c r="V40" i="5"/>
  <c r="Z40" i="5" s="1"/>
  <c r="U40" i="5"/>
  <c r="Y40" i="5" s="1"/>
  <c r="S40" i="5"/>
  <c r="X40" i="5" s="1"/>
  <c r="R40" i="5"/>
  <c r="W40" i="5" s="1"/>
  <c r="Q40" i="5"/>
  <c r="P40" i="5"/>
  <c r="O40" i="5"/>
  <c r="N40" i="5"/>
  <c r="L40" i="5"/>
  <c r="K40" i="5"/>
  <c r="I40" i="5"/>
  <c r="H40" i="5"/>
  <c r="J40" i="5" s="1"/>
  <c r="G40" i="5"/>
  <c r="F40" i="5"/>
  <c r="E40" i="5"/>
  <c r="D40" i="5"/>
  <c r="V39" i="5"/>
  <c r="U39" i="5"/>
  <c r="S39" i="5"/>
  <c r="R39" i="5"/>
  <c r="Q39" i="5"/>
  <c r="P39" i="5"/>
  <c r="O39" i="5"/>
  <c r="N39" i="5"/>
  <c r="L39" i="5"/>
  <c r="Z39" i="5" s="1"/>
  <c r="K39" i="5"/>
  <c r="Y39" i="5" s="1"/>
  <c r="I39" i="5"/>
  <c r="H39" i="5"/>
  <c r="J39" i="5" s="1"/>
  <c r="G39" i="5"/>
  <c r="F39" i="5"/>
  <c r="E39" i="5"/>
  <c r="D39" i="5"/>
  <c r="V38" i="5"/>
  <c r="U38" i="5"/>
  <c r="S38" i="5"/>
  <c r="R38" i="5"/>
  <c r="Q38" i="5"/>
  <c r="P38" i="5"/>
  <c r="O38" i="5"/>
  <c r="N38" i="5"/>
  <c r="L38" i="5"/>
  <c r="K38" i="5"/>
  <c r="I38" i="5"/>
  <c r="H38" i="5"/>
  <c r="J38" i="5" s="1"/>
  <c r="G38" i="5"/>
  <c r="F38" i="5"/>
  <c r="E38" i="5"/>
  <c r="D38" i="5"/>
  <c r="V37" i="5"/>
  <c r="U37" i="5"/>
  <c r="S37" i="5"/>
  <c r="R37" i="5"/>
  <c r="Q37" i="5"/>
  <c r="P37" i="5"/>
  <c r="O37" i="5"/>
  <c r="N37" i="5"/>
  <c r="L37" i="5"/>
  <c r="K37" i="5"/>
  <c r="I37" i="5"/>
  <c r="H37" i="5"/>
  <c r="J37" i="5" s="1"/>
  <c r="G37" i="5"/>
  <c r="F37" i="5"/>
  <c r="E37" i="5"/>
  <c r="D37" i="5"/>
  <c r="V36" i="5"/>
  <c r="U36" i="5"/>
  <c r="S36" i="5"/>
  <c r="R36" i="5"/>
  <c r="W36" i="5" s="1"/>
  <c r="Q36" i="5"/>
  <c r="P36" i="5"/>
  <c r="O36" i="5"/>
  <c r="N36" i="5"/>
  <c r="L36" i="5"/>
  <c r="K36" i="5"/>
  <c r="I36" i="5"/>
  <c r="H36" i="5"/>
  <c r="J36" i="5" s="1"/>
  <c r="G36" i="5"/>
  <c r="F36" i="5"/>
  <c r="E36" i="5"/>
  <c r="D36" i="5"/>
  <c r="V35" i="5"/>
  <c r="U35" i="5"/>
  <c r="Y35" i="5" s="1"/>
  <c r="S35" i="5"/>
  <c r="X35" i="5" s="1"/>
  <c r="R35" i="5"/>
  <c r="T35" i="5" s="1"/>
  <c r="Q35" i="5"/>
  <c r="P35" i="5"/>
  <c r="O35" i="5"/>
  <c r="N35" i="5"/>
  <c r="L35" i="5"/>
  <c r="K35" i="5"/>
  <c r="I35" i="5"/>
  <c r="H35" i="5"/>
  <c r="J35" i="5" s="1"/>
  <c r="G35" i="5"/>
  <c r="F35" i="5"/>
  <c r="E35" i="5"/>
  <c r="D35" i="5"/>
  <c r="V34" i="5"/>
  <c r="U34" i="5"/>
  <c r="S34" i="5"/>
  <c r="R34" i="5"/>
  <c r="T34" i="5" s="1"/>
  <c r="Q34" i="5"/>
  <c r="P34" i="5"/>
  <c r="O34" i="5"/>
  <c r="N34" i="5"/>
  <c r="L34" i="5"/>
  <c r="K34" i="5"/>
  <c r="I34" i="5"/>
  <c r="H34" i="5"/>
  <c r="G34" i="5"/>
  <c r="F34" i="5"/>
  <c r="E34" i="5"/>
  <c r="D34" i="5"/>
  <c r="V33" i="5"/>
  <c r="U33" i="5"/>
  <c r="S33" i="5"/>
  <c r="R33" i="5"/>
  <c r="T33" i="5" s="1"/>
  <c r="Q33" i="5"/>
  <c r="P33" i="5"/>
  <c r="O33" i="5"/>
  <c r="N33" i="5"/>
  <c r="L33" i="5"/>
  <c r="K33" i="5"/>
  <c r="Y33" i="5" s="1"/>
  <c r="I33" i="5"/>
  <c r="H33" i="5"/>
  <c r="J33" i="5" s="1"/>
  <c r="G33" i="5"/>
  <c r="F33" i="5"/>
  <c r="E33" i="5"/>
  <c r="D33" i="5"/>
  <c r="V32" i="5"/>
  <c r="U32" i="5"/>
  <c r="S32" i="5"/>
  <c r="R32" i="5"/>
  <c r="Q32" i="5"/>
  <c r="P32" i="5"/>
  <c r="O32" i="5"/>
  <c r="N32" i="5"/>
  <c r="L32" i="5"/>
  <c r="K32" i="5"/>
  <c r="I32" i="5"/>
  <c r="H32" i="5"/>
  <c r="J32" i="5" s="1"/>
  <c r="G32" i="5"/>
  <c r="F32" i="5"/>
  <c r="E32" i="5"/>
  <c r="D32" i="5"/>
  <c r="V31" i="5"/>
  <c r="Z31" i="5" s="1"/>
  <c r="U31" i="5"/>
  <c r="Y31" i="5" s="1"/>
  <c r="S31" i="5"/>
  <c r="R31" i="5"/>
  <c r="Q31" i="5"/>
  <c r="P31" i="5"/>
  <c r="O31" i="5"/>
  <c r="N31" i="5"/>
  <c r="L31" i="5"/>
  <c r="K31" i="5"/>
  <c r="I31" i="5"/>
  <c r="H31" i="5"/>
  <c r="J31" i="5" s="1"/>
  <c r="G31" i="5"/>
  <c r="F31" i="5"/>
  <c r="E31" i="5"/>
  <c r="D31" i="5"/>
  <c r="V30" i="5"/>
  <c r="Z30" i="5" s="1"/>
  <c r="U30" i="5"/>
  <c r="S30" i="5"/>
  <c r="R30" i="5"/>
  <c r="Q30" i="5"/>
  <c r="P30" i="5"/>
  <c r="O30" i="5"/>
  <c r="N30" i="5"/>
  <c r="L30" i="5"/>
  <c r="K30" i="5"/>
  <c r="I30" i="5"/>
  <c r="H30" i="5"/>
  <c r="J30" i="5" s="1"/>
  <c r="G30" i="5"/>
  <c r="F30" i="5"/>
  <c r="E30" i="5"/>
  <c r="D30" i="5"/>
  <c r="V29" i="5"/>
  <c r="U29" i="5"/>
  <c r="S29" i="5"/>
  <c r="R29" i="5"/>
  <c r="T29" i="5" s="1"/>
  <c r="Q29" i="5"/>
  <c r="P29" i="5"/>
  <c r="O29" i="5"/>
  <c r="N29" i="5"/>
  <c r="L29" i="5"/>
  <c r="K29" i="5"/>
  <c r="I29" i="5"/>
  <c r="H29" i="5"/>
  <c r="J29" i="5" s="1"/>
  <c r="G29" i="5"/>
  <c r="F29" i="5"/>
  <c r="E29" i="5"/>
  <c r="D29" i="5"/>
  <c r="V28" i="5"/>
  <c r="U28" i="5"/>
  <c r="S28" i="5"/>
  <c r="R28" i="5"/>
  <c r="Q28" i="5"/>
  <c r="P28" i="5"/>
  <c r="O28" i="5"/>
  <c r="N28" i="5"/>
  <c r="L28" i="5"/>
  <c r="K28" i="5"/>
  <c r="I28" i="5"/>
  <c r="H28" i="5"/>
  <c r="J28" i="5" s="1"/>
  <c r="G28" i="5"/>
  <c r="F28" i="5"/>
  <c r="E28" i="5"/>
  <c r="D28" i="5"/>
  <c r="V27" i="5"/>
  <c r="U27" i="5"/>
  <c r="S27" i="5"/>
  <c r="R27" i="5"/>
  <c r="T27" i="5" s="1"/>
  <c r="Q27" i="5"/>
  <c r="P27" i="5"/>
  <c r="O27" i="5"/>
  <c r="N27" i="5"/>
  <c r="L27" i="5"/>
  <c r="K27" i="5"/>
  <c r="I27" i="5"/>
  <c r="H27" i="5"/>
  <c r="J27" i="5" s="1"/>
  <c r="G27" i="5"/>
  <c r="F27" i="5"/>
  <c r="E27" i="5"/>
  <c r="D27" i="5"/>
  <c r="T153" i="4"/>
  <c r="S153" i="4"/>
  <c r="J153" i="4"/>
  <c r="I153" i="4"/>
  <c r="X153" i="4" s="1"/>
  <c r="I149" i="4"/>
  <c r="T142" i="4"/>
  <c r="S142" i="4"/>
  <c r="J142" i="4"/>
  <c r="I142" i="4"/>
  <c r="X142" i="4" s="1"/>
  <c r="V122" i="4"/>
  <c r="U122" i="4"/>
  <c r="S122" i="4"/>
  <c r="X122" i="4" s="1"/>
  <c r="R122" i="4"/>
  <c r="W122" i="4" s="1"/>
  <c r="Q122" i="4"/>
  <c r="P122" i="4"/>
  <c r="O122" i="4"/>
  <c r="N122" i="4"/>
  <c r="L122" i="4"/>
  <c r="Z122" i="4" s="1"/>
  <c r="K122" i="4"/>
  <c r="I122" i="4"/>
  <c r="H122" i="4"/>
  <c r="J122" i="4" s="1"/>
  <c r="G122" i="4"/>
  <c r="F122" i="4"/>
  <c r="E122" i="4"/>
  <c r="D122" i="4"/>
  <c r="V121" i="4"/>
  <c r="U121" i="4"/>
  <c r="S121" i="4"/>
  <c r="R121" i="4"/>
  <c r="T121" i="4" s="1"/>
  <c r="Q121" i="4"/>
  <c r="P121" i="4"/>
  <c r="O121" i="4"/>
  <c r="N121" i="4"/>
  <c r="L121" i="4"/>
  <c r="K121" i="4"/>
  <c r="J121" i="4"/>
  <c r="I121" i="4"/>
  <c r="H121" i="4"/>
  <c r="G121" i="4"/>
  <c r="F121" i="4"/>
  <c r="E121" i="4"/>
  <c r="D121" i="4"/>
  <c r="Y120" i="4"/>
  <c r="X120" i="4"/>
  <c r="V120" i="4"/>
  <c r="U120" i="4"/>
  <c r="S120" i="4"/>
  <c r="R120" i="4"/>
  <c r="T120" i="4" s="1"/>
  <c r="Q120" i="4"/>
  <c r="P120" i="4"/>
  <c r="O120" i="4"/>
  <c r="N120" i="4"/>
  <c r="L120" i="4"/>
  <c r="K120" i="4"/>
  <c r="J120" i="4"/>
  <c r="I120" i="4"/>
  <c r="H120" i="4"/>
  <c r="G120" i="4"/>
  <c r="F120" i="4"/>
  <c r="E120" i="4"/>
  <c r="D120" i="4"/>
  <c r="W119" i="4"/>
  <c r="V119" i="4"/>
  <c r="U119" i="4"/>
  <c r="T119" i="4"/>
  <c r="S119" i="4"/>
  <c r="R119" i="4"/>
  <c r="Q119" i="4"/>
  <c r="P119" i="4"/>
  <c r="O119" i="4"/>
  <c r="N119" i="4"/>
  <c r="L119" i="4"/>
  <c r="K119" i="4"/>
  <c r="Y119" i="4" s="1"/>
  <c r="J119" i="4"/>
  <c r="I119" i="4"/>
  <c r="H119" i="4"/>
  <c r="G119" i="4"/>
  <c r="F119" i="4"/>
  <c r="E119" i="4"/>
  <c r="D119" i="4"/>
  <c r="V118" i="4"/>
  <c r="U118" i="4"/>
  <c r="T118" i="4"/>
  <c r="S118" i="4"/>
  <c r="R118" i="4"/>
  <c r="Q118" i="4"/>
  <c r="P118" i="4"/>
  <c r="O118" i="4"/>
  <c r="N118" i="4"/>
  <c r="L118" i="4"/>
  <c r="K118" i="4"/>
  <c r="I118" i="4"/>
  <c r="X118" i="4" s="1"/>
  <c r="H118" i="4"/>
  <c r="J118" i="4" s="1"/>
  <c r="G118" i="4"/>
  <c r="F118" i="4"/>
  <c r="E118" i="4"/>
  <c r="D118" i="4"/>
  <c r="W117" i="4"/>
  <c r="V117" i="4"/>
  <c r="U117" i="4"/>
  <c r="T117" i="4"/>
  <c r="S117" i="4"/>
  <c r="R117" i="4"/>
  <c r="Q117" i="4"/>
  <c r="P117" i="4"/>
  <c r="O117" i="4"/>
  <c r="N117" i="4"/>
  <c r="L117" i="4"/>
  <c r="Z117" i="4" s="1"/>
  <c r="K117" i="4"/>
  <c r="Y117" i="4" s="1"/>
  <c r="I117" i="4"/>
  <c r="X117" i="4" s="1"/>
  <c r="H117" i="4"/>
  <c r="J117" i="4" s="1"/>
  <c r="G117" i="4"/>
  <c r="F117" i="4"/>
  <c r="E117" i="4"/>
  <c r="D117" i="4"/>
  <c r="Y116" i="4"/>
  <c r="V116" i="4"/>
  <c r="U116" i="4"/>
  <c r="S116" i="4"/>
  <c r="R116" i="4"/>
  <c r="Q116" i="4"/>
  <c r="P116" i="4"/>
  <c r="O116" i="4"/>
  <c r="N116" i="4"/>
  <c r="L116" i="4"/>
  <c r="K116" i="4"/>
  <c r="I116" i="4"/>
  <c r="H116" i="4"/>
  <c r="J116" i="4" s="1"/>
  <c r="G116" i="4"/>
  <c r="F116" i="4"/>
  <c r="E116" i="4"/>
  <c r="D116" i="4"/>
  <c r="V115" i="4"/>
  <c r="U115" i="4"/>
  <c r="S115" i="4"/>
  <c r="R115" i="4"/>
  <c r="T115" i="4" s="1"/>
  <c r="Q115" i="4"/>
  <c r="P115" i="4"/>
  <c r="O115" i="4"/>
  <c r="N115" i="4"/>
  <c r="L115" i="4"/>
  <c r="K115" i="4"/>
  <c r="Y115" i="4" s="1"/>
  <c r="J115" i="4"/>
  <c r="I115" i="4"/>
  <c r="X115" i="4" s="1"/>
  <c r="H115" i="4"/>
  <c r="W115" i="4" s="1"/>
  <c r="G115" i="4"/>
  <c r="F115" i="4"/>
  <c r="E115" i="4"/>
  <c r="D115" i="4"/>
  <c r="V114" i="4"/>
  <c r="Z114" i="4" s="1"/>
  <c r="U114" i="4"/>
  <c r="Y114" i="4" s="1"/>
  <c r="S114" i="4"/>
  <c r="X114" i="4" s="1"/>
  <c r="R114" i="4"/>
  <c r="Q114" i="4"/>
  <c r="P114" i="4"/>
  <c r="O114" i="4"/>
  <c r="N114" i="4"/>
  <c r="L114" i="4"/>
  <c r="K114" i="4"/>
  <c r="I114" i="4"/>
  <c r="H114" i="4"/>
  <c r="J114" i="4" s="1"/>
  <c r="G114" i="4"/>
  <c r="F114" i="4"/>
  <c r="E114" i="4"/>
  <c r="D114" i="4"/>
  <c r="V113" i="4"/>
  <c r="Z113" i="4" s="1"/>
  <c r="U113" i="4"/>
  <c r="Y113" i="4" s="1"/>
  <c r="S113" i="4"/>
  <c r="X113" i="4" s="1"/>
  <c r="R113" i="4"/>
  <c r="Q113" i="4"/>
  <c r="P113" i="4"/>
  <c r="O113" i="4"/>
  <c r="N113" i="4"/>
  <c r="L113" i="4"/>
  <c r="K113" i="4"/>
  <c r="I113" i="4"/>
  <c r="H113" i="4"/>
  <c r="J113" i="4" s="1"/>
  <c r="G113" i="4"/>
  <c r="F113" i="4"/>
  <c r="E113" i="4"/>
  <c r="D113" i="4"/>
  <c r="V112" i="4"/>
  <c r="Z112" i="4" s="1"/>
  <c r="U112" i="4"/>
  <c r="Y112" i="4" s="1"/>
  <c r="S112" i="4"/>
  <c r="X112" i="4" s="1"/>
  <c r="R112" i="4"/>
  <c r="Q112" i="4"/>
  <c r="P112" i="4"/>
  <c r="O112" i="4"/>
  <c r="N112" i="4"/>
  <c r="L112" i="4"/>
  <c r="K112" i="4"/>
  <c r="I112" i="4"/>
  <c r="H112" i="4"/>
  <c r="J112" i="4" s="1"/>
  <c r="G112" i="4"/>
  <c r="F112" i="4"/>
  <c r="E112" i="4"/>
  <c r="D112" i="4"/>
  <c r="V111" i="4"/>
  <c r="U111" i="4"/>
  <c r="S111" i="4"/>
  <c r="R111" i="4"/>
  <c r="Q111" i="4"/>
  <c r="P111" i="4"/>
  <c r="O111" i="4"/>
  <c r="N111" i="4"/>
  <c r="L111" i="4"/>
  <c r="K111" i="4"/>
  <c r="I111" i="4"/>
  <c r="H111" i="4"/>
  <c r="J111" i="4" s="1"/>
  <c r="G111" i="4"/>
  <c r="F111" i="4"/>
  <c r="E111" i="4"/>
  <c r="D111" i="4"/>
  <c r="V110" i="4"/>
  <c r="Z110" i="4" s="1"/>
  <c r="U110" i="4"/>
  <c r="T110" i="4"/>
  <c r="S110" i="4"/>
  <c r="R110" i="4"/>
  <c r="Q110" i="4"/>
  <c r="P110" i="4"/>
  <c r="O110" i="4"/>
  <c r="N110" i="4"/>
  <c r="L110" i="4"/>
  <c r="K110" i="4"/>
  <c r="I110" i="4"/>
  <c r="H110" i="4"/>
  <c r="G110" i="4"/>
  <c r="F110" i="4"/>
  <c r="E110" i="4"/>
  <c r="D110" i="4"/>
  <c r="V109" i="4"/>
  <c r="U109" i="4"/>
  <c r="Y109" i="4" s="1"/>
  <c r="S109" i="4"/>
  <c r="R109" i="4"/>
  <c r="T109" i="4" s="1"/>
  <c r="Q109" i="4"/>
  <c r="P109" i="4"/>
  <c r="O109" i="4"/>
  <c r="N109" i="4"/>
  <c r="L109" i="4"/>
  <c r="K109" i="4"/>
  <c r="J109" i="4"/>
  <c r="I109" i="4"/>
  <c r="H109" i="4"/>
  <c r="G109" i="4"/>
  <c r="F109" i="4"/>
  <c r="E109" i="4"/>
  <c r="D109" i="4"/>
  <c r="X108" i="4"/>
  <c r="W108" i="4"/>
  <c r="V108" i="4"/>
  <c r="Z108" i="4" s="1"/>
  <c r="U108" i="4"/>
  <c r="Y108" i="4" s="1"/>
  <c r="S108" i="4"/>
  <c r="R108" i="4"/>
  <c r="T108" i="4" s="1"/>
  <c r="Q108" i="4"/>
  <c r="P108" i="4"/>
  <c r="O108" i="4"/>
  <c r="N108" i="4"/>
  <c r="L108" i="4"/>
  <c r="K108" i="4"/>
  <c r="I108" i="4"/>
  <c r="H108" i="4"/>
  <c r="J108" i="4" s="1"/>
  <c r="G108" i="4"/>
  <c r="F108" i="4"/>
  <c r="E108" i="4"/>
  <c r="D108" i="4"/>
  <c r="V107" i="4"/>
  <c r="U107" i="4"/>
  <c r="T107" i="4"/>
  <c r="S107" i="4"/>
  <c r="R107" i="4"/>
  <c r="W107" i="4" s="1"/>
  <c r="Q107" i="4"/>
  <c r="P107" i="4"/>
  <c r="O107" i="4"/>
  <c r="N107" i="4"/>
  <c r="L107" i="4"/>
  <c r="K107" i="4"/>
  <c r="I107" i="4"/>
  <c r="H107" i="4"/>
  <c r="J107" i="4" s="1"/>
  <c r="G107" i="4"/>
  <c r="F107" i="4"/>
  <c r="E107" i="4"/>
  <c r="D107" i="4"/>
  <c r="V106" i="4"/>
  <c r="U106" i="4"/>
  <c r="S106" i="4"/>
  <c r="X106" i="4" s="1"/>
  <c r="R106" i="4"/>
  <c r="W106" i="4" s="1"/>
  <c r="Q106" i="4"/>
  <c r="P106" i="4"/>
  <c r="O106" i="4"/>
  <c r="N106" i="4"/>
  <c r="L106" i="4"/>
  <c r="K106" i="4"/>
  <c r="I106" i="4"/>
  <c r="H106" i="4"/>
  <c r="J106" i="4" s="1"/>
  <c r="G106" i="4"/>
  <c r="F106" i="4"/>
  <c r="E106" i="4"/>
  <c r="D106" i="4"/>
  <c r="V105" i="4"/>
  <c r="U105" i="4"/>
  <c r="S105" i="4"/>
  <c r="X105" i="4" s="1"/>
  <c r="R105" i="4"/>
  <c r="Q105" i="4"/>
  <c r="P105" i="4"/>
  <c r="O105" i="4"/>
  <c r="N105" i="4"/>
  <c r="L105" i="4"/>
  <c r="Z105" i="4" s="1"/>
  <c r="K105" i="4"/>
  <c r="I105" i="4"/>
  <c r="H105" i="4"/>
  <c r="J105" i="4" s="1"/>
  <c r="G105" i="4"/>
  <c r="F105" i="4"/>
  <c r="E105" i="4"/>
  <c r="D105" i="4"/>
  <c r="V104" i="4"/>
  <c r="U104" i="4"/>
  <c r="S104" i="4"/>
  <c r="R104" i="4"/>
  <c r="Q104" i="4"/>
  <c r="P104" i="4"/>
  <c r="O104" i="4"/>
  <c r="N104" i="4"/>
  <c r="L104" i="4"/>
  <c r="Z104" i="4" s="1"/>
  <c r="K104" i="4"/>
  <c r="I104" i="4"/>
  <c r="H104" i="4"/>
  <c r="J104" i="4" s="1"/>
  <c r="G104" i="4"/>
  <c r="F104" i="4"/>
  <c r="E104" i="4"/>
  <c r="D104" i="4"/>
  <c r="V103" i="4"/>
  <c r="U103" i="4"/>
  <c r="S103" i="4"/>
  <c r="R103" i="4"/>
  <c r="T103" i="4" s="1"/>
  <c r="Q103" i="4"/>
  <c r="P103" i="4"/>
  <c r="O103" i="4"/>
  <c r="N103" i="4"/>
  <c r="L103" i="4"/>
  <c r="K103" i="4"/>
  <c r="I103" i="4"/>
  <c r="H103" i="4"/>
  <c r="G103" i="4"/>
  <c r="F103" i="4"/>
  <c r="E103" i="4"/>
  <c r="D103" i="4"/>
  <c r="V102" i="4"/>
  <c r="Z102" i="4" s="1"/>
  <c r="U102" i="4"/>
  <c r="Y102" i="4" s="1"/>
  <c r="S102" i="4"/>
  <c r="R102" i="4"/>
  <c r="T102" i="4" s="1"/>
  <c r="Q102" i="4"/>
  <c r="P102" i="4"/>
  <c r="O102" i="4"/>
  <c r="N102" i="4"/>
  <c r="L102" i="4"/>
  <c r="K102" i="4"/>
  <c r="I102" i="4"/>
  <c r="X102" i="4" s="1"/>
  <c r="H102" i="4"/>
  <c r="G102" i="4"/>
  <c r="F102" i="4"/>
  <c r="E102" i="4"/>
  <c r="D102" i="4"/>
  <c r="V101" i="4"/>
  <c r="Z101" i="4" s="1"/>
  <c r="U101" i="4"/>
  <c r="Y101" i="4" s="1"/>
  <c r="S101" i="4"/>
  <c r="R101" i="4"/>
  <c r="T101" i="4" s="1"/>
  <c r="Q101" i="4"/>
  <c r="P101" i="4"/>
  <c r="O101" i="4"/>
  <c r="N101" i="4"/>
  <c r="L101" i="4"/>
  <c r="K101" i="4"/>
  <c r="I101" i="4"/>
  <c r="X101" i="4" s="1"/>
  <c r="H101" i="4"/>
  <c r="G101" i="4"/>
  <c r="F101" i="4"/>
  <c r="E101" i="4"/>
  <c r="D101" i="4"/>
  <c r="V100" i="4"/>
  <c r="Z100" i="4" s="1"/>
  <c r="U100" i="4"/>
  <c r="Y100" i="4" s="1"/>
  <c r="T100" i="4"/>
  <c r="S100" i="4"/>
  <c r="R100" i="4"/>
  <c r="Q100" i="4"/>
  <c r="P100" i="4"/>
  <c r="O100" i="4"/>
  <c r="N100" i="4"/>
  <c r="L100" i="4"/>
  <c r="K100" i="4"/>
  <c r="I100" i="4"/>
  <c r="X100" i="4" s="1"/>
  <c r="H100" i="4"/>
  <c r="W100" i="4" s="1"/>
  <c r="G100" i="4"/>
  <c r="F100" i="4"/>
  <c r="E100" i="4"/>
  <c r="D100" i="4"/>
  <c r="V99" i="4"/>
  <c r="Z99" i="4" s="1"/>
  <c r="U99" i="4"/>
  <c r="Y99" i="4" s="1"/>
  <c r="S99" i="4"/>
  <c r="R99" i="4"/>
  <c r="Q99" i="4"/>
  <c r="P99" i="4"/>
  <c r="O99" i="4"/>
  <c r="N99" i="4"/>
  <c r="L99" i="4"/>
  <c r="K99" i="4"/>
  <c r="I99" i="4"/>
  <c r="H99" i="4"/>
  <c r="J99" i="4" s="1"/>
  <c r="G99" i="4"/>
  <c r="F99" i="4"/>
  <c r="E99" i="4"/>
  <c r="D99" i="4"/>
  <c r="V98" i="4"/>
  <c r="Z98" i="4" s="1"/>
  <c r="U98" i="4"/>
  <c r="Y98" i="4" s="1"/>
  <c r="S98" i="4"/>
  <c r="X98" i="4" s="1"/>
  <c r="R98" i="4"/>
  <c r="Q98" i="4"/>
  <c r="P98" i="4"/>
  <c r="O98" i="4"/>
  <c r="N98" i="4"/>
  <c r="L98" i="4"/>
  <c r="K98" i="4"/>
  <c r="I98" i="4"/>
  <c r="H98" i="4"/>
  <c r="J98" i="4" s="1"/>
  <c r="G98" i="4"/>
  <c r="F98" i="4"/>
  <c r="E98" i="4"/>
  <c r="D98" i="4"/>
  <c r="V97" i="4"/>
  <c r="Z97" i="4" s="1"/>
  <c r="U97" i="4"/>
  <c r="Y97" i="4" s="1"/>
  <c r="S97" i="4"/>
  <c r="X97" i="4" s="1"/>
  <c r="R97" i="4"/>
  <c r="Q97" i="4"/>
  <c r="P97" i="4"/>
  <c r="O97" i="4"/>
  <c r="N97" i="4"/>
  <c r="L97" i="4"/>
  <c r="K97" i="4"/>
  <c r="I97" i="4"/>
  <c r="H97" i="4"/>
  <c r="J97" i="4" s="1"/>
  <c r="G97" i="4"/>
  <c r="F97" i="4"/>
  <c r="E97" i="4"/>
  <c r="D97" i="4"/>
  <c r="V96" i="4"/>
  <c r="U96" i="4"/>
  <c r="Y96" i="4" s="1"/>
  <c r="S96" i="4"/>
  <c r="X96" i="4" s="1"/>
  <c r="R96" i="4"/>
  <c r="W96" i="4" s="1"/>
  <c r="Q96" i="4"/>
  <c r="P96" i="4"/>
  <c r="O96" i="4"/>
  <c r="N96" i="4"/>
  <c r="L96" i="4"/>
  <c r="K96" i="4"/>
  <c r="I96" i="4"/>
  <c r="H96" i="4"/>
  <c r="J96" i="4" s="1"/>
  <c r="G96" i="4"/>
  <c r="F96" i="4"/>
  <c r="E96" i="4"/>
  <c r="D96" i="4"/>
  <c r="X95" i="4"/>
  <c r="W95" i="4"/>
  <c r="V95" i="4"/>
  <c r="U95" i="4"/>
  <c r="S95" i="4"/>
  <c r="R95" i="4"/>
  <c r="T95" i="4" s="1"/>
  <c r="Q95" i="4"/>
  <c r="P95" i="4"/>
  <c r="O95" i="4"/>
  <c r="N95" i="4"/>
  <c r="L95" i="4"/>
  <c r="Z95" i="4" s="1"/>
  <c r="K95" i="4"/>
  <c r="Y95" i="4" s="1"/>
  <c r="J95" i="4"/>
  <c r="I95" i="4"/>
  <c r="H95" i="4"/>
  <c r="G95" i="4"/>
  <c r="F95" i="4"/>
  <c r="E95" i="4"/>
  <c r="D95" i="4"/>
  <c r="V94" i="4"/>
  <c r="U94" i="4"/>
  <c r="S94" i="4"/>
  <c r="X94" i="4" s="1"/>
  <c r="R94" i="4"/>
  <c r="Q94" i="4"/>
  <c r="P94" i="4"/>
  <c r="O94" i="4"/>
  <c r="N94" i="4"/>
  <c r="L94" i="4"/>
  <c r="K94" i="4"/>
  <c r="J94" i="4"/>
  <c r="I94" i="4"/>
  <c r="H94" i="4"/>
  <c r="G94" i="4"/>
  <c r="F94" i="4"/>
  <c r="E94" i="4"/>
  <c r="D94" i="4"/>
  <c r="V93" i="4"/>
  <c r="U93" i="4"/>
  <c r="S93" i="4"/>
  <c r="R93" i="4"/>
  <c r="Q93" i="4"/>
  <c r="P93" i="4"/>
  <c r="O93" i="4"/>
  <c r="N93" i="4"/>
  <c r="L93" i="4"/>
  <c r="K93" i="4"/>
  <c r="I93" i="4"/>
  <c r="H93" i="4"/>
  <c r="J93" i="4" s="1"/>
  <c r="G93" i="4"/>
  <c r="F93" i="4"/>
  <c r="E93" i="4"/>
  <c r="D93" i="4"/>
  <c r="V92" i="4"/>
  <c r="Z92" i="4" s="1"/>
  <c r="U92" i="4"/>
  <c r="S92" i="4"/>
  <c r="R92" i="4"/>
  <c r="Q92" i="4"/>
  <c r="P92" i="4"/>
  <c r="O92" i="4"/>
  <c r="N92" i="4"/>
  <c r="L92" i="4"/>
  <c r="K92" i="4"/>
  <c r="I92" i="4"/>
  <c r="H92" i="4"/>
  <c r="J92" i="4" s="1"/>
  <c r="G92" i="4"/>
  <c r="F92" i="4"/>
  <c r="E92" i="4"/>
  <c r="D92" i="4"/>
  <c r="Y91" i="4"/>
  <c r="V91" i="4"/>
  <c r="U91" i="4"/>
  <c r="S91" i="4"/>
  <c r="R91" i="4"/>
  <c r="Q91" i="4"/>
  <c r="P91" i="4"/>
  <c r="O91" i="4"/>
  <c r="N91" i="4"/>
  <c r="L91" i="4"/>
  <c r="Z91" i="4" s="1"/>
  <c r="K91" i="4"/>
  <c r="I91" i="4"/>
  <c r="H91" i="4"/>
  <c r="J91" i="4" s="1"/>
  <c r="G91" i="4"/>
  <c r="F91" i="4"/>
  <c r="E91" i="4"/>
  <c r="D91" i="4"/>
  <c r="V78" i="4"/>
  <c r="U78" i="4"/>
  <c r="T78" i="4"/>
  <c r="S78" i="4"/>
  <c r="R78" i="4"/>
  <c r="Q78" i="4"/>
  <c r="P78" i="4"/>
  <c r="O78" i="4"/>
  <c r="N78" i="4"/>
  <c r="L78" i="4"/>
  <c r="K78" i="4"/>
  <c r="J78" i="4"/>
  <c r="I78" i="4"/>
  <c r="H78" i="4"/>
  <c r="G78" i="4"/>
  <c r="F78" i="4"/>
  <c r="E78" i="4"/>
  <c r="D78" i="4"/>
  <c r="V77" i="4"/>
  <c r="U77" i="4"/>
  <c r="T77" i="4"/>
  <c r="S77" i="4"/>
  <c r="R77" i="4"/>
  <c r="Q77" i="4"/>
  <c r="P77" i="4"/>
  <c r="O77" i="4"/>
  <c r="N77" i="4"/>
  <c r="L77" i="4"/>
  <c r="K77" i="4"/>
  <c r="I77" i="4"/>
  <c r="X77" i="4" s="1"/>
  <c r="H77" i="4"/>
  <c r="W77" i="4" s="1"/>
  <c r="G77" i="4"/>
  <c r="F77" i="4"/>
  <c r="E77" i="4"/>
  <c r="D77" i="4"/>
  <c r="V76" i="4"/>
  <c r="U76" i="4"/>
  <c r="S76" i="4"/>
  <c r="R76" i="4"/>
  <c r="Q76" i="4"/>
  <c r="P76" i="4"/>
  <c r="O76" i="4"/>
  <c r="N76" i="4"/>
  <c r="L76" i="4"/>
  <c r="K76" i="4"/>
  <c r="I76" i="4"/>
  <c r="H76" i="4"/>
  <c r="J76" i="4" s="1"/>
  <c r="G76" i="4"/>
  <c r="F76" i="4"/>
  <c r="E76" i="4"/>
  <c r="D76" i="4"/>
  <c r="V75" i="4"/>
  <c r="U75" i="4"/>
  <c r="S75" i="4"/>
  <c r="X75" i="4" s="1"/>
  <c r="R75" i="4"/>
  <c r="T75" i="4" s="1"/>
  <c r="Q75" i="4"/>
  <c r="P75" i="4"/>
  <c r="O75" i="4"/>
  <c r="N75" i="4"/>
  <c r="L75" i="4"/>
  <c r="K75" i="4"/>
  <c r="I75" i="4"/>
  <c r="H75" i="4"/>
  <c r="J75" i="4" s="1"/>
  <c r="G75" i="4"/>
  <c r="F75" i="4"/>
  <c r="E75" i="4"/>
  <c r="D75" i="4"/>
  <c r="Y74" i="4"/>
  <c r="W74" i="4"/>
  <c r="V74" i="4"/>
  <c r="U74" i="4"/>
  <c r="S74" i="4"/>
  <c r="X74" i="4" s="1"/>
  <c r="R74" i="4"/>
  <c r="T74" i="4" s="1"/>
  <c r="Q74" i="4"/>
  <c r="P74" i="4"/>
  <c r="O74" i="4"/>
  <c r="N74" i="4"/>
  <c r="L74" i="4"/>
  <c r="K74" i="4"/>
  <c r="I74" i="4"/>
  <c r="H74" i="4"/>
  <c r="J74" i="4" s="1"/>
  <c r="G74" i="4"/>
  <c r="F74" i="4"/>
  <c r="E74" i="4"/>
  <c r="D74" i="4"/>
  <c r="X73" i="4"/>
  <c r="W73" i="4"/>
  <c r="V73" i="4"/>
  <c r="Z73" i="4" s="1"/>
  <c r="U73" i="4"/>
  <c r="S73" i="4"/>
  <c r="R73" i="4"/>
  <c r="T73" i="4" s="1"/>
  <c r="Q73" i="4"/>
  <c r="P73" i="4"/>
  <c r="O73" i="4"/>
  <c r="N73" i="4"/>
  <c r="L73" i="4"/>
  <c r="K73" i="4"/>
  <c r="I73" i="4"/>
  <c r="H73" i="4"/>
  <c r="J73" i="4" s="1"/>
  <c r="G73" i="4"/>
  <c r="F73" i="4"/>
  <c r="E73" i="4"/>
  <c r="D73" i="4"/>
  <c r="Y72" i="4"/>
  <c r="X72" i="4"/>
  <c r="W72" i="4"/>
  <c r="V72" i="4"/>
  <c r="U72" i="4"/>
  <c r="S72" i="4"/>
  <c r="R72" i="4"/>
  <c r="T72" i="4" s="1"/>
  <c r="Q72" i="4"/>
  <c r="P72" i="4"/>
  <c r="O72" i="4"/>
  <c r="N72" i="4"/>
  <c r="L72" i="4"/>
  <c r="K72" i="4"/>
  <c r="I72" i="4"/>
  <c r="H72" i="4"/>
  <c r="J72" i="4" s="1"/>
  <c r="G72" i="4"/>
  <c r="F72" i="4"/>
  <c r="E72" i="4"/>
  <c r="D72" i="4"/>
  <c r="V71" i="4"/>
  <c r="U71" i="4"/>
  <c r="S71" i="4"/>
  <c r="X71" i="4" s="1"/>
  <c r="R71" i="4"/>
  <c r="Q71" i="4"/>
  <c r="P71" i="4"/>
  <c r="O71" i="4"/>
  <c r="N71" i="4"/>
  <c r="L71" i="4"/>
  <c r="K71" i="4"/>
  <c r="I71" i="4"/>
  <c r="H71" i="4"/>
  <c r="J71" i="4" s="1"/>
  <c r="G71" i="4"/>
  <c r="F71" i="4"/>
  <c r="E71" i="4"/>
  <c r="D71" i="4"/>
  <c r="V70" i="4"/>
  <c r="Z70" i="4" s="1"/>
  <c r="U70" i="4"/>
  <c r="Y70" i="4" s="1"/>
  <c r="S70" i="4"/>
  <c r="X70" i="4" s="1"/>
  <c r="R70" i="4"/>
  <c r="T70" i="4" s="1"/>
  <c r="Q70" i="4"/>
  <c r="P70" i="4"/>
  <c r="O70" i="4"/>
  <c r="N70" i="4"/>
  <c r="L70" i="4"/>
  <c r="K70" i="4"/>
  <c r="I70" i="4"/>
  <c r="H70" i="4"/>
  <c r="J70" i="4" s="1"/>
  <c r="G70" i="4"/>
  <c r="F70" i="4"/>
  <c r="E70" i="4"/>
  <c r="D70" i="4"/>
  <c r="V69" i="4"/>
  <c r="U69" i="4"/>
  <c r="Y69" i="4" s="1"/>
  <c r="S69" i="4"/>
  <c r="R69" i="4"/>
  <c r="Q69" i="4"/>
  <c r="P69" i="4"/>
  <c r="O69" i="4"/>
  <c r="N69" i="4"/>
  <c r="L69" i="4"/>
  <c r="K69" i="4"/>
  <c r="I69" i="4"/>
  <c r="H69" i="4"/>
  <c r="J69" i="4" s="1"/>
  <c r="G69" i="4"/>
  <c r="F69" i="4"/>
  <c r="E69" i="4"/>
  <c r="D69" i="4"/>
  <c r="V68" i="4"/>
  <c r="U68" i="4"/>
  <c r="Y68" i="4" s="1"/>
  <c r="S68" i="4"/>
  <c r="X68" i="4" s="1"/>
  <c r="R68" i="4"/>
  <c r="T68" i="4" s="1"/>
  <c r="Q68" i="4"/>
  <c r="P68" i="4"/>
  <c r="O68" i="4"/>
  <c r="N68" i="4"/>
  <c r="L68" i="4"/>
  <c r="K68" i="4"/>
  <c r="I68" i="4"/>
  <c r="H68" i="4"/>
  <c r="J68" i="4" s="1"/>
  <c r="G68" i="4"/>
  <c r="F68" i="4"/>
  <c r="E68" i="4"/>
  <c r="D68" i="4"/>
  <c r="V67" i="4"/>
  <c r="U67" i="4"/>
  <c r="S67" i="4"/>
  <c r="X67" i="4" s="1"/>
  <c r="R67" i="4"/>
  <c r="Q67" i="4"/>
  <c r="P67" i="4"/>
  <c r="O67" i="4"/>
  <c r="N67" i="4"/>
  <c r="L67" i="4"/>
  <c r="K67" i="4"/>
  <c r="J67" i="4"/>
  <c r="I67" i="4"/>
  <c r="H67" i="4"/>
  <c r="G67" i="4"/>
  <c r="F67" i="4"/>
  <c r="E67" i="4"/>
  <c r="D67" i="4"/>
  <c r="V66" i="4"/>
  <c r="U66" i="4"/>
  <c r="T66" i="4"/>
  <c r="S66" i="4"/>
  <c r="R66" i="4"/>
  <c r="Q66" i="4"/>
  <c r="P66" i="4"/>
  <c r="O66" i="4"/>
  <c r="N66" i="4"/>
  <c r="L66" i="4"/>
  <c r="K66" i="4"/>
  <c r="I66" i="4"/>
  <c r="X66" i="4" s="1"/>
  <c r="H66" i="4"/>
  <c r="J66" i="4" s="1"/>
  <c r="G66" i="4"/>
  <c r="F66" i="4"/>
  <c r="E66" i="4"/>
  <c r="D66" i="4"/>
  <c r="C66" i="4"/>
  <c r="V65" i="4"/>
  <c r="Z65" i="4" s="1"/>
  <c r="U65" i="4"/>
  <c r="S65" i="4"/>
  <c r="R65" i="4"/>
  <c r="T65" i="4" s="1"/>
  <c r="Q65" i="4"/>
  <c r="P65" i="4"/>
  <c r="O65" i="4"/>
  <c r="N65" i="4"/>
  <c r="L65" i="4"/>
  <c r="K65" i="4"/>
  <c r="Y65" i="4" s="1"/>
  <c r="I65" i="4"/>
  <c r="X65" i="4" s="1"/>
  <c r="H65" i="4"/>
  <c r="J65" i="4" s="1"/>
  <c r="G65" i="4"/>
  <c r="F65" i="4"/>
  <c r="E65" i="4"/>
  <c r="D65" i="4"/>
  <c r="C65" i="4"/>
  <c r="V64" i="4"/>
  <c r="U64" i="4"/>
  <c r="Y64" i="4" s="1"/>
  <c r="S64" i="4"/>
  <c r="R64" i="4"/>
  <c r="Q64" i="4"/>
  <c r="P64" i="4"/>
  <c r="O64" i="4"/>
  <c r="N64" i="4"/>
  <c r="L64" i="4"/>
  <c r="K64" i="4"/>
  <c r="I64" i="4"/>
  <c r="H64" i="4"/>
  <c r="J64" i="4" s="1"/>
  <c r="G64" i="4"/>
  <c r="F64" i="4"/>
  <c r="E64" i="4"/>
  <c r="D64" i="4"/>
  <c r="C64" i="4"/>
  <c r="V63" i="4"/>
  <c r="U63" i="4"/>
  <c r="Y63" i="4" s="1"/>
  <c r="S63" i="4"/>
  <c r="X63" i="4" s="1"/>
  <c r="R63" i="4"/>
  <c r="W63" i="4" s="1"/>
  <c r="Q63" i="4"/>
  <c r="P63" i="4"/>
  <c r="O63" i="4"/>
  <c r="N63" i="4"/>
  <c r="L63" i="4"/>
  <c r="K63" i="4"/>
  <c r="I63" i="4"/>
  <c r="H63" i="4"/>
  <c r="J63" i="4" s="1"/>
  <c r="G63" i="4"/>
  <c r="F63" i="4"/>
  <c r="E63" i="4"/>
  <c r="D63" i="4"/>
  <c r="C63" i="4"/>
  <c r="Z62" i="4"/>
  <c r="V62" i="4"/>
  <c r="U62" i="4"/>
  <c r="Y62" i="4" s="1"/>
  <c r="S62" i="4"/>
  <c r="X62" i="4" s="1"/>
  <c r="R62" i="4"/>
  <c r="T62" i="4" s="1"/>
  <c r="Q62" i="4"/>
  <c r="P62" i="4"/>
  <c r="O62" i="4"/>
  <c r="N62" i="4"/>
  <c r="L62" i="4"/>
  <c r="K62" i="4"/>
  <c r="I62" i="4"/>
  <c r="H62" i="4"/>
  <c r="J62" i="4" s="1"/>
  <c r="G62" i="4"/>
  <c r="F62" i="4"/>
  <c r="E62" i="4"/>
  <c r="D62" i="4"/>
  <c r="Z61" i="4"/>
  <c r="V61" i="4"/>
  <c r="U61" i="4"/>
  <c r="Y61" i="4" s="1"/>
  <c r="S61" i="4"/>
  <c r="X61" i="4" s="1"/>
  <c r="R61" i="4"/>
  <c r="Q61" i="4"/>
  <c r="P61" i="4"/>
  <c r="O61" i="4"/>
  <c r="N61" i="4"/>
  <c r="L61" i="4"/>
  <c r="K61" i="4"/>
  <c r="I61" i="4"/>
  <c r="H61" i="4"/>
  <c r="J61" i="4" s="1"/>
  <c r="G61" i="4"/>
  <c r="F61" i="4"/>
  <c r="E61" i="4"/>
  <c r="D61" i="4"/>
  <c r="V60" i="4"/>
  <c r="Z60" i="4" s="1"/>
  <c r="U60" i="4"/>
  <c r="Y60" i="4" s="1"/>
  <c r="S60" i="4"/>
  <c r="X60" i="4" s="1"/>
  <c r="R60" i="4"/>
  <c r="Q60" i="4"/>
  <c r="P60" i="4"/>
  <c r="O60" i="4"/>
  <c r="N60" i="4"/>
  <c r="L60" i="4"/>
  <c r="K60" i="4"/>
  <c r="I60" i="4"/>
  <c r="H60" i="4"/>
  <c r="J60" i="4" s="1"/>
  <c r="G60" i="4"/>
  <c r="F60" i="4"/>
  <c r="E60" i="4"/>
  <c r="D60" i="4"/>
  <c r="V59" i="4"/>
  <c r="U59" i="4"/>
  <c r="S59" i="4"/>
  <c r="R59" i="4"/>
  <c r="Q59" i="4"/>
  <c r="P59" i="4"/>
  <c r="O59" i="4"/>
  <c r="N59" i="4"/>
  <c r="L59" i="4"/>
  <c r="K59" i="4"/>
  <c r="Y59" i="4" s="1"/>
  <c r="J59" i="4"/>
  <c r="I59" i="4"/>
  <c r="H59" i="4"/>
  <c r="G59" i="4"/>
  <c r="F59" i="4"/>
  <c r="E59" i="4"/>
  <c r="D59" i="4"/>
  <c r="V58" i="4"/>
  <c r="U58" i="4"/>
  <c r="S58" i="4"/>
  <c r="X58" i="4" s="1"/>
  <c r="R58" i="4"/>
  <c r="W58" i="4" s="1"/>
  <c r="Q58" i="4"/>
  <c r="P58" i="4"/>
  <c r="O58" i="4"/>
  <c r="N58" i="4"/>
  <c r="L58" i="4"/>
  <c r="K58" i="4"/>
  <c r="I58" i="4"/>
  <c r="H58" i="4"/>
  <c r="J58" i="4" s="1"/>
  <c r="G58" i="4"/>
  <c r="F58" i="4"/>
  <c r="E58" i="4"/>
  <c r="D58" i="4"/>
  <c r="V57" i="4"/>
  <c r="Z57" i="4" s="1"/>
  <c r="U57" i="4"/>
  <c r="Y57" i="4" s="1"/>
  <c r="S57" i="4"/>
  <c r="X57" i="4" s="1"/>
  <c r="R57" i="4"/>
  <c r="Q57" i="4"/>
  <c r="P57" i="4"/>
  <c r="O57" i="4"/>
  <c r="N57" i="4"/>
  <c r="L57" i="4"/>
  <c r="K57" i="4"/>
  <c r="I57" i="4"/>
  <c r="H57" i="4"/>
  <c r="J57" i="4" s="1"/>
  <c r="G57" i="4"/>
  <c r="F57" i="4"/>
  <c r="E57" i="4"/>
  <c r="D57" i="4"/>
  <c r="V56" i="4"/>
  <c r="U56" i="4"/>
  <c r="S56" i="4"/>
  <c r="R56" i="4"/>
  <c r="Q56" i="4"/>
  <c r="P56" i="4"/>
  <c r="O56" i="4"/>
  <c r="N56" i="4"/>
  <c r="L56" i="4"/>
  <c r="K56" i="4"/>
  <c r="J56" i="4"/>
  <c r="I56" i="4"/>
  <c r="H56" i="4"/>
  <c r="G56" i="4"/>
  <c r="F56" i="4"/>
  <c r="E56" i="4"/>
  <c r="D56" i="4"/>
  <c r="V55" i="4"/>
  <c r="Z55" i="4" s="1"/>
  <c r="U55" i="4"/>
  <c r="S55" i="4"/>
  <c r="R55" i="4"/>
  <c r="Q55" i="4"/>
  <c r="P55" i="4"/>
  <c r="O55" i="4"/>
  <c r="N55" i="4"/>
  <c r="L55" i="4"/>
  <c r="K55" i="4"/>
  <c r="Y55" i="4" s="1"/>
  <c r="I55" i="4"/>
  <c r="H55" i="4"/>
  <c r="J55" i="4" s="1"/>
  <c r="G55" i="4"/>
  <c r="F55" i="4"/>
  <c r="E55" i="4"/>
  <c r="D55" i="4"/>
  <c r="V54" i="4"/>
  <c r="Z54" i="4" s="1"/>
  <c r="U54" i="4"/>
  <c r="T54" i="4"/>
  <c r="S54" i="4"/>
  <c r="R54" i="4"/>
  <c r="Q54" i="4"/>
  <c r="P54" i="4"/>
  <c r="O54" i="4"/>
  <c r="N54" i="4"/>
  <c r="L54" i="4"/>
  <c r="K54" i="4"/>
  <c r="I54" i="4"/>
  <c r="H54" i="4"/>
  <c r="J54" i="4" s="1"/>
  <c r="G54" i="4"/>
  <c r="F54" i="4"/>
  <c r="E54" i="4"/>
  <c r="D54" i="4"/>
  <c r="V53" i="4"/>
  <c r="Z53" i="4" s="1"/>
  <c r="U53" i="4"/>
  <c r="S53" i="4"/>
  <c r="R53" i="4"/>
  <c r="Q53" i="4"/>
  <c r="P53" i="4"/>
  <c r="O53" i="4"/>
  <c r="N53" i="4"/>
  <c r="L53" i="4"/>
  <c r="K53" i="4"/>
  <c r="I53" i="4"/>
  <c r="H53" i="4"/>
  <c r="J53" i="4" s="1"/>
  <c r="G53" i="4"/>
  <c r="F53" i="4"/>
  <c r="E53" i="4"/>
  <c r="D53" i="4"/>
  <c r="V52" i="4"/>
  <c r="U52" i="4"/>
  <c r="S52" i="4"/>
  <c r="X52" i="4" s="1"/>
  <c r="R52" i="4"/>
  <c r="T52" i="4" s="1"/>
  <c r="Q52" i="4"/>
  <c r="P52" i="4"/>
  <c r="O52" i="4"/>
  <c r="N52" i="4"/>
  <c r="L52" i="4"/>
  <c r="K52" i="4"/>
  <c r="Y52" i="4" s="1"/>
  <c r="I52" i="4"/>
  <c r="H52" i="4"/>
  <c r="J52" i="4" s="1"/>
  <c r="G52" i="4"/>
  <c r="F52" i="4"/>
  <c r="E52" i="4"/>
  <c r="D52" i="4"/>
  <c r="Z51" i="4"/>
  <c r="X51" i="4"/>
  <c r="V51" i="4"/>
  <c r="U51" i="4"/>
  <c r="S51" i="4"/>
  <c r="R51" i="4"/>
  <c r="T51" i="4" s="1"/>
  <c r="Q51" i="4"/>
  <c r="P51" i="4"/>
  <c r="O51" i="4"/>
  <c r="N51" i="4"/>
  <c r="L51" i="4"/>
  <c r="K51" i="4"/>
  <c r="I51" i="4"/>
  <c r="H51" i="4"/>
  <c r="J51" i="4" s="1"/>
  <c r="G51" i="4"/>
  <c r="F51" i="4"/>
  <c r="E51" i="4"/>
  <c r="D51" i="4"/>
  <c r="Z50" i="4"/>
  <c r="Y50" i="4"/>
  <c r="V50" i="4"/>
  <c r="U50" i="4"/>
  <c r="S50" i="4"/>
  <c r="X50" i="4" s="1"/>
  <c r="R50" i="4"/>
  <c r="Q50" i="4"/>
  <c r="P50" i="4"/>
  <c r="O50" i="4"/>
  <c r="N50" i="4"/>
  <c r="L50" i="4"/>
  <c r="K50" i="4"/>
  <c r="I50" i="4"/>
  <c r="H50" i="4"/>
  <c r="J50" i="4" s="1"/>
  <c r="G50" i="4"/>
  <c r="F50" i="4"/>
  <c r="E50" i="4"/>
  <c r="D50" i="4"/>
  <c r="Z49" i="4"/>
  <c r="V49" i="4"/>
  <c r="U49" i="4"/>
  <c r="Y49" i="4" s="1"/>
  <c r="S49" i="4"/>
  <c r="X49" i="4" s="1"/>
  <c r="R49" i="4"/>
  <c r="Q49" i="4"/>
  <c r="P49" i="4"/>
  <c r="O49" i="4"/>
  <c r="N49" i="4"/>
  <c r="L49" i="4"/>
  <c r="K49" i="4"/>
  <c r="I49" i="4"/>
  <c r="H49" i="4"/>
  <c r="J49" i="4" s="1"/>
  <c r="G49" i="4"/>
  <c r="F49" i="4"/>
  <c r="E49" i="4"/>
  <c r="D49" i="4"/>
  <c r="Z48" i="4"/>
  <c r="V48" i="4"/>
  <c r="U48" i="4"/>
  <c r="Y48" i="4" s="1"/>
  <c r="S48" i="4"/>
  <c r="X48" i="4" s="1"/>
  <c r="R48" i="4"/>
  <c r="Q48" i="4"/>
  <c r="P48" i="4"/>
  <c r="O48" i="4"/>
  <c r="N48" i="4"/>
  <c r="L48" i="4"/>
  <c r="K48" i="4"/>
  <c r="I48" i="4"/>
  <c r="H48" i="4"/>
  <c r="J48" i="4" s="1"/>
  <c r="G48" i="4"/>
  <c r="F48" i="4"/>
  <c r="E48" i="4"/>
  <c r="D48" i="4"/>
  <c r="V47" i="4"/>
  <c r="U47" i="4"/>
  <c r="S47" i="4"/>
  <c r="R47" i="4"/>
  <c r="Q47" i="4"/>
  <c r="P47" i="4"/>
  <c r="O47" i="4"/>
  <c r="N47" i="4"/>
  <c r="L47" i="4"/>
  <c r="Z47" i="4" s="1"/>
  <c r="K47" i="4"/>
  <c r="I47" i="4"/>
  <c r="H47" i="4"/>
  <c r="J47" i="4" s="1"/>
  <c r="G47" i="4"/>
  <c r="F47" i="4"/>
  <c r="E47" i="4"/>
  <c r="D47" i="4"/>
  <c r="V46" i="4"/>
  <c r="Z46" i="4" s="1"/>
  <c r="U46" i="4"/>
  <c r="Y46" i="4" s="1"/>
  <c r="S46" i="4"/>
  <c r="R46" i="4"/>
  <c r="Q46" i="4"/>
  <c r="P46" i="4"/>
  <c r="O46" i="4"/>
  <c r="N46" i="4"/>
  <c r="L46" i="4"/>
  <c r="K46" i="4"/>
  <c r="I46" i="4"/>
  <c r="H46" i="4"/>
  <c r="J46" i="4" s="1"/>
  <c r="G46" i="4"/>
  <c r="F46" i="4"/>
  <c r="E46" i="4"/>
  <c r="D46" i="4"/>
  <c r="V45" i="4"/>
  <c r="U45" i="4"/>
  <c r="Y45" i="4" s="1"/>
  <c r="S45" i="4"/>
  <c r="X45" i="4" s="1"/>
  <c r="R45" i="4"/>
  <c r="W45" i="4" s="1"/>
  <c r="Q45" i="4"/>
  <c r="P45" i="4"/>
  <c r="O45" i="4"/>
  <c r="N45" i="4"/>
  <c r="L45" i="4"/>
  <c r="K45" i="4"/>
  <c r="I45" i="4"/>
  <c r="H45" i="4"/>
  <c r="J45" i="4" s="1"/>
  <c r="G45" i="4"/>
  <c r="F45" i="4"/>
  <c r="E45" i="4"/>
  <c r="D45" i="4"/>
  <c r="V44" i="4"/>
  <c r="U44" i="4"/>
  <c r="S44" i="4"/>
  <c r="R44" i="4"/>
  <c r="W44" i="4" s="1"/>
  <c r="Q44" i="4"/>
  <c r="P44" i="4"/>
  <c r="O44" i="4"/>
  <c r="N44" i="4"/>
  <c r="L44" i="4"/>
  <c r="K44" i="4"/>
  <c r="J44" i="4"/>
  <c r="I44" i="4"/>
  <c r="H44" i="4"/>
  <c r="G44" i="4"/>
  <c r="F44" i="4"/>
  <c r="E44" i="4"/>
  <c r="D44" i="4"/>
  <c r="V43" i="4"/>
  <c r="Z43" i="4" s="1"/>
  <c r="U43" i="4"/>
  <c r="Y43" i="4" s="1"/>
  <c r="T43" i="4"/>
  <c r="S43" i="4"/>
  <c r="R43" i="4"/>
  <c r="Q43" i="4"/>
  <c r="P43" i="4"/>
  <c r="O43" i="4"/>
  <c r="N43" i="4"/>
  <c r="L43" i="4"/>
  <c r="K43" i="4"/>
  <c r="I43" i="4"/>
  <c r="H43" i="4"/>
  <c r="J43" i="4" s="1"/>
  <c r="G43" i="4"/>
  <c r="F43" i="4"/>
  <c r="E43" i="4"/>
  <c r="D43" i="4"/>
  <c r="V42" i="4"/>
  <c r="Z42" i="4" s="1"/>
  <c r="U42" i="4"/>
  <c r="Y42" i="4" s="1"/>
  <c r="T42" i="4"/>
  <c r="S42" i="4"/>
  <c r="R42" i="4"/>
  <c r="Q42" i="4"/>
  <c r="P42" i="4"/>
  <c r="O42" i="4"/>
  <c r="N42" i="4"/>
  <c r="L42" i="4"/>
  <c r="K42" i="4"/>
  <c r="I42" i="4"/>
  <c r="H42" i="4"/>
  <c r="G42" i="4"/>
  <c r="F42" i="4"/>
  <c r="E42" i="4"/>
  <c r="D42" i="4"/>
  <c r="V41" i="4"/>
  <c r="U41" i="4"/>
  <c r="Y41" i="4" s="1"/>
  <c r="S41" i="4"/>
  <c r="X41" i="4" s="1"/>
  <c r="R41" i="4"/>
  <c r="Q41" i="4"/>
  <c r="P41" i="4"/>
  <c r="O41" i="4"/>
  <c r="N41" i="4"/>
  <c r="L41" i="4"/>
  <c r="K41" i="4"/>
  <c r="I41" i="4"/>
  <c r="H41" i="4"/>
  <c r="J41" i="4" s="1"/>
  <c r="G41" i="4"/>
  <c r="F41" i="4"/>
  <c r="E41" i="4"/>
  <c r="D41" i="4"/>
  <c r="Z40" i="4"/>
  <c r="V40" i="4"/>
  <c r="U40" i="4"/>
  <c r="S40" i="4"/>
  <c r="X40" i="4" s="1"/>
  <c r="R40" i="4"/>
  <c r="W40" i="4" s="1"/>
  <c r="Q40" i="4"/>
  <c r="P40" i="4"/>
  <c r="O40" i="4"/>
  <c r="N40" i="4"/>
  <c r="L40" i="4"/>
  <c r="K40" i="4"/>
  <c r="I40" i="4"/>
  <c r="H40" i="4"/>
  <c r="J40" i="4" s="1"/>
  <c r="G40" i="4"/>
  <c r="F40" i="4"/>
  <c r="E40" i="4"/>
  <c r="D40" i="4"/>
  <c r="Z39" i="4"/>
  <c r="Y39" i="4"/>
  <c r="X39" i="4"/>
  <c r="V39" i="4"/>
  <c r="U39" i="4"/>
  <c r="S39" i="4"/>
  <c r="R39" i="4"/>
  <c r="W39" i="4" s="1"/>
  <c r="Q39" i="4"/>
  <c r="P39" i="4"/>
  <c r="O39" i="4"/>
  <c r="N39" i="4"/>
  <c r="L39" i="4"/>
  <c r="K39" i="4"/>
  <c r="I39" i="4"/>
  <c r="H39" i="4"/>
  <c r="J39" i="4" s="1"/>
  <c r="G39" i="4"/>
  <c r="F39" i="4"/>
  <c r="E39" i="4"/>
  <c r="D39" i="4"/>
  <c r="Z38" i="4"/>
  <c r="Y38" i="4"/>
  <c r="V38" i="4"/>
  <c r="U38" i="4"/>
  <c r="S38" i="4"/>
  <c r="X38" i="4" s="1"/>
  <c r="R38" i="4"/>
  <c r="T38" i="4" s="1"/>
  <c r="Q38" i="4"/>
  <c r="P38" i="4"/>
  <c r="O38" i="4"/>
  <c r="N38" i="4"/>
  <c r="L38" i="4"/>
  <c r="K38" i="4"/>
  <c r="I38" i="4"/>
  <c r="H38" i="4"/>
  <c r="J38" i="4" s="1"/>
  <c r="G38" i="4"/>
  <c r="F38" i="4"/>
  <c r="E38" i="4"/>
  <c r="D38" i="4"/>
  <c r="Z37" i="4"/>
  <c r="Y37" i="4"/>
  <c r="V37" i="4"/>
  <c r="U37" i="4"/>
  <c r="S37" i="4"/>
  <c r="R37" i="4"/>
  <c r="Q37" i="4"/>
  <c r="P37" i="4"/>
  <c r="O37" i="4"/>
  <c r="N37" i="4"/>
  <c r="L37" i="4"/>
  <c r="K37" i="4"/>
  <c r="I37" i="4"/>
  <c r="H37" i="4"/>
  <c r="J37" i="4" s="1"/>
  <c r="G37" i="4"/>
  <c r="F37" i="4"/>
  <c r="E37" i="4"/>
  <c r="D37" i="4"/>
  <c r="Z36" i="4"/>
  <c r="V36" i="4"/>
  <c r="U36" i="4"/>
  <c r="S36" i="4"/>
  <c r="R36" i="4"/>
  <c r="Q36" i="4"/>
  <c r="P36" i="4"/>
  <c r="O36" i="4"/>
  <c r="N36" i="4"/>
  <c r="L36" i="4"/>
  <c r="K36" i="4"/>
  <c r="I36" i="4"/>
  <c r="H36" i="4"/>
  <c r="J36" i="4" s="1"/>
  <c r="G36" i="4"/>
  <c r="F36" i="4"/>
  <c r="E36" i="4"/>
  <c r="D36" i="4"/>
  <c r="V35" i="4"/>
  <c r="Z35" i="4" s="1"/>
  <c r="U35" i="4"/>
  <c r="Y35" i="4" s="1"/>
  <c r="S35" i="4"/>
  <c r="R35" i="4"/>
  <c r="Q35" i="4"/>
  <c r="P35" i="4"/>
  <c r="O35" i="4"/>
  <c r="N35" i="4"/>
  <c r="L35" i="4"/>
  <c r="K35" i="4"/>
  <c r="I35" i="4"/>
  <c r="H35" i="4"/>
  <c r="J35" i="4" s="1"/>
  <c r="G35" i="4"/>
  <c r="F35" i="4"/>
  <c r="E35" i="4"/>
  <c r="D35" i="4"/>
  <c r="V34" i="4"/>
  <c r="U34" i="4"/>
  <c r="S34" i="4"/>
  <c r="R34" i="4"/>
  <c r="W34" i="4" s="1"/>
  <c r="Q34" i="4"/>
  <c r="P34" i="4"/>
  <c r="O34" i="4"/>
  <c r="N34" i="4"/>
  <c r="L34" i="4"/>
  <c r="K34" i="4"/>
  <c r="I34" i="4"/>
  <c r="H34" i="4"/>
  <c r="J34" i="4" s="1"/>
  <c r="G34" i="4"/>
  <c r="F34" i="4"/>
  <c r="E34" i="4"/>
  <c r="D34" i="4"/>
  <c r="V33" i="4"/>
  <c r="Z33" i="4" s="1"/>
  <c r="U33" i="4"/>
  <c r="S33" i="4"/>
  <c r="R33" i="4"/>
  <c r="T33" i="4" s="1"/>
  <c r="Q33" i="4"/>
  <c r="P33" i="4"/>
  <c r="O33" i="4"/>
  <c r="N33" i="4"/>
  <c r="L33" i="4"/>
  <c r="K33" i="4"/>
  <c r="Y33" i="4" s="1"/>
  <c r="J33" i="4"/>
  <c r="I33" i="4"/>
  <c r="H33" i="4"/>
  <c r="W33" i="4" s="1"/>
  <c r="G33" i="4"/>
  <c r="F33" i="4"/>
  <c r="E33" i="4"/>
  <c r="D33" i="4"/>
  <c r="V32" i="4"/>
  <c r="Z32" i="4" s="1"/>
  <c r="U32" i="4"/>
  <c r="Y32" i="4" s="1"/>
  <c r="S32" i="4"/>
  <c r="R32" i="4"/>
  <c r="T32" i="4" s="1"/>
  <c r="Q32" i="4"/>
  <c r="P32" i="4"/>
  <c r="O32" i="4"/>
  <c r="N32" i="4"/>
  <c r="L32" i="4"/>
  <c r="K32" i="4"/>
  <c r="I32" i="4"/>
  <c r="X32" i="4" s="1"/>
  <c r="H32" i="4"/>
  <c r="G32" i="4"/>
  <c r="F32" i="4"/>
  <c r="E32" i="4"/>
  <c r="D32" i="4"/>
  <c r="V31" i="4"/>
  <c r="Z31" i="4" s="1"/>
  <c r="U31" i="4"/>
  <c r="Y31" i="4" s="1"/>
  <c r="T31" i="4"/>
  <c r="S31" i="4"/>
  <c r="R31" i="4"/>
  <c r="Q31" i="4"/>
  <c r="P31" i="4"/>
  <c r="O31" i="4"/>
  <c r="N31" i="4"/>
  <c r="L31" i="4"/>
  <c r="K31" i="4"/>
  <c r="I31" i="4"/>
  <c r="X31" i="4" s="1"/>
  <c r="H31" i="4"/>
  <c r="G31" i="4"/>
  <c r="F31" i="4"/>
  <c r="E31" i="4"/>
  <c r="D31" i="4"/>
  <c r="V30" i="4"/>
  <c r="Z30" i="4" s="1"/>
  <c r="U30" i="4"/>
  <c r="Y30" i="4" s="1"/>
  <c r="S30" i="4"/>
  <c r="R30" i="4"/>
  <c r="T30" i="4" s="1"/>
  <c r="Q30" i="4"/>
  <c r="P30" i="4"/>
  <c r="O30" i="4"/>
  <c r="N30" i="4"/>
  <c r="L30" i="4"/>
  <c r="K30" i="4"/>
  <c r="I30" i="4"/>
  <c r="H30" i="4"/>
  <c r="W30" i="4" s="1"/>
  <c r="G30" i="4"/>
  <c r="F30" i="4"/>
  <c r="E30" i="4"/>
  <c r="D30" i="4"/>
  <c r="V29" i="4"/>
  <c r="Z29" i="4" s="1"/>
  <c r="U29" i="4"/>
  <c r="T29" i="4"/>
  <c r="S29" i="4"/>
  <c r="R29" i="4"/>
  <c r="Q29" i="4"/>
  <c r="P29" i="4"/>
  <c r="O29" i="4"/>
  <c r="N29" i="4"/>
  <c r="L29" i="4"/>
  <c r="K29" i="4"/>
  <c r="I29" i="4"/>
  <c r="X29" i="4" s="1"/>
  <c r="H29" i="4"/>
  <c r="G29" i="4"/>
  <c r="F29" i="4"/>
  <c r="E29" i="4"/>
  <c r="D29" i="4"/>
  <c r="V28" i="4"/>
  <c r="Z28" i="4" s="1"/>
  <c r="U28" i="4"/>
  <c r="Y28" i="4" s="1"/>
  <c r="T28" i="4"/>
  <c r="S28" i="4"/>
  <c r="R28" i="4"/>
  <c r="Q28" i="4"/>
  <c r="P28" i="4"/>
  <c r="O28" i="4"/>
  <c r="N28" i="4"/>
  <c r="L28" i="4"/>
  <c r="K28" i="4"/>
  <c r="I28" i="4"/>
  <c r="H28" i="4"/>
  <c r="G28" i="4"/>
  <c r="F28" i="4"/>
  <c r="E28" i="4"/>
  <c r="D28" i="4"/>
  <c r="V27" i="4"/>
  <c r="U27" i="4"/>
  <c r="S27" i="4"/>
  <c r="R27" i="4"/>
  <c r="T27" i="4" s="1"/>
  <c r="Q27" i="4"/>
  <c r="P27" i="4"/>
  <c r="O27" i="4"/>
  <c r="N27" i="4"/>
  <c r="L27" i="4"/>
  <c r="K27" i="4"/>
  <c r="Y27" i="4" s="1"/>
  <c r="I27" i="4"/>
  <c r="H27" i="4"/>
  <c r="J27" i="4" s="1"/>
  <c r="G27" i="4"/>
  <c r="F27" i="4"/>
  <c r="E27" i="4"/>
  <c r="D27" i="4"/>
  <c r="V26" i="4"/>
  <c r="U26" i="4"/>
  <c r="T26" i="4"/>
  <c r="S26" i="4"/>
  <c r="R26" i="4"/>
  <c r="Q26" i="4"/>
  <c r="P26" i="4"/>
  <c r="O26" i="4"/>
  <c r="N26" i="4"/>
  <c r="L26" i="4"/>
  <c r="K26" i="4"/>
  <c r="I26" i="4"/>
  <c r="H26" i="4"/>
  <c r="J26" i="4" s="1"/>
  <c r="G26" i="4"/>
  <c r="F26" i="4"/>
  <c r="E26" i="4"/>
  <c r="D26" i="4"/>
  <c r="V25" i="4"/>
  <c r="Z25" i="4" s="1"/>
  <c r="U25" i="4"/>
  <c r="S25" i="4"/>
  <c r="X25" i="4" s="1"/>
  <c r="R25" i="4"/>
  <c r="Q25" i="4"/>
  <c r="P25" i="4"/>
  <c r="O25" i="4"/>
  <c r="N25" i="4"/>
  <c r="L25" i="4"/>
  <c r="K25" i="4"/>
  <c r="I25" i="4"/>
  <c r="H25" i="4"/>
  <c r="J25" i="4" s="1"/>
  <c r="G25" i="4"/>
  <c r="F25" i="4"/>
  <c r="E25" i="4"/>
  <c r="D25" i="4"/>
  <c r="V24" i="4"/>
  <c r="U24" i="4"/>
  <c r="S24" i="4"/>
  <c r="X24" i="4" s="1"/>
  <c r="R24" i="4"/>
  <c r="W24" i="4" s="1"/>
  <c r="Q24" i="4"/>
  <c r="P24" i="4"/>
  <c r="O24" i="4"/>
  <c r="N24" i="4"/>
  <c r="L24" i="4"/>
  <c r="K24" i="4"/>
  <c r="I24" i="4"/>
  <c r="H24" i="4"/>
  <c r="J24" i="4" s="1"/>
  <c r="G24" i="4"/>
  <c r="F24" i="4"/>
  <c r="E24" i="4"/>
  <c r="D24" i="4"/>
  <c r="V23" i="4"/>
  <c r="U23" i="4"/>
  <c r="S23" i="4"/>
  <c r="X23" i="4" s="1"/>
  <c r="R23" i="4"/>
  <c r="W23" i="4" s="1"/>
  <c r="Q23" i="4"/>
  <c r="P23" i="4"/>
  <c r="O23" i="4"/>
  <c r="N23" i="4"/>
  <c r="L23" i="4"/>
  <c r="K23" i="4"/>
  <c r="I23" i="4"/>
  <c r="H23" i="4"/>
  <c r="J23" i="4" s="1"/>
  <c r="G23" i="4"/>
  <c r="F23" i="4"/>
  <c r="E23" i="4"/>
  <c r="D23" i="4"/>
  <c r="Y22" i="4"/>
  <c r="V22" i="4"/>
  <c r="U22" i="4"/>
  <c r="S22" i="4"/>
  <c r="X22" i="4" s="1"/>
  <c r="R22" i="4"/>
  <c r="W22" i="4" s="1"/>
  <c r="Q22" i="4"/>
  <c r="P22" i="4"/>
  <c r="O22" i="4"/>
  <c r="N22" i="4"/>
  <c r="L22" i="4"/>
  <c r="K22" i="4"/>
  <c r="I22" i="4"/>
  <c r="H22" i="4"/>
  <c r="J22" i="4" s="1"/>
  <c r="G22" i="4"/>
  <c r="F22" i="4"/>
  <c r="E22" i="4"/>
  <c r="D22" i="4"/>
  <c r="X21" i="4"/>
  <c r="V21" i="4"/>
  <c r="U21" i="4"/>
  <c r="S21" i="4"/>
  <c r="R21" i="4"/>
  <c r="W21" i="4" s="1"/>
  <c r="Q21" i="4"/>
  <c r="P21" i="4"/>
  <c r="O21" i="4"/>
  <c r="N21" i="4"/>
  <c r="L21" i="4"/>
  <c r="K21" i="4"/>
  <c r="Y21" i="4" s="1"/>
  <c r="J21" i="4"/>
  <c r="I21" i="4"/>
  <c r="H21" i="4"/>
  <c r="G21" i="4"/>
  <c r="F21" i="4"/>
  <c r="E21" i="4"/>
  <c r="D21" i="4"/>
  <c r="Z20" i="4"/>
  <c r="V20" i="4"/>
  <c r="U20" i="4"/>
  <c r="Y20" i="4" s="1"/>
  <c r="S20" i="4"/>
  <c r="X20" i="4" s="1"/>
  <c r="R20" i="4"/>
  <c r="T20" i="4" s="1"/>
  <c r="Q20" i="4"/>
  <c r="P20" i="4"/>
  <c r="O20" i="4"/>
  <c r="N20" i="4"/>
  <c r="L20" i="4"/>
  <c r="K20" i="4"/>
  <c r="I20" i="4"/>
  <c r="H20" i="4"/>
  <c r="J20" i="4" s="1"/>
  <c r="G20" i="4"/>
  <c r="F20" i="4"/>
  <c r="E20" i="4"/>
  <c r="D20" i="4"/>
  <c r="V19" i="4"/>
  <c r="U19" i="4"/>
  <c r="T19" i="4"/>
  <c r="S19" i="4"/>
  <c r="R19" i="4"/>
  <c r="Q19" i="4"/>
  <c r="P19" i="4"/>
  <c r="O19" i="4"/>
  <c r="N19" i="4"/>
  <c r="L19" i="4"/>
  <c r="K19" i="4"/>
  <c r="J19" i="4"/>
  <c r="I19" i="4"/>
  <c r="H19" i="4"/>
  <c r="G19" i="4"/>
  <c r="F19" i="4"/>
  <c r="E19" i="4"/>
  <c r="D19" i="4"/>
  <c r="V18" i="4"/>
  <c r="Z18" i="4" s="1"/>
  <c r="U18" i="4"/>
  <c r="Y18" i="4" s="1"/>
  <c r="S18" i="4"/>
  <c r="X18" i="4" s="1"/>
  <c r="R18" i="4"/>
  <c r="Q18" i="4"/>
  <c r="P18" i="4"/>
  <c r="O18" i="4"/>
  <c r="N18" i="4"/>
  <c r="L18" i="4"/>
  <c r="K18" i="4"/>
  <c r="I18" i="4"/>
  <c r="H18" i="4"/>
  <c r="J18" i="4" s="1"/>
  <c r="G18" i="4"/>
  <c r="F18" i="4"/>
  <c r="E18" i="4"/>
  <c r="D18" i="4"/>
  <c r="V17" i="4"/>
  <c r="Z17" i="4" s="1"/>
  <c r="U17" i="4"/>
  <c r="Y17" i="4" s="1"/>
  <c r="S17" i="4"/>
  <c r="X17" i="4" s="1"/>
  <c r="R17" i="4"/>
  <c r="Q17" i="4"/>
  <c r="P17" i="4"/>
  <c r="O17" i="4"/>
  <c r="N17" i="4"/>
  <c r="L17" i="4"/>
  <c r="K17" i="4"/>
  <c r="I17" i="4"/>
  <c r="H17" i="4"/>
  <c r="J17" i="4" s="1"/>
  <c r="G17" i="4"/>
  <c r="F17" i="4"/>
  <c r="E17" i="4"/>
  <c r="D17" i="4"/>
  <c r="V16" i="4"/>
  <c r="U16" i="4"/>
  <c r="Y16" i="4" s="1"/>
  <c r="S16" i="4"/>
  <c r="X16" i="4" s="1"/>
  <c r="R16" i="4"/>
  <c r="Q16" i="4"/>
  <c r="P16" i="4"/>
  <c r="O16" i="4"/>
  <c r="N16" i="4"/>
  <c r="L16" i="4"/>
  <c r="Z16" i="4" s="1"/>
  <c r="K16" i="4"/>
  <c r="I16" i="4"/>
  <c r="H16" i="4"/>
  <c r="J16" i="4" s="1"/>
  <c r="G16" i="4"/>
  <c r="F16" i="4"/>
  <c r="E16" i="4"/>
  <c r="D16" i="4"/>
  <c r="Z15" i="4"/>
  <c r="Y15" i="4"/>
  <c r="V15" i="4"/>
  <c r="U15" i="4"/>
  <c r="S15" i="4"/>
  <c r="R15" i="4"/>
  <c r="T15" i="4" s="1"/>
  <c r="Q15" i="4"/>
  <c r="P15" i="4"/>
  <c r="O15" i="4"/>
  <c r="N15" i="4"/>
  <c r="L15" i="4"/>
  <c r="K15" i="4"/>
  <c r="I15" i="4"/>
  <c r="H15" i="4"/>
  <c r="J15" i="4" s="1"/>
  <c r="G15" i="4"/>
  <c r="F15" i="4"/>
  <c r="E15" i="4"/>
  <c r="D15" i="4"/>
  <c r="V14" i="4"/>
  <c r="Z14" i="4" s="1"/>
  <c r="U14" i="4"/>
  <c r="Y14" i="4" s="1"/>
  <c r="S14" i="4"/>
  <c r="R14" i="4"/>
  <c r="Q14" i="4"/>
  <c r="P14" i="4"/>
  <c r="O14" i="4"/>
  <c r="N14" i="4"/>
  <c r="L14" i="4"/>
  <c r="K14" i="4"/>
  <c r="I14" i="4"/>
  <c r="H14" i="4"/>
  <c r="J14" i="4" s="1"/>
  <c r="G14" i="4"/>
  <c r="F14" i="4"/>
  <c r="E14" i="4"/>
  <c r="D14" i="4"/>
  <c r="X13" i="4"/>
  <c r="W13" i="4"/>
  <c r="V13" i="4"/>
  <c r="Z13" i="4" s="1"/>
  <c r="U13" i="4"/>
  <c r="Y13" i="4" s="1"/>
  <c r="S13" i="4"/>
  <c r="R13" i="4"/>
  <c r="T13" i="4" s="1"/>
  <c r="Q13" i="4"/>
  <c r="P13" i="4"/>
  <c r="O13" i="4"/>
  <c r="N13" i="4"/>
  <c r="L13" i="4"/>
  <c r="K13" i="4"/>
  <c r="I13" i="4"/>
  <c r="H13" i="4"/>
  <c r="J13" i="4" s="1"/>
  <c r="G13" i="4"/>
  <c r="F13" i="4"/>
  <c r="E13" i="4"/>
  <c r="D13" i="4"/>
  <c r="W12" i="4"/>
  <c r="V12" i="4"/>
  <c r="Z12" i="4" s="1"/>
  <c r="U12" i="4"/>
  <c r="Y12" i="4" s="1"/>
  <c r="T12" i="4"/>
  <c r="S12" i="4"/>
  <c r="X12" i="4" s="1"/>
  <c r="R12" i="4"/>
  <c r="Q12" i="4"/>
  <c r="P12" i="4"/>
  <c r="O12" i="4"/>
  <c r="N12" i="4"/>
  <c r="L12" i="4"/>
  <c r="K12" i="4"/>
  <c r="J12" i="4"/>
  <c r="I12" i="4"/>
  <c r="H12" i="4"/>
  <c r="G12" i="4"/>
  <c r="F12" i="4"/>
  <c r="E12" i="4"/>
  <c r="D12" i="4"/>
  <c r="V11" i="4"/>
  <c r="U11" i="4"/>
  <c r="Y11" i="4" s="1"/>
  <c r="S11" i="4"/>
  <c r="X11" i="4" s="1"/>
  <c r="R11" i="4"/>
  <c r="T11" i="4" s="1"/>
  <c r="Q11" i="4"/>
  <c r="P11" i="4"/>
  <c r="O11" i="4"/>
  <c r="N11" i="4"/>
  <c r="L11" i="4"/>
  <c r="K11" i="4"/>
  <c r="I11" i="4"/>
  <c r="H11" i="4"/>
  <c r="J11" i="4" s="1"/>
  <c r="G11" i="4"/>
  <c r="F11" i="4"/>
  <c r="E11" i="4"/>
  <c r="D11" i="4"/>
  <c r="V10" i="4"/>
  <c r="U10" i="4"/>
  <c r="Y10" i="4" s="1"/>
  <c r="S10" i="4"/>
  <c r="R10" i="4"/>
  <c r="Q10" i="4"/>
  <c r="P10" i="4"/>
  <c r="O10" i="4"/>
  <c r="N10" i="4"/>
  <c r="L10" i="4"/>
  <c r="K10" i="4"/>
  <c r="I10" i="4"/>
  <c r="H10" i="4"/>
  <c r="J10" i="4" s="1"/>
  <c r="G10" i="4"/>
  <c r="F10" i="4"/>
  <c r="E10" i="4"/>
  <c r="D10" i="4"/>
  <c r="X9" i="4"/>
  <c r="V9" i="4"/>
  <c r="U9" i="4"/>
  <c r="S9" i="4"/>
  <c r="R9" i="4"/>
  <c r="T9" i="4" s="1"/>
  <c r="Q9" i="4"/>
  <c r="P9" i="4"/>
  <c r="O9" i="4"/>
  <c r="N9" i="4"/>
  <c r="L9" i="4"/>
  <c r="Z9" i="4" s="1"/>
  <c r="K9" i="4"/>
  <c r="I9" i="4"/>
  <c r="H9" i="4"/>
  <c r="J9" i="4" s="1"/>
  <c r="G9" i="4"/>
  <c r="F9" i="4"/>
  <c r="E9" i="4"/>
  <c r="D9" i="4"/>
  <c r="V8" i="4"/>
  <c r="U8" i="4"/>
  <c r="T8" i="4"/>
  <c r="S8" i="4"/>
  <c r="R8" i="4"/>
  <c r="W8" i="4" s="1"/>
  <c r="Q8" i="4"/>
  <c r="P8" i="4"/>
  <c r="O8" i="4"/>
  <c r="N8" i="4"/>
  <c r="L8" i="4"/>
  <c r="Z8" i="4" s="1"/>
  <c r="K8" i="4"/>
  <c r="Y8" i="4" s="1"/>
  <c r="I8" i="4"/>
  <c r="H8" i="4"/>
  <c r="J8" i="4" s="1"/>
  <c r="G8" i="4"/>
  <c r="F8" i="4"/>
  <c r="E8" i="4"/>
  <c r="D8" i="4"/>
  <c r="W7" i="4"/>
  <c r="V7" i="4"/>
  <c r="U7" i="4"/>
  <c r="T7" i="4"/>
  <c r="S7" i="4"/>
  <c r="R7" i="4"/>
  <c r="Q7" i="4"/>
  <c r="P7" i="4"/>
  <c r="O7" i="4"/>
  <c r="N7" i="4"/>
  <c r="L7" i="4"/>
  <c r="Z7" i="4" s="1"/>
  <c r="K7" i="4"/>
  <c r="I7" i="4"/>
  <c r="X7" i="4" s="1"/>
  <c r="H7" i="4"/>
  <c r="J7" i="4" s="1"/>
  <c r="G7" i="4"/>
  <c r="F7" i="4"/>
  <c r="E7" i="4"/>
  <c r="D7" i="4"/>
  <c r="W6" i="4"/>
  <c r="V6" i="4"/>
  <c r="U6" i="4"/>
  <c r="S6" i="4"/>
  <c r="R6" i="4"/>
  <c r="T6" i="4" s="1"/>
  <c r="Q6" i="4"/>
  <c r="P6" i="4"/>
  <c r="O6" i="4"/>
  <c r="N6" i="4"/>
  <c r="L6" i="4"/>
  <c r="K6" i="4"/>
  <c r="Y6" i="4" s="1"/>
  <c r="I6" i="4"/>
  <c r="X6" i="4" s="1"/>
  <c r="H6" i="4"/>
  <c r="J6" i="4" s="1"/>
  <c r="G6" i="4"/>
  <c r="F6" i="4"/>
  <c r="E6" i="4"/>
  <c r="D6" i="4"/>
  <c r="W5" i="4"/>
  <c r="V5" i="4"/>
  <c r="Z5" i="4" s="1"/>
  <c r="U5" i="4"/>
  <c r="Y5" i="4" s="1"/>
  <c r="S5" i="4"/>
  <c r="R5" i="4"/>
  <c r="T5" i="4" s="1"/>
  <c r="Q5" i="4"/>
  <c r="P5" i="4"/>
  <c r="O5" i="4"/>
  <c r="N5" i="4"/>
  <c r="L5" i="4"/>
  <c r="K5" i="4"/>
  <c r="I5" i="4"/>
  <c r="X5" i="4" s="1"/>
  <c r="H5" i="4"/>
  <c r="J5" i="4" s="1"/>
  <c r="G5" i="4"/>
  <c r="F5" i="4"/>
  <c r="E5" i="4"/>
  <c r="D5" i="4"/>
  <c r="V4" i="4"/>
  <c r="Z4" i="4" s="1"/>
  <c r="U4" i="4"/>
  <c r="S4" i="4"/>
  <c r="R4" i="4"/>
  <c r="Q4" i="4"/>
  <c r="P4" i="4"/>
  <c r="O4" i="4"/>
  <c r="N4" i="4"/>
  <c r="L4" i="4"/>
  <c r="K4" i="4"/>
  <c r="I4" i="4"/>
  <c r="H4" i="4"/>
  <c r="J4" i="4" s="1"/>
  <c r="G4" i="4"/>
  <c r="F4" i="4"/>
  <c r="E4" i="4"/>
  <c r="D4" i="4"/>
  <c r="V3" i="4"/>
  <c r="U3" i="4"/>
  <c r="S3" i="4"/>
  <c r="R3" i="4"/>
  <c r="Q3" i="4"/>
  <c r="P3" i="4"/>
  <c r="O3" i="4"/>
  <c r="N3" i="4"/>
  <c r="L3" i="4"/>
  <c r="K3" i="4"/>
  <c r="I3" i="4"/>
  <c r="H3" i="4"/>
  <c r="J3" i="4" s="1"/>
  <c r="G3" i="4"/>
  <c r="F3" i="4"/>
  <c r="E3" i="4"/>
  <c r="D3" i="4"/>
  <c r="S140" i="3"/>
  <c r="Z122" i="3"/>
  <c r="Y122" i="3"/>
  <c r="X122" i="3"/>
  <c r="W122" i="3"/>
  <c r="V122" i="3"/>
  <c r="U122" i="3"/>
  <c r="S122" i="3"/>
  <c r="R122" i="3"/>
  <c r="T122" i="3" s="1"/>
  <c r="Q122" i="3"/>
  <c r="P122" i="3"/>
  <c r="O122" i="3"/>
  <c r="N122" i="3"/>
  <c r="L122" i="3"/>
  <c r="K122" i="3"/>
  <c r="J122" i="3"/>
  <c r="I122" i="3"/>
  <c r="H122" i="3"/>
  <c r="G122" i="3"/>
  <c r="F122" i="3"/>
  <c r="E122" i="3"/>
  <c r="D122" i="3"/>
  <c r="Y121" i="3"/>
  <c r="V121" i="3"/>
  <c r="U121" i="3"/>
  <c r="T121" i="3"/>
  <c r="S121" i="3"/>
  <c r="R121" i="3"/>
  <c r="W121" i="3" s="1"/>
  <c r="Q121" i="3"/>
  <c r="P121" i="3"/>
  <c r="O121" i="3"/>
  <c r="N121" i="3"/>
  <c r="L121" i="3"/>
  <c r="Z121" i="3" s="1"/>
  <c r="K121" i="3"/>
  <c r="J121" i="3"/>
  <c r="I121" i="3"/>
  <c r="H121" i="3"/>
  <c r="G121" i="3"/>
  <c r="F121" i="3"/>
  <c r="E121" i="3"/>
  <c r="D121" i="3"/>
  <c r="V120" i="3"/>
  <c r="U120" i="3"/>
  <c r="S120" i="3"/>
  <c r="R120" i="3"/>
  <c r="W120" i="3" s="1"/>
  <c r="Q120" i="3"/>
  <c r="P120" i="3"/>
  <c r="O120" i="3"/>
  <c r="N120" i="3"/>
  <c r="L120" i="3"/>
  <c r="K120" i="3"/>
  <c r="J120" i="3"/>
  <c r="I120" i="3"/>
  <c r="H120" i="3"/>
  <c r="G120" i="3"/>
  <c r="F120" i="3"/>
  <c r="E120" i="3"/>
  <c r="D120" i="3"/>
  <c r="V119" i="3"/>
  <c r="Z119" i="3" s="1"/>
  <c r="U119" i="3"/>
  <c r="Y119" i="3" s="1"/>
  <c r="S119" i="3"/>
  <c r="X119" i="3" s="1"/>
  <c r="R119" i="3"/>
  <c r="Q119" i="3"/>
  <c r="P119" i="3"/>
  <c r="O119" i="3"/>
  <c r="N119" i="3"/>
  <c r="L119" i="3"/>
  <c r="K119" i="3"/>
  <c r="I119" i="3"/>
  <c r="H119" i="3"/>
  <c r="J119" i="3" s="1"/>
  <c r="G119" i="3"/>
  <c r="F119" i="3"/>
  <c r="E119" i="3"/>
  <c r="D119" i="3"/>
  <c r="Y118" i="3"/>
  <c r="X118" i="3"/>
  <c r="V118" i="3"/>
  <c r="Z118" i="3" s="1"/>
  <c r="U118" i="3"/>
  <c r="S118" i="3"/>
  <c r="R118" i="3"/>
  <c r="Q118" i="3"/>
  <c r="P118" i="3"/>
  <c r="O118" i="3"/>
  <c r="N118" i="3"/>
  <c r="L118" i="3"/>
  <c r="K118" i="3"/>
  <c r="J118" i="3"/>
  <c r="I118" i="3"/>
  <c r="H118" i="3"/>
  <c r="G118" i="3"/>
  <c r="F118" i="3"/>
  <c r="E118" i="3"/>
  <c r="D118" i="3"/>
  <c r="Z117" i="3"/>
  <c r="Y117" i="3"/>
  <c r="W117" i="3"/>
  <c r="V117" i="3"/>
  <c r="U117" i="3"/>
  <c r="T117" i="3"/>
  <c r="S117" i="3"/>
  <c r="X117" i="3" s="1"/>
  <c r="R117" i="3"/>
  <c r="Q117" i="3"/>
  <c r="P117" i="3"/>
  <c r="O117" i="3"/>
  <c r="N117" i="3"/>
  <c r="L117" i="3"/>
  <c r="K117" i="3"/>
  <c r="J117" i="3"/>
  <c r="I117" i="3"/>
  <c r="H117" i="3"/>
  <c r="G117" i="3"/>
  <c r="F117" i="3"/>
  <c r="E117" i="3"/>
  <c r="D117" i="3"/>
  <c r="W116" i="3"/>
  <c r="V116" i="3"/>
  <c r="Z116" i="3" s="1"/>
  <c r="U116" i="3"/>
  <c r="Y116" i="3" s="1"/>
  <c r="S116" i="3"/>
  <c r="R116" i="3"/>
  <c r="T116" i="3" s="1"/>
  <c r="Q116" i="3"/>
  <c r="P116" i="3"/>
  <c r="O116" i="3"/>
  <c r="N116" i="3"/>
  <c r="L116" i="3"/>
  <c r="K116" i="3"/>
  <c r="I116" i="3"/>
  <c r="X116" i="3" s="1"/>
  <c r="H116" i="3"/>
  <c r="J116" i="3" s="1"/>
  <c r="G116" i="3"/>
  <c r="F116" i="3"/>
  <c r="E116" i="3"/>
  <c r="D116" i="3"/>
  <c r="V115" i="3"/>
  <c r="Z115" i="3" s="1"/>
  <c r="U115" i="3"/>
  <c r="S115" i="3"/>
  <c r="R115" i="3"/>
  <c r="T115" i="3" s="1"/>
  <c r="Q115" i="3"/>
  <c r="P115" i="3"/>
  <c r="O115" i="3"/>
  <c r="N115" i="3"/>
  <c r="L115" i="3"/>
  <c r="K115" i="3"/>
  <c r="I115" i="3"/>
  <c r="X115" i="3" s="1"/>
  <c r="H115" i="3"/>
  <c r="J115" i="3" s="1"/>
  <c r="G115" i="3"/>
  <c r="F115" i="3"/>
  <c r="E115" i="3"/>
  <c r="D115" i="3"/>
  <c r="Y114" i="3"/>
  <c r="V114" i="3"/>
  <c r="Z114" i="3" s="1"/>
  <c r="U114" i="3"/>
  <c r="S114" i="3"/>
  <c r="X114" i="3" s="1"/>
  <c r="R114" i="3"/>
  <c r="T114" i="3" s="1"/>
  <c r="Q114" i="3"/>
  <c r="P114" i="3"/>
  <c r="O114" i="3"/>
  <c r="N114" i="3"/>
  <c r="L114" i="3"/>
  <c r="K114" i="3"/>
  <c r="J114" i="3"/>
  <c r="I114" i="3"/>
  <c r="H114" i="3"/>
  <c r="G114" i="3"/>
  <c r="F114" i="3"/>
  <c r="E114" i="3"/>
  <c r="D114" i="3"/>
  <c r="Y113" i="3"/>
  <c r="V113" i="3"/>
  <c r="U113" i="3"/>
  <c r="T113" i="3"/>
  <c r="S113" i="3"/>
  <c r="X113" i="3" s="1"/>
  <c r="R113" i="3"/>
  <c r="W113" i="3" s="1"/>
  <c r="Q113" i="3"/>
  <c r="P113" i="3"/>
  <c r="O113" i="3"/>
  <c r="N113" i="3"/>
  <c r="L113" i="3"/>
  <c r="K113" i="3"/>
  <c r="I113" i="3"/>
  <c r="H113" i="3"/>
  <c r="J113" i="3" s="1"/>
  <c r="G113" i="3"/>
  <c r="F113" i="3"/>
  <c r="E113" i="3"/>
  <c r="D113" i="3"/>
  <c r="W112" i="3"/>
  <c r="V112" i="3"/>
  <c r="Z112" i="3" s="1"/>
  <c r="U112" i="3"/>
  <c r="Y112" i="3" s="1"/>
  <c r="T112" i="3"/>
  <c r="S112" i="3"/>
  <c r="X112" i="3" s="1"/>
  <c r="R112" i="3"/>
  <c r="Q112" i="3"/>
  <c r="P112" i="3"/>
  <c r="O112" i="3"/>
  <c r="N112" i="3"/>
  <c r="L112" i="3"/>
  <c r="K112" i="3"/>
  <c r="I112" i="3"/>
  <c r="H112" i="3"/>
  <c r="J112" i="3" s="1"/>
  <c r="G112" i="3"/>
  <c r="F112" i="3"/>
  <c r="E112" i="3"/>
  <c r="D112" i="3"/>
  <c r="Z111" i="3"/>
  <c r="X111" i="3"/>
  <c r="W111" i="3"/>
  <c r="V111" i="3"/>
  <c r="U111" i="3"/>
  <c r="S111" i="3"/>
  <c r="R111" i="3"/>
  <c r="T111" i="3" s="1"/>
  <c r="Q111" i="3"/>
  <c r="P111" i="3"/>
  <c r="O111" i="3"/>
  <c r="N111" i="3"/>
  <c r="L111" i="3"/>
  <c r="K111" i="3"/>
  <c r="Y111" i="3" s="1"/>
  <c r="I111" i="3"/>
  <c r="H111" i="3"/>
  <c r="J111" i="3" s="1"/>
  <c r="G111" i="3"/>
  <c r="F111" i="3"/>
  <c r="E111" i="3"/>
  <c r="D111" i="3"/>
  <c r="Y110" i="3"/>
  <c r="V110" i="3"/>
  <c r="U110" i="3"/>
  <c r="T110" i="3"/>
  <c r="S110" i="3"/>
  <c r="R110" i="3"/>
  <c r="W110" i="3" s="1"/>
  <c r="Q110" i="3"/>
  <c r="P110" i="3"/>
  <c r="O110" i="3"/>
  <c r="N110" i="3"/>
  <c r="L110" i="3"/>
  <c r="Z110" i="3" s="1"/>
  <c r="K110" i="3"/>
  <c r="I110" i="3"/>
  <c r="H110" i="3"/>
  <c r="J110" i="3" s="1"/>
  <c r="G110" i="3"/>
  <c r="F110" i="3"/>
  <c r="E110" i="3"/>
  <c r="D110" i="3"/>
  <c r="V109" i="3"/>
  <c r="U109" i="3"/>
  <c r="Y109" i="3" s="1"/>
  <c r="S109" i="3"/>
  <c r="X109" i="3" s="1"/>
  <c r="R109" i="3"/>
  <c r="Q109" i="3"/>
  <c r="P109" i="3"/>
  <c r="O109" i="3"/>
  <c r="N109" i="3"/>
  <c r="L109" i="3"/>
  <c r="K109" i="3"/>
  <c r="J109" i="3"/>
  <c r="I109" i="3"/>
  <c r="I155" i="3" s="1"/>
  <c r="H109" i="3"/>
  <c r="G109" i="3"/>
  <c r="F109" i="3"/>
  <c r="E109" i="3"/>
  <c r="D109" i="3"/>
  <c r="V108" i="3"/>
  <c r="U108" i="3"/>
  <c r="Y108" i="3" s="1"/>
  <c r="S108" i="3"/>
  <c r="R108" i="3"/>
  <c r="T108" i="3" s="1"/>
  <c r="Q108" i="3"/>
  <c r="P108" i="3"/>
  <c r="O108" i="3"/>
  <c r="N108" i="3"/>
  <c r="L108" i="3"/>
  <c r="K108" i="3"/>
  <c r="I108" i="3"/>
  <c r="X108" i="3" s="1"/>
  <c r="H108" i="3"/>
  <c r="J108" i="3" s="1"/>
  <c r="G108" i="3"/>
  <c r="F108" i="3"/>
  <c r="E108" i="3"/>
  <c r="D108" i="3"/>
  <c r="Z107" i="3"/>
  <c r="Y107" i="3"/>
  <c r="V107" i="3"/>
  <c r="U107" i="3"/>
  <c r="S107" i="3"/>
  <c r="R107" i="3"/>
  <c r="Q107" i="3"/>
  <c r="P107" i="3"/>
  <c r="O107" i="3"/>
  <c r="N107" i="3"/>
  <c r="L107" i="3"/>
  <c r="K107" i="3"/>
  <c r="J107" i="3"/>
  <c r="I107" i="3"/>
  <c r="H107" i="3"/>
  <c r="G107" i="3"/>
  <c r="F107" i="3"/>
  <c r="E107" i="3"/>
  <c r="D107" i="3"/>
  <c r="W106" i="3"/>
  <c r="V106" i="3"/>
  <c r="U106" i="3"/>
  <c r="Y106" i="3" s="1"/>
  <c r="T106" i="3"/>
  <c r="S106" i="3"/>
  <c r="X106" i="3" s="1"/>
  <c r="R106" i="3"/>
  <c r="Q106" i="3"/>
  <c r="P106" i="3"/>
  <c r="O106" i="3"/>
  <c r="N106" i="3"/>
  <c r="L106" i="3"/>
  <c r="K106" i="3"/>
  <c r="J106" i="3"/>
  <c r="I106" i="3"/>
  <c r="H106" i="3"/>
  <c r="G106" i="3"/>
  <c r="F106" i="3"/>
  <c r="E106" i="3"/>
  <c r="D106" i="3"/>
  <c r="Y105" i="3"/>
  <c r="W105" i="3"/>
  <c r="V105" i="3"/>
  <c r="U105" i="3"/>
  <c r="S105" i="3"/>
  <c r="R105" i="3"/>
  <c r="T105" i="3" s="1"/>
  <c r="Q105" i="3"/>
  <c r="P105" i="3"/>
  <c r="O105" i="3"/>
  <c r="N105" i="3"/>
  <c r="L105" i="3"/>
  <c r="K105" i="3"/>
  <c r="I105" i="3"/>
  <c r="X105" i="3" s="1"/>
  <c r="H105" i="3"/>
  <c r="J105" i="3" s="1"/>
  <c r="G105" i="3"/>
  <c r="F105" i="3"/>
  <c r="E105" i="3"/>
  <c r="D105" i="3"/>
  <c r="Z104" i="3"/>
  <c r="V104" i="3"/>
  <c r="U104" i="3"/>
  <c r="S104" i="3"/>
  <c r="R104" i="3"/>
  <c r="T104" i="3" s="1"/>
  <c r="Q104" i="3"/>
  <c r="P104" i="3"/>
  <c r="O104" i="3"/>
  <c r="N104" i="3"/>
  <c r="L104" i="3"/>
  <c r="K104" i="3"/>
  <c r="Y104" i="3" s="1"/>
  <c r="J104" i="3"/>
  <c r="I104" i="3"/>
  <c r="X104" i="3" s="1"/>
  <c r="H104" i="3"/>
  <c r="W104" i="3" s="1"/>
  <c r="G104" i="3"/>
  <c r="F104" i="3"/>
  <c r="E104" i="3"/>
  <c r="D104" i="3"/>
  <c r="Y103" i="3"/>
  <c r="V103" i="3"/>
  <c r="Z103" i="3" s="1"/>
  <c r="U103" i="3"/>
  <c r="T103" i="3"/>
  <c r="S103" i="3"/>
  <c r="X103" i="3" s="1"/>
  <c r="R103" i="3"/>
  <c r="W103" i="3" s="1"/>
  <c r="Q103" i="3"/>
  <c r="P103" i="3"/>
  <c r="O103" i="3"/>
  <c r="N103" i="3"/>
  <c r="L103" i="3"/>
  <c r="K103" i="3"/>
  <c r="J103" i="3"/>
  <c r="I103" i="3"/>
  <c r="H103" i="3"/>
  <c r="G103" i="3"/>
  <c r="F103" i="3"/>
  <c r="E103" i="3"/>
  <c r="D103" i="3"/>
  <c r="V102" i="3"/>
  <c r="U102" i="3"/>
  <c r="Y102" i="3" s="1"/>
  <c r="S102" i="3"/>
  <c r="X102" i="3" s="1"/>
  <c r="R102" i="3"/>
  <c r="Q102" i="3"/>
  <c r="P102" i="3"/>
  <c r="O102" i="3"/>
  <c r="N102" i="3"/>
  <c r="L102" i="3"/>
  <c r="K102" i="3"/>
  <c r="I102" i="3"/>
  <c r="H102" i="3"/>
  <c r="J102" i="3" s="1"/>
  <c r="G102" i="3"/>
  <c r="F102" i="3"/>
  <c r="E102" i="3"/>
  <c r="D102" i="3"/>
  <c r="X101" i="3"/>
  <c r="V101" i="3"/>
  <c r="Z101" i="3" s="1"/>
  <c r="U101" i="3"/>
  <c r="Y101" i="3" s="1"/>
  <c r="S101" i="3"/>
  <c r="R101" i="3"/>
  <c r="Q101" i="3"/>
  <c r="P101" i="3"/>
  <c r="O101" i="3"/>
  <c r="N101" i="3"/>
  <c r="L101" i="3"/>
  <c r="K101" i="3"/>
  <c r="I101" i="3"/>
  <c r="H101" i="3"/>
  <c r="J101" i="3" s="1"/>
  <c r="G101" i="3"/>
  <c r="F101" i="3"/>
  <c r="E101" i="3"/>
  <c r="D101" i="3"/>
  <c r="Z100" i="3"/>
  <c r="Y100" i="3"/>
  <c r="V100" i="3"/>
  <c r="U100" i="3"/>
  <c r="S100" i="3"/>
  <c r="X100" i="3" s="1"/>
  <c r="R100" i="3"/>
  <c r="Q100" i="3"/>
  <c r="P100" i="3"/>
  <c r="O100" i="3"/>
  <c r="N100" i="3"/>
  <c r="L100" i="3"/>
  <c r="K100" i="3"/>
  <c r="I100" i="3"/>
  <c r="H100" i="3"/>
  <c r="J100" i="3" s="1"/>
  <c r="G100" i="3"/>
  <c r="F100" i="3"/>
  <c r="E100" i="3"/>
  <c r="D100" i="3"/>
  <c r="Z99" i="3"/>
  <c r="Y99" i="3"/>
  <c r="V99" i="3"/>
  <c r="U99" i="3"/>
  <c r="T99" i="3"/>
  <c r="S99" i="3"/>
  <c r="X99" i="3" s="1"/>
  <c r="R99" i="3"/>
  <c r="Q99" i="3"/>
  <c r="P99" i="3"/>
  <c r="O99" i="3"/>
  <c r="N99" i="3"/>
  <c r="L99" i="3"/>
  <c r="K99" i="3"/>
  <c r="J99" i="3"/>
  <c r="I99" i="3"/>
  <c r="H99" i="3"/>
  <c r="G99" i="3"/>
  <c r="F99" i="3"/>
  <c r="E99" i="3"/>
  <c r="D99" i="3"/>
  <c r="V98" i="3"/>
  <c r="Z98" i="3" s="1"/>
  <c r="U98" i="3"/>
  <c r="S98" i="3"/>
  <c r="X98" i="3" s="1"/>
  <c r="R98" i="3"/>
  <c r="Q98" i="3"/>
  <c r="P98" i="3"/>
  <c r="O98" i="3"/>
  <c r="N98" i="3"/>
  <c r="L98" i="3"/>
  <c r="K98" i="3"/>
  <c r="I98" i="3"/>
  <c r="H98" i="3"/>
  <c r="J98" i="3" s="1"/>
  <c r="G98" i="3"/>
  <c r="F98" i="3"/>
  <c r="E98" i="3"/>
  <c r="D98" i="3"/>
  <c r="V97" i="3"/>
  <c r="Z97" i="3" s="1"/>
  <c r="U97" i="3"/>
  <c r="Y97" i="3" s="1"/>
  <c r="S97" i="3"/>
  <c r="R97" i="3"/>
  <c r="Q97" i="3"/>
  <c r="P97" i="3"/>
  <c r="O97" i="3"/>
  <c r="N97" i="3"/>
  <c r="L97" i="3"/>
  <c r="K97" i="3"/>
  <c r="I97" i="3"/>
  <c r="X97" i="3" s="1"/>
  <c r="H97" i="3"/>
  <c r="J97" i="3" s="1"/>
  <c r="G97" i="3"/>
  <c r="F97" i="3"/>
  <c r="E97" i="3"/>
  <c r="D97" i="3"/>
  <c r="Y96" i="3"/>
  <c r="V96" i="3"/>
  <c r="Z96" i="3" s="1"/>
  <c r="U96" i="3"/>
  <c r="T96" i="3"/>
  <c r="S96" i="3"/>
  <c r="X96" i="3" s="1"/>
  <c r="R96" i="3"/>
  <c r="W96" i="3" s="1"/>
  <c r="Q96" i="3"/>
  <c r="P96" i="3"/>
  <c r="O96" i="3"/>
  <c r="N96" i="3"/>
  <c r="L96" i="3"/>
  <c r="K96" i="3"/>
  <c r="J96" i="3"/>
  <c r="I96" i="3"/>
  <c r="H96" i="3"/>
  <c r="G96" i="3"/>
  <c r="F96" i="3"/>
  <c r="E96" i="3"/>
  <c r="D96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L95" i="3"/>
  <c r="K95" i="3"/>
  <c r="J95" i="3"/>
  <c r="I95" i="3"/>
  <c r="H95" i="3"/>
  <c r="G95" i="3"/>
  <c r="F95" i="3"/>
  <c r="E95" i="3"/>
  <c r="D95" i="3"/>
  <c r="Y94" i="3"/>
  <c r="X94" i="3"/>
  <c r="V94" i="3"/>
  <c r="U94" i="3"/>
  <c r="S94" i="3"/>
  <c r="R94" i="3"/>
  <c r="T94" i="3" s="1"/>
  <c r="Q94" i="3"/>
  <c r="P94" i="3"/>
  <c r="O94" i="3"/>
  <c r="N94" i="3"/>
  <c r="L94" i="3"/>
  <c r="Z94" i="3" s="1"/>
  <c r="K94" i="3"/>
  <c r="I94" i="3"/>
  <c r="H94" i="3"/>
  <c r="J94" i="3" s="1"/>
  <c r="G94" i="3"/>
  <c r="F94" i="3"/>
  <c r="E94" i="3"/>
  <c r="D94" i="3"/>
  <c r="Z93" i="3"/>
  <c r="Y93" i="3"/>
  <c r="X93" i="3"/>
  <c r="V93" i="3"/>
  <c r="U93" i="3"/>
  <c r="S93" i="3"/>
  <c r="R93" i="3"/>
  <c r="T93" i="3" s="1"/>
  <c r="Q93" i="3"/>
  <c r="P93" i="3"/>
  <c r="O93" i="3"/>
  <c r="N93" i="3"/>
  <c r="L93" i="3"/>
  <c r="K93" i="3"/>
  <c r="I93" i="3"/>
  <c r="H93" i="3"/>
  <c r="G93" i="3"/>
  <c r="F93" i="3"/>
  <c r="E93" i="3"/>
  <c r="D93" i="3"/>
  <c r="Z92" i="3"/>
  <c r="Y92" i="3"/>
  <c r="V92" i="3"/>
  <c r="U92" i="3"/>
  <c r="T92" i="3"/>
  <c r="S92" i="3"/>
  <c r="R92" i="3"/>
  <c r="Q92" i="3"/>
  <c r="P92" i="3"/>
  <c r="O92" i="3"/>
  <c r="N92" i="3"/>
  <c r="L92" i="3"/>
  <c r="K92" i="3"/>
  <c r="I92" i="3"/>
  <c r="H92" i="3"/>
  <c r="J92" i="3" s="1"/>
  <c r="G92" i="3"/>
  <c r="F92" i="3"/>
  <c r="E92" i="3"/>
  <c r="D92" i="3"/>
  <c r="V91" i="3"/>
  <c r="U91" i="3"/>
  <c r="Y91" i="3" s="1"/>
  <c r="T91" i="3"/>
  <c r="S91" i="3"/>
  <c r="R91" i="3"/>
  <c r="W91" i="3" s="1"/>
  <c r="Q91" i="3"/>
  <c r="P91" i="3"/>
  <c r="O91" i="3"/>
  <c r="N91" i="3"/>
  <c r="L91" i="3"/>
  <c r="K91" i="3"/>
  <c r="I91" i="3"/>
  <c r="H91" i="3"/>
  <c r="J91" i="3" s="1"/>
  <c r="G91" i="3"/>
  <c r="F91" i="3"/>
  <c r="E91" i="3"/>
  <c r="D91" i="3"/>
  <c r="W90" i="3"/>
  <c r="V90" i="3"/>
  <c r="Z90" i="3" s="1"/>
  <c r="U90" i="3"/>
  <c r="Y90" i="3" s="1"/>
  <c r="S90" i="3"/>
  <c r="X90" i="3" s="1"/>
  <c r="R90" i="3"/>
  <c r="T90" i="3" s="1"/>
  <c r="Q90" i="3"/>
  <c r="P90" i="3"/>
  <c r="O90" i="3"/>
  <c r="N90" i="3"/>
  <c r="L90" i="3"/>
  <c r="K90" i="3"/>
  <c r="I90" i="3"/>
  <c r="H90" i="3"/>
  <c r="J90" i="3" s="1"/>
  <c r="G90" i="3"/>
  <c r="F90" i="3"/>
  <c r="E90" i="3"/>
  <c r="D90" i="3"/>
  <c r="X89" i="3"/>
  <c r="V89" i="3"/>
  <c r="Z89" i="3" s="1"/>
  <c r="U89" i="3"/>
  <c r="Y89" i="3" s="1"/>
  <c r="T89" i="3"/>
  <c r="S89" i="3"/>
  <c r="R89" i="3"/>
  <c r="Q89" i="3"/>
  <c r="P89" i="3"/>
  <c r="O89" i="3"/>
  <c r="N89" i="3"/>
  <c r="L89" i="3"/>
  <c r="K89" i="3"/>
  <c r="J89" i="3"/>
  <c r="I89" i="3"/>
  <c r="H89" i="3"/>
  <c r="G89" i="3"/>
  <c r="F89" i="3"/>
  <c r="E89" i="3"/>
  <c r="D89" i="3"/>
  <c r="Z88" i="3"/>
  <c r="W88" i="3"/>
  <c r="V88" i="3"/>
  <c r="U88" i="3"/>
  <c r="Y88" i="3" s="1"/>
  <c r="T88" i="3"/>
  <c r="S88" i="3"/>
  <c r="R88" i="3"/>
  <c r="Q88" i="3"/>
  <c r="P88" i="3"/>
  <c r="O88" i="3"/>
  <c r="N88" i="3"/>
  <c r="L88" i="3"/>
  <c r="K88" i="3"/>
  <c r="J88" i="3"/>
  <c r="I88" i="3"/>
  <c r="X88" i="3" s="1"/>
  <c r="H88" i="3"/>
  <c r="G88" i="3"/>
  <c r="F88" i="3"/>
  <c r="E88" i="3"/>
  <c r="D88" i="3"/>
  <c r="V87" i="3"/>
  <c r="U87" i="3"/>
  <c r="Y87" i="3" s="1"/>
  <c r="S87" i="3"/>
  <c r="X87" i="3" s="1"/>
  <c r="R87" i="3"/>
  <c r="Q87" i="3"/>
  <c r="P87" i="3"/>
  <c r="O87" i="3"/>
  <c r="N87" i="3"/>
  <c r="L87" i="3"/>
  <c r="K87" i="3"/>
  <c r="I87" i="3"/>
  <c r="H87" i="3"/>
  <c r="J87" i="3" s="1"/>
  <c r="G87" i="3"/>
  <c r="F87" i="3"/>
  <c r="E87" i="3"/>
  <c r="D87" i="3"/>
  <c r="V86" i="3"/>
  <c r="U86" i="3"/>
  <c r="S86" i="3"/>
  <c r="R86" i="3"/>
  <c r="Q86" i="3"/>
  <c r="P86" i="3"/>
  <c r="O86" i="3"/>
  <c r="N86" i="3"/>
  <c r="L86" i="3"/>
  <c r="K86" i="3"/>
  <c r="J86" i="3"/>
  <c r="I86" i="3"/>
  <c r="X86" i="3" s="1"/>
  <c r="H86" i="3"/>
  <c r="G86" i="3"/>
  <c r="F86" i="3"/>
  <c r="E86" i="3"/>
  <c r="D86" i="3"/>
  <c r="V85" i="3"/>
  <c r="U85" i="3"/>
  <c r="S85" i="3"/>
  <c r="X85" i="3" s="1"/>
  <c r="R85" i="3"/>
  <c r="Q85" i="3"/>
  <c r="P85" i="3"/>
  <c r="O85" i="3"/>
  <c r="N85" i="3"/>
  <c r="L85" i="3"/>
  <c r="K85" i="3"/>
  <c r="Y85" i="3" s="1"/>
  <c r="J85" i="3"/>
  <c r="I85" i="3"/>
  <c r="H85" i="3"/>
  <c r="G85" i="3"/>
  <c r="F85" i="3"/>
  <c r="E85" i="3"/>
  <c r="D85" i="3"/>
  <c r="Y84" i="3"/>
  <c r="V84" i="3"/>
  <c r="U84" i="3"/>
  <c r="S84" i="3"/>
  <c r="X84" i="3" s="1"/>
  <c r="R84" i="3"/>
  <c r="Q84" i="3"/>
  <c r="P84" i="3"/>
  <c r="O84" i="3"/>
  <c r="N84" i="3"/>
  <c r="L84" i="3"/>
  <c r="K84" i="3"/>
  <c r="I84" i="3"/>
  <c r="H84" i="3"/>
  <c r="J84" i="3" s="1"/>
  <c r="G84" i="3"/>
  <c r="F84" i="3"/>
  <c r="E84" i="3"/>
  <c r="D84" i="3"/>
  <c r="Y83" i="3"/>
  <c r="X83" i="3"/>
  <c r="W83" i="3"/>
  <c r="V83" i="3"/>
  <c r="Z83" i="3" s="1"/>
  <c r="U83" i="3"/>
  <c r="S83" i="3"/>
  <c r="R83" i="3"/>
  <c r="T83" i="3" s="1"/>
  <c r="Q83" i="3"/>
  <c r="P83" i="3"/>
  <c r="O83" i="3"/>
  <c r="N83" i="3"/>
  <c r="L83" i="3"/>
  <c r="K83" i="3"/>
  <c r="I83" i="3"/>
  <c r="H83" i="3"/>
  <c r="J83" i="3" s="1"/>
  <c r="G83" i="3"/>
  <c r="F83" i="3"/>
  <c r="E83" i="3"/>
  <c r="D83" i="3"/>
  <c r="Z82" i="3"/>
  <c r="Y82" i="3"/>
  <c r="X82" i="3"/>
  <c r="W82" i="3"/>
  <c r="V82" i="3"/>
  <c r="U82" i="3"/>
  <c r="S82" i="3"/>
  <c r="R82" i="3"/>
  <c r="T82" i="3" s="1"/>
  <c r="Q82" i="3"/>
  <c r="P82" i="3"/>
  <c r="O82" i="3"/>
  <c r="N82" i="3"/>
  <c r="L82" i="3"/>
  <c r="K82" i="3"/>
  <c r="I82" i="3"/>
  <c r="H82" i="3"/>
  <c r="J82" i="3" s="1"/>
  <c r="G82" i="3"/>
  <c r="F82" i="3"/>
  <c r="E82" i="3"/>
  <c r="D82" i="3"/>
  <c r="Z81" i="3"/>
  <c r="Y81" i="3"/>
  <c r="V81" i="3"/>
  <c r="U81" i="3"/>
  <c r="T81" i="3"/>
  <c r="S81" i="3"/>
  <c r="X81" i="3" s="1"/>
  <c r="R81" i="3"/>
  <c r="W81" i="3" s="1"/>
  <c r="Q81" i="3"/>
  <c r="P81" i="3"/>
  <c r="O81" i="3"/>
  <c r="N81" i="3"/>
  <c r="L81" i="3"/>
  <c r="K81" i="3"/>
  <c r="I81" i="3"/>
  <c r="H81" i="3"/>
  <c r="J81" i="3" s="1"/>
  <c r="G81" i="3"/>
  <c r="F81" i="3"/>
  <c r="E81" i="3"/>
  <c r="D81" i="3"/>
  <c r="V80" i="3"/>
  <c r="Z80" i="3" s="1"/>
  <c r="U80" i="3"/>
  <c r="Y80" i="3" s="1"/>
  <c r="S80" i="3"/>
  <c r="X80" i="3" s="1"/>
  <c r="R80" i="3"/>
  <c r="Q80" i="3"/>
  <c r="P80" i="3"/>
  <c r="O80" i="3"/>
  <c r="N80" i="3"/>
  <c r="L80" i="3"/>
  <c r="K80" i="3"/>
  <c r="J80" i="3"/>
  <c r="I80" i="3"/>
  <c r="H80" i="3"/>
  <c r="G80" i="3"/>
  <c r="F80" i="3"/>
  <c r="E80" i="3"/>
  <c r="D80" i="3"/>
  <c r="Z79" i="3"/>
  <c r="X79" i="3"/>
  <c r="W79" i="3"/>
  <c r="V79" i="3"/>
  <c r="U79" i="3"/>
  <c r="Y79" i="3" s="1"/>
  <c r="S79" i="3"/>
  <c r="R79" i="3"/>
  <c r="T79" i="3" s="1"/>
  <c r="Q79" i="3"/>
  <c r="P79" i="3"/>
  <c r="O79" i="3"/>
  <c r="N79" i="3"/>
  <c r="L79" i="3"/>
  <c r="K79" i="3"/>
  <c r="I79" i="3"/>
  <c r="H79" i="3"/>
  <c r="J79" i="3" s="1"/>
  <c r="G79" i="3"/>
  <c r="F79" i="3"/>
  <c r="E79" i="3"/>
  <c r="D79" i="3"/>
  <c r="Z78" i="3"/>
  <c r="Y78" i="3"/>
  <c r="W78" i="3"/>
  <c r="V78" i="3"/>
  <c r="U78" i="3"/>
  <c r="S78" i="3"/>
  <c r="X78" i="3" s="1"/>
  <c r="R78" i="3"/>
  <c r="T78" i="3" s="1"/>
  <c r="Q78" i="3"/>
  <c r="P78" i="3"/>
  <c r="O78" i="3"/>
  <c r="N78" i="3"/>
  <c r="L78" i="3"/>
  <c r="K78" i="3"/>
  <c r="I78" i="3"/>
  <c r="H78" i="3"/>
  <c r="J78" i="3" s="1"/>
  <c r="G78" i="3"/>
  <c r="F78" i="3"/>
  <c r="E78" i="3"/>
  <c r="D78" i="3"/>
  <c r="Z77" i="3"/>
  <c r="Y77" i="3"/>
  <c r="W77" i="3"/>
  <c r="V77" i="3"/>
  <c r="U77" i="3"/>
  <c r="T77" i="3"/>
  <c r="S77" i="3"/>
  <c r="X77" i="3" s="1"/>
  <c r="R77" i="3"/>
  <c r="Q77" i="3"/>
  <c r="P77" i="3"/>
  <c r="O77" i="3"/>
  <c r="N77" i="3"/>
  <c r="L77" i="3"/>
  <c r="K77" i="3"/>
  <c r="J77" i="3"/>
  <c r="I77" i="3"/>
  <c r="H77" i="3"/>
  <c r="G77" i="3"/>
  <c r="F77" i="3"/>
  <c r="E77" i="3"/>
  <c r="D77" i="3"/>
  <c r="W76" i="3"/>
  <c r="V76" i="3"/>
  <c r="Z76" i="3" s="1"/>
  <c r="U76" i="3"/>
  <c r="Y76" i="3" s="1"/>
  <c r="S76" i="3"/>
  <c r="R76" i="3"/>
  <c r="T76" i="3" s="1"/>
  <c r="Q76" i="3"/>
  <c r="P76" i="3"/>
  <c r="O76" i="3"/>
  <c r="N76" i="3"/>
  <c r="L76" i="3"/>
  <c r="K76" i="3"/>
  <c r="I76" i="3"/>
  <c r="X76" i="3" s="1"/>
  <c r="H76" i="3"/>
  <c r="J76" i="3" s="1"/>
  <c r="G76" i="3"/>
  <c r="F76" i="3"/>
  <c r="E76" i="3"/>
  <c r="D76" i="3"/>
  <c r="V75" i="3"/>
  <c r="U75" i="3"/>
  <c r="Y75" i="3" s="1"/>
  <c r="S75" i="3"/>
  <c r="R75" i="3"/>
  <c r="W75" i="3" s="1"/>
  <c r="Q75" i="3"/>
  <c r="P75" i="3"/>
  <c r="O75" i="3"/>
  <c r="N75" i="3"/>
  <c r="L75" i="3"/>
  <c r="K75" i="3"/>
  <c r="J75" i="3"/>
  <c r="I75" i="3"/>
  <c r="X75" i="3" s="1"/>
  <c r="H75" i="3"/>
  <c r="G75" i="3"/>
  <c r="F75" i="3"/>
  <c r="E75" i="3"/>
  <c r="D75" i="3"/>
  <c r="Y74" i="3"/>
  <c r="V74" i="3"/>
  <c r="U74" i="3"/>
  <c r="S74" i="3"/>
  <c r="X74" i="3" s="1"/>
  <c r="R74" i="3"/>
  <c r="W74" i="3" s="1"/>
  <c r="Q74" i="3"/>
  <c r="P74" i="3"/>
  <c r="O74" i="3"/>
  <c r="N74" i="3"/>
  <c r="L74" i="3"/>
  <c r="K74" i="3"/>
  <c r="J74" i="3"/>
  <c r="I74" i="3"/>
  <c r="H74" i="3"/>
  <c r="G74" i="3"/>
  <c r="F74" i="3"/>
  <c r="E74" i="3"/>
  <c r="D74" i="3"/>
  <c r="X73" i="3"/>
  <c r="V73" i="3"/>
  <c r="U73" i="3"/>
  <c r="Y73" i="3" s="1"/>
  <c r="S73" i="3"/>
  <c r="R73" i="3"/>
  <c r="W73" i="3" s="1"/>
  <c r="Q73" i="3"/>
  <c r="P73" i="3"/>
  <c r="O73" i="3"/>
  <c r="N73" i="3"/>
  <c r="L73" i="3"/>
  <c r="K73" i="3"/>
  <c r="I73" i="3"/>
  <c r="H73" i="3"/>
  <c r="J73" i="3" s="1"/>
  <c r="G73" i="3"/>
  <c r="F73" i="3"/>
  <c r="E73" i="3"/>
  <c r="D73" i="3"/>
  <c r="X72" i="3"/>
  <c r="V72" i="3"/>
  <c r="Z72" i="3" s="1"/>
  <c r="U72" i="3"/>
  <c r="Y72" i="3" s="1"/>
  <c r="S72" i="3"/>
  <c r="R72" i="3"/>
  <c r="W72" i="3" s="1"/>
  <c r="Q72" i="3"/>
  <c r="P72" i="3"/>
  <c r="O72" i="3"/>
  <c r="N72" i="3"/>
  <c r="L72" i="3"/>
  <c r="K72" i="3"/>
  <c r="I72" i="3"/>
  <c r="H72" i="3"/>
  <c r="J72" i="3" s="1"/>
  <c r="G72" i="3"/>
  <c r="F72" i="3"/>
  <c r="E72" i="3"/>
  <c r="D72" i="3"/>
  <c r="Z71" i="3"/>
  <c r="X71" i="3"/>
  <c r="W71" i="3"/>
  <c r="V71" i="3"/>
  <c r="U71" i="3"/>
  <c r="S71" i="3"/>
  <c r="R71" i="3"/>
  <c r="T71" i="3" s="1"/>
  <c r="Q71" i="3"/>
  <c r="P71" i="3"/>
  <c r="O71" i="3"/>
  <c r="N71" i="3"/>
  <c r="L71" i="3"/>
  <c r="K71" i="3"/>
  <c r="Y71" i="3" s="1"/>
  <c r="I71" i="3"/>
  <c r="H71" i="3"/>
  <c r="J71" i="3" s="1"/>
  <c r="G71" i="3"/>
  <c r="F71" i="3"/>
  <c r="E71" i="3"/>
  <c r="D71" i="3"/>
  <c r="Z70" i="3"/>
  <c r="V70" i="3"/>
  <c r="U70" i="3"/>
  <c r="T70" i="3"/>
  <c r="S70" i="3"/>
  <c r="X70" i="3" s="1"/>
  <c r="R70" i="3"/>
  <c r="Q70" i="3"/>
  <c r="P70" i="3"/>
  <c r="O70" i="3"/>
  <c r="N70" i="3"/>
  <c r="L70" i="3"/>
  <c r="K70" i="3"/>
  <c r="Y70" i="3" s="1"/>
  <c r="I70" i="3"/>
  <c r="H70" i="3"/>
  <c r="J70" i="3" s="1"/>
  <c r="G70" i="3"/>
  <c r="F70" i="3"/>
  <c r="E70" i="3"/>
  <c r="D70" i="3"/>
  <c r="V69" i="3"/>
  <c r="U69" i="3"/>
  <c r="Y69" i="3" s="1"/>
  <c r="S69" i="3"/>
  <c r="X69" i="3" s="1"/>
  <c r="R69" i="3"/>
  <c r="Q69" i="3"/>
  <c r="P69" i="3"/>
  <c r="O69" i="3"/>
  <c r="N69" i="3"/>
  <c r="L69" i="3"/>
  <c r="K69" i="3"/>
  <c r="I69" i="3"/>
  <c r="H69" i="3"/>
  <c r="J69" i="3" s="1"/>
  <c r="G69" i="3"/>
  <c r="F69" i="3"/>
  <c r="E69" i="3"/>
  <c r="D69" i="3"/>
  <c r="V68" i="3"/>
  <c r="U68" i="3"/>
  <c r="S68" i="3"/>
  <c r="R68" i="3"/>
  <c r="Q68" i="3"/>
  <c r="P68" i="3"/>
  <c r="O68" i="3"/>
  <c r="N68" i="3"/>
  <c r="L68" i="3"/>
  <c r="K68" i="3"/>
  <c r="J68" i="3"/>
  <c r="I68" i="3"/>
  <c r="X68" i="3" s="1"/>
  <c r="H68" i="3"/>
  <c r="G68" i="3"/>
  <c r="F68" i="3"/>
  <c r="E68" i="3"/>
  <c r="D68" i="3"/>
  <c r="Z67" i="3"/>
  <c r="X67" i="3"/>
  <c r="W67" i="3"/>
  <c r="V67" i="3"/>
  <c r="U67" i="3"/>
  <c r="Y67" i="3" s="1"/>
  <c r="T67" i="3"/>
  <c r="S67" i="3"/>
  <c r="R67" i="3"/>
  <c r="Q67" i="3"/>
  <c r="P67" i="3"/>
  <c r="O67" i="3"/>
  <c r="N67" i="3"/>
  <c r="L67" i="3"/>
  <c r="K67" i="3"/>
  <c r="J67" i="3"/>
  <c r="I67" i="3"/>
  <c r="H67" i="3"/>
  <c r="G67" i="3"/>
  <c r="F67" i="3"/>
  <c r="E67" i="3"/>
  <c r="D67" i="3"/>
  <c r="Y66" i="3"/>
  <c r="W66" i="3"/>
  <c r="V66" i="3"/>
  <c r="Z66" i="3" s="1"/>
  <c r="U66" i="3"/>
  <c r="T66" i="3"/>
  <c r="S66" i="3"/>
  <c r="R66" i="3"/>
  <c r="Q66" i="3"/>
  <c r="P66" i="3"/>
  <c r="O66" i="3"/>
  <c r="N66" i="3"/>
  <c r="L66" i="3"/>
  <c r="K66" i="3"/>
  <c r="J66" i="3"/>
  <c r="I66" i="3"/>
  <c r="X66" i="3" s="1"/>
  <c r="H66" i="3"/>
  <c r="G66" i="3"/>
  <c r="F66" i="3"/>
  <c r="E66" i="3"/>
  <c r="D66" i="3"/>
  <c r="C66" i="3"/>
  <c r="Z65" i="3"/>
  <c r="Y65" i="3"/>
  <c r="V65" i="3"/>
  <c r="U65" i="3"/>
  <c r="T65" i="3"/>
  <c r="S65" i="3"/>
  <c r="R65" i="3"/>
  <c r="Q65" i="3"/>
  <c r="P65" i="3"/>
  <c r="O65" i="3"/>
  <c r="N65" i="3"/>
  <c r="L65" i="3"/>
  <c r="K65" i="3"/>
  <c r="I65" i="3"/>
  <c r="X65" i="3" s="1"/>
  <c r="H65" i="3"/>
  <c r="W65" i="3" s="1"/>
  <c r="G65" i="3"/>
  <c r="F65" i="3"/>
  <c r="E65" i="3"/>
  <c r="D65" i="3"/>
  <c r="C65" i="3"/>
  <c r="V64" i="3"/>
  <c r="U64" i="3"/>
  <c r="T64" i="3"/>
  <c r="S64" i="3"/>
  <c r="R64" i="3"/>
  <c r="Q64" i="3"/>
  <c r="P64" i="3"/>
  <c r="O64" i="3"/>
  <c r="N64" i="3"/>
  <c r="L64" i="3"/>
  <c r="Z64" i="3" s="1"/>
  <c r="K64" i="3"/>
  <c r="Y64" i="3" s="1"/>
  <c r="J64" i="3"/>
  <c r="I64" i="3"/>
  <c r="H64" i="3"/>
  <c r="G64" i="3"/>
  <c r="F64" i="3"/>
  <c r="E64" i="3"/>
  <c r="D64" i="3"/>
  <c r="C64" i="3"/>
  <c r="Z63" i="3"/>
  <c r="V63" i="3"/>
  <c r="U63" i="3"/>
  <c r="Y63" i="3" s="1"/>
  <c r="S63" i="3"/>
  <c r="R63" i="3"/>
  <c r="Q63" i="3"/>
  <c r="P63" i="3"/>
  <c r="O63" i="3"/>
  <c r="N63" i="3"/>
  <c r="L63" i="3"/>
  <c r="K63" i="3"/>
  <c r="I63" i="3"/>
  <c r="H63" i="3"/>
  <c r="J63" i="3" s="1"/>
  <c r="G63" i="3"/>
  <c r="F63" i="3"/>
  <c r="E63" i="3"/>
  <c r="D63" i="3"/>
  <c r="C63" i="3"/>
  <c r="W62" i="3"/>
  <c r="V62" i="3"/>
  <c r="Z62" i="3" s="1"/>
  <c r="U62" i="3"/>
  <c r="Y62" i="3" s="1"/>
  <c r="T62" i="3"/>
  <c r="S62" i="3"/>
  <c r="X62" i="3" s="1"/>
  <c r="R62" i="3"/>
  <c r="Q62" i="3"/>
  <c r="P62" i="3"/>
  <c r="O62" i="3"/>
  <c r="N62" i="3"/>
  <c r="L62" i="3"/>
  <c r="K62" i="3"/>
  <c r="I62" i="3"/>
  <c r="H62" i="3"/>
  <c r="J62" i="3" s="1"/>
  <c r="G62" i="3"/>
  <c r="F62" i="3"/>
  <c r="E62" i="3"/>
  <c r="D62" i="3"/>
  <c r="X61" i="3"/>
  <c r="W61" i="3"/>
  <c r="V61" i="3"/>
  <c r="Z61" i="3" s="1"/>
  <c r="U61" i="3"/>
  <c r="Y61" i="3" s="1"/>
  <c r="T61" i="3"/>
  <c r="S61" i="3"/>
  <c r="R61" i="3"/>
  <c r="Q61" i="3"/>
  <c r="P61" i="3"/>
  <c r="O61" i="3"/>
  <c r="N61" i="3"/>
  <c r="L61" i="3"/>
  <c r="K61" i="3"/>
  <c r="J61" i="3"/>
  <c r="I61" i="3"/>
  <c r="H61" i="3"/>
  <c r="G61" i="3"/>
  <c r="F61" i="3"/>
  <c r="E61" i="3"/>
  <c r="D61" i="3"/>
  <c r="Z60" i="3"/>
  <c r="Y60" i="3"/>
  <c r="X60" i="3"/>
  <c r="W60" i="3"/>
  <c r="V60" i="3"/>
  <c r="U60" i="3"/>
  <c r="S60" i="3"/>
  <c r="R60" i="3"/>
  <c r="T60" i="3" s="1"/>
  <c r="Q60" i="3"/>
  <c r="P60" i="3"/>
  <c r="O60" i="3"/>
  <c r="N60" i="3"/>
  <c r="L60" i="3"/>
  <c r="K60" i="3"/>
  <c r="I60" i="3"/>
  <c r="H60" i="3"/>
  <c r="J60" i="3" s="1"/>
  <c r="G60" i="3"/>
  <c r="F60" i="3"/>
  <c r="E60" i="3"/>
  <c r="D60" i="3"/>
  <c r="V59" i="3"/>
  <c r="U59" i="3"/>
  <c r="T59" i="3"/>
  <c r="S59" i="3"/>
  <c r="R59" i="3"/>
  <c r="Q59" i="3"/>
  <c r="P59" i="3"/>
  <c r="O59" i="3"/>
  <c r="N59" i="3"/>
  <c r="L59" i="3"/>
  <c r="K59" i="3"/>
  <c r="I59" i="3"/>
  <c r="X59" i="3" s="1"/>
  <c r="H59" i="3"/>
  <c r="J59" i="3" s="1"/>
  <c r="G59" i="3"/>
  <c r="F59" i="3"/>
  <c r="E59" i="3"/>
  <c r="D59" i="3"/>
  <c r="Z58" i="3"/>
  <c r="V58" i="3"/>
  <c r="U58" i="3"/>
  <c r="Y58" i="3" s="1"/>
  <c r="S58" i="3"/>
  <c r="X58" i="3" s="1"/>
  <c r="R58" i="3"/>
  <c r="W58" i="3" s="1"/>
  <c r="Q58" i="3"/>
  <c r="P58" i="3"/>
  <c r="O58" i="3"/>
  <c r="N58" i="3"/>
  <c r="L58" i="3"/>
  <c r="K58" i="3"/>
  <c r="J58" i="3"/>
  <c r="I58" i="3"/>
  <c r="H58" i="3"/>
  <c r="G58" i="3"/>
  <c r="F58" i="3"/>
  <c r="E58" i="3"/>
  <c r="D58" i="3"/>
  <c r="V57" i="3"/>
  <c r="Z57" i="3" s="1"/>
  <c r="U57" i="3"/>
  <c r="Y57" i="3" s="1"/>
  <c r="S57" i="3"/>
  <c r="X57" i="3" s="1"/>
  <c r="R57" i="3"/>
  <c r="W57" i="3" s="1"/>
  <c r="Q57" i="3"/>
  <c r="P57" i="3"/>
  <c r="O57" i="3"/>
  <c r="N57" i="3"/>
  <c r="L57" i="3"/>
  <c r="K57" i="3"/>
  <c r="J57" i="3"/>
  <c r="I57" i="3"/>
  <c r="H57" i="3"/>
  <c r="G57" i="3"/>
  <c r="F57" i="3"/>
  <c r="E57" i="3"/>
  <c r="D57" i="3"/>
  <c r="X56" i="3"/>
  <c r="V56" i="3"/>
  <c r="Z56" i="3" s="1"/>
  <c r="U56" i="3"/>
  <c r="Y56" i="3" s="1"/>
  <c r="T56" i="3"/>
  <c r="S56" i="3"/>
  <c r="R56" i="3"/>
  <c r="W56" i="3" s="1"/>
  <c r="Q56" i="3"/>
  <c r="P56" i="3"/>
  <c r="O56" i="3"/>
  <c r="N56" i="3"/>
  <c r="L56" i="3"/>
  <c r="K56" i="3"/>
  <c r="I56" i="3"/>
  <c r="H56" i="3"/>
  <c r="J56" i="3" s="1"/>
  <c r="G56" i="3"/>
  <c r="F56" i="3"/>
  <c r="E56" i="3"/>
  <c r="D56" i="3"/>
  <c r="Z55" i="3"/>
  <c r="Y55" i="3"/>
  <c r="V55" i="3"/>
  <c r="U55" i="3"/>
  <c r="S55" i="3"/>
  <c r="R55" i="3"/>
  <c r="Q55" i="3"/>
  <c r="P55" i="3"/>
  <c r="O55" i="3"/>
  <c r="N55" i="3"/>
  <c r="L55" i="3"/>
  <c r="K55" i="3"/>
  <c r="I55" i="3"/>
  <c r="X55" i="3" s="1"/>
  <c r="H55" i="3"/>
  <c r="J55" i="3" s="1"/>
  <c r="G55" i="3"/>
  <c r="F55" i="3"/>
  <c r="E55" i="3"/>
  <c r="D55" i="3"/>
  <c r="Z54" i="3"/>
  <c r="Y54" i="3"/>
  <c r="V54" i="3"/>
  <c r="U54" i="3"/>
  <c r="T54" i="3"/>
  <c r="S54" i="3"/>
  <c r="R54" i="3"/>
  <c r="W54" i="3" s="1"/>
  <c r="Q54" i="3"/>
  <c r="P54" i="3"/>
  <c r="O54" i="3"/>
  <c r="N54" i="3"/>
  <c r="L54" i="3"/>
  <c r="K54" i="3"/>
  <c r="I54" i="3"/>
  <c r="H54" i="3"/>
  <c r="J54" i="3" s="1"/>
  <c r="G54" i="3"/>
  <c r="F54" i="3"/>
  <c r="E54" i="3"/>
  <c r="D54" i="3"/>
  <c r="V53" i="3"/>
  <c r="Z53" i="3" s="1"/>
  <c r="U53" i="3"/>
  <c r="S53" i="3"/>
  <c r="X53" i="3" s="1"/>
  <c r="R53" i="3"/>
  <c r="Q53" i="3"/>
  <c r="P53" i="3"/>
  <c r="O53" i="3"/>
  <c r="N53" i="3"/>
  <c r="L53" i="3"/>
  <c r="K53" i="3"/>
  <c r="J53" i="3"/>
  <c r="I53" i="3"/>
  <c r="H53" i="3"/>
  <c r="G53" i="3"/>
  <c r="F53" i="3"/>
  <c r="E53" i="3"/>
  <c r="D53" i="3"/>
  <c r="W52" i="3"/>
  <c r="V52" i="3"/>
  <c r="Z52" i="3" s="1"/>
  <c r="U52" i="3"/>
  <c r="S52" i="3"/>
  <c r="X52" i="3" s="1"/>
  <c r="R52" i="3"/>
  <c r="T52" i="3" s="1"/>
  <c r="Q52" i="3"/>
  <c r="P52" i="3"/>
  <c r="O52" i="3"/>
  <c r="N52" i="3"/>
  <c r="L52" i="3"/>
  <c r="K52" i="3"/>
  <c r="J52" i="3"/>
  <c r="I52" i="3"/>
  <c r="H52" i="3"/>
  <c r="G52" i="3"/>
  <c r="F52" i="3"/>
  <c r="E52" i="3"/>
  <c r="D52" i="3"/>
  <c r="Y51" i="3"/>
  <c r="X51" i="3"/>
  <c r="W51" i="3"/>
  <c r="V51" i="3"/>
  <c r="Z51" i="3" s="1"/>
  <c r="U51" i="3"/>
  <c r="T51" i="3"/>
  <c r="S51" i="3"/>
  <c r="R51" i="3"/>
  <c r="Q51" i="3"/>
  <c r="P51" i="3"/>
  <c r="O51" i="3"/>
  <c r="N51" i="3"/>
  <c r="L51" i="3"/>
  <c r="K51" i="3"/>
  <c r="J51" i="3"/>
  <c r="I51" i="3"/>
  <c r="H51" i="3"/>
  <c r="G51" i="3"/>
  <c r="F51" i="3"/>
  <c r="E51" i="3"/>
  <c r="D51" i="3"/>
  <c r="Z50" i="3"/>
  <c r="Y50" i="3"/>
  <c r="X50" i="3"/>
  <c r="V50" i="3"/>
  <c r="U50" i="3"/>
  <c r="T50" i="3"/>
  <c r="S50" i="3"/>
  <c r="R50" i="3"/>
  <c r="Q50" i="3"/>
  <c r="P50" i="3"/>
  <c r="O50" i="3"/>
  <c r="N50" i="3"/>
  <c r="L50" i="3"/>
  <c r="K50" i="3"/>
  <c r="I50" i="3"/>
  <c r="H50" i="3"/>
  <c r="J50" i="3" s="1"/>
  <c r="G50" i="3"/>
  <c r="F50" i="3"/>
  <c r="E50" i="3"/>
  <c r="D50" i="3"/>
  <c r="Z49" i="3"/>
  <c r="X49" i="3"/>
  <c r="W49" i="3"/>
  <c r="V49" i="3"/>
  <c r="U49" i="3"/>
  <c r="S49" i="3"/>
  <c r="R49" i="3"/>
  <c r="T49" i="3" s="1"/>
  <c r="Q49" i="3"/>
  <c r="P49" i="3"/>
  <c r="O49" i="3"/>
  <c r="N49" i="3"/>
  <c r="L49" i="3"/>
  <c r="K49" i="3"/>
  <c r="Y49" i="3" s="1"/>
  <c r="I49" i="3"/>
  <c r="H49" i="3"/>
  <c r="J49" i="3" s="1"/>
  <c r="G49" i="3"/>
  <c r="F49" i="3"/>
  <c r="E49" i="3"/>
  <c r="D49" i="3"/>
  <c r="Y48" i="3"/>
  <c r="X48" i="3"/>
  <c r="V48" i="3"/>
  <c r="U48" i="3"/>
  <c r="S48" i="3"/>
  <c r="R48" i="3"/>
  <c r="T48" i="3" s="1"/>
  <c r="Q48" i="3"/>
  <c r="P48" i="3"/>
  <c r="O48" i="3"/>
  <c r="N48" i="3"/>
  <c r="L48" i="3"/>
  <c r="Z48" i="3" s="1"/>
  <c r="K48" i="3"/>
  <c r="I48" i="3"/>
  <c r="H48" i="3"/>
  <c r="J48" i="3" s="1"/>
  <c r="G48" i="3"/>
  <c r="F48" i="3"/>
  <c r="E48" i="3"/>
  <c r="D48" i="3"/>
  <c r="W47" i="3"/>
  <c r="V47" i="3"/>
  <c r="Z47" i="3" s="1"/>
  <c r="U47" i="3"/>
  <c r="S47" i="3"/>
  <c r="R47" i="3"/>
  <c r="T47" i="3" s="1"/>
  <c r="Q47" i="3"/>
  <c r="P47" i="3"/>
  <c r="O47" i="3"/>
  <c r="N47" i="3"/>
  <c r="L47" i="3"/>
  <c r="K47" i="3"/>
  <c r="Y47" i="3" s="1"/>
  <c r="J47" i="3"/>
  <c r="J126" i="3" s="1"/>
  <c r="I47" i="3"/>
  <c r="H47" i="3"/>
  <c r="G47" i="3"/>
  <c r="F47" i="3"/>
  <c r="E47" i="3"/>
  <c r="D47" i="3"/>
  <c r="Y46" i="3"/>
  <c r="V46" i="3"/>
  <c r="U46" i="3"/>
  <c r="S46" i="3"/>
  <c r="X46" i="3" s="1"/>
  <c r="R46" i="3"/>
  <c r="Q46" i="3"/>
  <c r="P46" i="3"/>
  <c r="O46" i="3"/>
  <c r="N46" i="3"/>
  <c r="L46" i="3"/>
  <c r="Z46" i="3" s="1"/>
  <c r="K46" i="3"/>
  <c r="J46" i="3"/>
  <c r="I46" i="3"/>
  <c r="H46" i="3"/>
  <c r="G46" i="3"/>
  <c r="F46" i="3"/>
  <c r="E46" i="3"/>
  <c r="D46" i="3"/>
  <c r="V45" i="3"/>
  <c r="Z45" i="3" s="1"/>
  <c r="U45" i="3"/>
  <c r="Y45" i="3" s="1"/>
  <c r="T45" i="3"/>
  <c r="S45" i="3"/>
  <c r="X45" i="3" s="1"/>
  <c r="R45" i="3"/>
  <c r="W45" i="3" s="1"/>
  <c r="Q45" i="3"/>
  <c r="P45" i="3"/>
  <c r="O45" i="3"/>
  <c r="N45" i="3"/>
  <c r="L45" i="3"/>
  <c r="K45" i="3"/>
  <c r="I45" i="3"/>
  <c r="H45" i="3"/>
  <c r="J45" i="3" s="1"/>
  <c r="G45" i="3"/>
  <c r="F45" i="3"/>
  <c r="E45" i="3"/>
  <c r="D45" i="3"/>
  <c r="W44" i="3"/>
  <c r="V44" i="3"/>
  <c r="Z44" i="3" s="1"/>
  <c r="U44" i="3"/>
  <c r="Y44" i="3" s="1"/>
  <c r="T44" i="3"/>
  <c r="S44" i="3"/>
  <c r="X44" i="3" s="1"/>
  <c r="R44" i="3"/>
  <c r="Q44" i="3"/>
  <c r="P44" i="3"/>
  <c r="O44" i="3"/>
  <c r="N44" i="3"/>
  <c r="L44" i="3"/>
  <c r="K44" i="3"/>
  <c r="I44" i="3"/>
  <c r="H44" i="3"/>
  <c r="J44" i="3" s="1"/>
  <c r="G44" i="3"/>
  <c r="F44" i="3"/>
  <c r="E44" i="3"/>
  <c r="D44" i="3"/>
  <c r="Y43" i="3"/>
  <c r="V43" i="3"/>
  <c r="U43" i="3"/>
  <c r="S43" i="3"/>
  <c r="R43" i="3"/>
  <c r="Q43" i="3"/>
  <c r="P43" i="3"/>
  <c r="O43" i="3"/>
  <c r="N43" i="3"/>
  <c r="L43" i="3"/>
  <c r="Z43" i="3" s="1"/>
  <c r="K43" i="3"/>
  <c r="I43" i="3"/>
  <c r="H43" i="3"/>
  <c r="J43" i="3" s="1"/>
  <c r="G43" i="3"/>
  <c r="F43" i="3"/>
  <c r="E43" i="3"/>
  <c r="D43" i="3"/>
  <c r="V42" i="3"/>
  <c r="U42" i="3"/>
  <c r="Y42" i="3" s="1"/>
  <c r="T42" i="3"/>
  <c r="S42" i="3"/>
  <c r="R42" i="3"/>
  <c r="Q42" i="3"/>
  <c r="P42" i="3"/>
  <c r="O42" i="3"/>
  <c r="N42" i="3"/>
  <c r="L42" i="3"/>
  <c r="K42" i="3"/>
  <c r="J42" i="3"/>
  <c r="I42" i="3"/>
  <c r="H42" i="3"/>
  <c r="G42" i="3"/>
  <c r="F42" i="3"/>
  <c r="E42" i="3"/>
  <c r="D42" i="3"/>
  <c r="X41" i="3"/>
  <c r="W41" i="3"/>
  <c r="V41" i="3"/>
  <c r="U41" i="3"/>
  <c r="Y41" i="3" s="1"/>
  <c r="T41" i="3"/>
  <c r="S41" i="3"/>
  <c r="R41" i="3"/>
  <c r="Q41" i="3"/>
  <c r="P41" i="3"/>
  <c r="O41" i="3"/>
  <c r="N41" i="3"/>
  <c r="L41" i="3"/>
  <c r="K41" i="3"/>
  <c r="J41" i="3"/>
  <c r="I41" i="3"/>
  <c r="H41" i="3"/>
  <c r="G41" i="3"/>
  <c r="F41" i="3"/>
  <c r="E41" i="3"/>
  <c r="D41" i="3"/>
  <c r="Y40" i="3"/>
  <c r="X40" i="3"/>
  <c r="V40" i="3"/>
  <c r="Z40" i="3" s="1"/>
  <c r="U40" i="3"/>
  <c r="S40" i="3"/>
  <c r="R40" i="3"/>
  <c r="T40" i="3" s="1"/>
  <c r="Q40" i="3"/>
  <c r="P40" i="3"/>
  <c r="O40" i="3"/>
  <c r="N40" i="3"/>
  <c r="L40" i="3"/>
  <c r="K40" i="3"/>
  <c r="J40" i="3"/>
  <c r="I40" i="3"/>
  <c r="H40" i="3"/>
  <c r="G40" i="3"/>
  <c r="F40" i="3"/>
  <c r="E40" i="3"/>
  <c r="D40" i="3"/>
  <c r="Z39" i="3"/>
  <c r="W39" i="3"/>
  <c r="V39" i="3"/>
  <c r="U39" i="3"/>
  <c r="Y39" i="3" s="1"/>
  <c r="T39" i="3"/>
  <c r="S39" i="3"/>
  <c r="R39" i="3"/>
  <c r="Q39" i="3"/>
  <c r="P39" i="3"/>
  <c r="O39" i="3"/>
  <c r="N39" i="3"/>
  <c r="L39" i="3"/>
  <c r="K39" i="3"/>
  <c r="J39" i="3"/>
  <c r="I39" i="3"/>
  <c r="X39" i="3" s="1"/>
  <c r="H39" i="3"/>
  <c r="G39" i="3"/>
  <c r="F39" i="3"/>
  <c r="E39" i="3"/>
  <c r="D39" i="3"/>
  <c r="Z38" i="3"/>
  <c r="X38" i="3"/>
  <c r="W38" i="3"/>
  <c r="V38" i="3"/>
  <c r="U38" i="3"/>
  <c r="S38" i="3"/>
  <c r="R38" i="3"/>
  <c r="T38" i="3" s="1"/>
  <c r="Q38" i="3"/>
  <c r="P38" i="3"/>
  <c r="O38" i="3"/>
  <c r="N38" i="3"/>
  <c r="L38" i="3"/>
  <c r="K38" i="3"/>
  <c r="Y38" i="3" s="1"/>
  <c r="J38" i="3"/>
  <c r="I38" i="3"/>
  <c r="H38" i="3"/>
  <c r="G38" i="3"/>
  <c r="F38" i="3"/>
  <c r="E38" i="3"/>
  <c r="D38" i="3"/>
  <c r="Y37" i="3"/>
  <c r="X37" i="3"/>
  <c r="V37" i="3"/>
  <c r="U37" i="3"/>
  <c r="S37" i="3"/>
  <c r="R37" i="3"/>
  <c r="Q37" i="3"/>
  <c r="P37" i="3"/>
  <c r="O37" i="3"/>
  <c r="N37" i="3"/>
  <c r="L37" i="3"/>
  <c r="Z37" i="3" s="1"/>
  <c r="K37" i="3"/>
  <c r="J37" i="3"/>
  <c r="I37" i="3"/>
  <c r="H37" i="3"/>
  <c r="G37" i="3"/>
  <c r="F37" i="3"/>
  <c r="E37" i="3"/>
  <c r="D37" i="3"/>
  <c r="Z36" i="3"/>
  <c r="V36" i="3"/>
  <c r="U36" i="3"/>
  <c r="S36" i="3"/>
  <c r="X36" i="3" s="1"/>
  <c r="R36" i="3"/>
  <c r="Q36" i="3"/>
  <c r="P36" i="3"/>
  <c r="O36" i="3"/>
  <c r="N36" i="3"/>
  <c r="L36" i="3"/>
  <c r="K36" i="3"/>
  <c r="Y36" i="3" s="1"/>
  <c r="J36" i="3"/>
  <c r="I36" i="3"/>
  <c r="H36" i="3"/>
  <c r="G36" i="3"/>
  <c r="F36" i="3"/>
  <c r="E36" i="3"/>
  <c r="D36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L35" i="3"/>
  <c r="K35" i="3"/>
  <c r="J35" i="3"/>
  <c r="I35" i="3"/>
  <c r="H35" i="3"/>
  <c r="G35" i="3"/>
  <c r="F35" i="3"/>
  <c r="E35" i="3"/>
  <c r="D35" i="3"/>
  <c r="Z34" i="3"/>
  <c r="Y34" i="3"/>
  <c r="V34" i="3"/>
  <c r="U34" i="3"/>
  <c r="S34" i="3"/>
  <c r="R34" i="3"/>
  <c r="T34" i="3" s="1"/>
  <c r="Q34" i="3"/>
  <c r="P34" i="3"/>
  <c r="O34" i="3"/>
  <c r="N34" i="3"/>
  <c r="L34" i="3"/>
  <c r="K34" i="3"/>
  <c r="I34" i="3"/>
  <c r="X34" i="3" s="1"/>
  <c r="H34" i="3"/>
  <c r="J34" i="3" s="1"/>
  <c r="G34" i="3"/>
  <c r="F34" i="3"/>
  <c r="E34" i="3"/>
  <c r="D34" i="3"/>
  <c r="Z33" i="3"/>
  <c r="X33" i="3"/>
  <c r="V33" i="3"/>
  <c r="U33" i="3"/>
  <c r="S33" i="3"/>
  <c r="R33" i="3"/>
  <c r="T33" i="3" s="1"/>
  <c r="Q33" i="3"/>
  <c r="P33" i="3"/>
  <c r="O33" i="3"/>
  <c r="N33" i="3"/>
  <c r="L33" i="3"/>
  <c r="K33" i="3"/>
  <c r="Y33" i="3" s="1"/>
  <c r="I33" i="3"/>
  <c r="H33" i="3"/>
  <c r="J33" i="3" s="1"/>
  <c r="G33" i="3"/>
  <c r="F33" i="3"/>
  <c r="E33" i="3"/>
  <c r="D33" i="3"/>
  <c r="Z32" i="3"/>
  <c r="Y32" i="3"/>
  <c r="V32" i="3"/>
  <c r="U32" i="3"/>
  <c r="T32" i="3"/>
  <c r="S32" i="3"/>
  <c r="R32" i="3"/>
  <c r="Q32" i="3"/>
  <c r="P32" i="3"/>
  <c r="O32" i="3"/>
  <c r="N32" i="3"/>
  <c r="L32" i="3"/>
  <c r="K32" i="3"/>
  <c r="J32" i="3"/>
  <c r="I32" i="3"/>
  <c r="H32" i="3"/>
  <c r="W32" i="3" s="1"/>
  <c r="G32" i="3"/>
  <c r="F32" i="3"/>
  <c r="E32" i="3"/>
  <c r="D32" i="3"/>
  <c r="V31" i="3"/>
  <c r="U31" i="3"/>
  <c r="T31" i="3"/>
  <c r="S31" i="3"/>
  <c r="R31" i="3"/>
  <c r="Q31" i="3"/>
  <c r="P31" i="3"/>
  <c r="O31" i="3"/>
  <c r="N31" i="3"/>
  <c r="L31" i="3"/>
  <c r="K31" i="3"/>
  <c r="I31" i="3"/>
  <c r="H31" i="3"/>
  <c r="J31" i="3" s="1"/>
  <c r="G31" i="3"/>
  <c r="F31" i="3"/>
  <c r="E31" i="3"/>
  <c r="D31" i="3"/>
  <c r="V30" i="3"/>
  <c r="U30" i="3"/>
  <c r="T30" i="3"/>
  <c r="S30" i="3"/>
  <c r="R30" i="3"/>
  <c r="Q30" i="3"/>
  <c r="P30" i="3"/>
  <c r="O30" i="3"/>
  <c r="N30" i="3"/>
  <c r="L30" i="3"/>
  <c r="K30" i="3"/>
  <c r="I30" i="3"/>
  <c r="H30" i="3"/>
  <c r="G30" i="3"/>
  <c r="F30" i="3"/>
  <c r="E30" i="3"/>
  <c r="D30" i="3"/>
  <c r="W29" i="3"/>
  <c r="V29" i="3"/>
  <c r="Z29" i="3" s="1"/>
  <c r="U29" i="3"/>
  <c r="S29" i="3"/>
  <c r="X29" i="3" s="1"/>
  <c r="R29" i="3"/>
  <c r="T29" i="3" s="1"/>
  <c r="Q29" i="3"/>
  <c r="P29" i="3"/>
  <c r="O29" i="3"/>
  <c r="N29" i="3"/>
  <c r="L29" i="3"/>
  <c r="K29" i="3"/>
  <c r="Y29" i="3" s="1"/>
  <c r="J29" i="3"/>
  <c r="I29" i="3"/>
  <c r="H29" i="3"/>
  <c r="G29" i="3"/>
  <c r="F29" i="3"/>
  <c r="E29" i="3"/>
  <c r="D29" i="3"/>
  <c r="Y28" i="3"/>
  <c r="V28" i="3"/>
  <c r="U28" i="3"/>
  <c r="S28" i="3"/>
  <c r="X28" i="3" s="1"/>
  <c r="R28" i="3"/>
  <c r="Q28" i="3"/>
  <c r="P28" i="3"/>
  <c r="O28" i="3"/>
  <c r="N28" i="3"/>
  <c r="L28" i="3"/>
  <c r="Z28" i="3" s="1"/>
  <c r="K28" i="3"/>
  <c r="J28" i="3"/>
  <c r="I28" i="3"/>
  <c r="H28" i="3"/>
  <c r="G28" i="3"/>
  <c r="F28" i="3"/>
  <c r="E28" i="3"/>
  <c r="D28" i="3"/>
  <c r="X27" i="3"/>
  <c r="V27" i="3"/>
  <c r="U27" i="3"/>
  <c r="Y27" i="3" s="1"/>
  <c r="T27" i="3"/>
  <c r="S27" i="3"/>
  <c r="R27" i="3"/>
  <c r="Q27" i="3"/>
  <c r="P27" i="3"/>
  <c r="O27" i="3"/>
  <c r="N27" i="3"/>
  <c r="L27" i="3"/>
  <c r="Z27" i="3" s="1"/>
  <c r="K27" i="3"/>
  <c r="I27" i="3"/>
  <c r="H27" i="3"/>
  <c r="J27" i="3" s="1"/>
  <c r="G27" i="3"/>
  <c r="F27" i="3"/>
  <c r="E27" i="3"/>
  <c r="D27" i="3"/>
  <c r="Z26" i="3"/>
  <c r="X26" i="3"/>
  <c r="V26" i="3"/>
  <c r="U26" i="3"/>
  <c r="S26" i="3"/>
  <c r="R26" i="3"/>
  <c r="T26" i="3" s="1"/>
  <c r="Q26" i="3"/>
  <c r="P26" i="3"/>
  <c r="O26" i="3"/>
  <c r="N26" i="3"/>
  <c r="L26" i="3"/>
  <c r="K26" i="3"/>
  <c r="Y26" i="3" s="1"/>
  <c r="I26" i="3"/>
  <c r="H26" i="3"/>
  <c r="J26" i="3" s="1"/>
  <c r="G26" i="3"/>
  <c r="F26" i="3"/>
  <c r="E26" i="3"/>
  <c r="D26" i="3"/>
  <c r="Y25" i="3"/>
  <c r="V25" i="3"/>
  <c r="U25" i="3"/>
  <c r="T25" i="3"/>
  <c r="S25" i="3"/>
  <c r="R25" i="3"/>
  <c r="Q25" i="3"/>
  <c r="P25" i="3"/>
  <c r="O25" i="3"/>
  <c r="N25" i="3"/>
  <c r="L25" i="3"/>
  <c r="Z25" i="3" s="1"/>
  <c r="K25" i="3"/>
  <c r="I25" i="3"/>
  <c r="X25" i="3" s="1"/>
  <c r="H25" i="3"/>
  <c r="J25" i="3" s="1"/>
  <c r="G25" i="3"/>
  <c r="F25" i="3"/>
  <c r="E25" i="3"/>
  <c r="D25" i="3"/>
  <c r="Z24" i="3"/>
  <c r="V24" i="3"/>
  <c r="U24" i="3"/>
  <c r="Y24" i="3" s="1"/>
  <c r="S24" i="3"/>
  <c r="R24" i="3"/>
  <c r="Q24" i="3"/>
  <c r="P24" i="3"/>
  <c r="O24" i="3"/>
  <c r="N24" i="3"/>
  <c r="L24" i="3"/>
  <c r="K24" i="3"/>
  <c r="I24" i="3"/>
  <c r="H24" i="3"/>
  <c r="J24" i="3" s="1"/>
  <c r="G24" i="3"/>
  <c r="F24" i="3"/>
  <c r="E24" i="3"/>
  <c r="D24" i="3"/>
  <c r="Y23" i="3"/>
  <c r="V23" i="3"/>
  <c r="U23" i="3"/>
  <c r="S23" i="3"/>
  <c r="X23" i="3" s="1"/>
  <c r="R23" i="3"/>
  <c r="Q23" i="3"/>
  <c r="P23" i="3"/>
  <c r="O23" i="3"/>
  <c r="N23" i="3"/>
  <c r="L23" i="3"/>
  <c r="Z23" i="3" s="1"/>
  <c r="K23" i="3"/>
  <c r="I23" i="3"/>
  <c r="H23" i="3"/>
  <c r="J23" i="3" s="1"/>
  <c r="G23" i="3"/>
  <c r="F23" i="3"/>
  <c r="E23" i="3"/>
  <c r="D23" i="3"/>
  <c r="V22" i="3"/>
  <c r="Z22" i="3" s="1"/>
  <c r="U22" i="3"/>
  <c r="Y22" i="3" s="1"/>
  <c r="S22" i="3"/>
  <c r="X22" i="3" s="1"/>
  <c r="R22" i="3"/>
  <c r="W22" i="3" s="1"/>
  <c r="Q22" i="3"/>
  <c r="P22" i="3"/>
  <c r="O22" i="3"/>
  <c r="N22" i="3"/>
  <c r="L22" i="3"/>
  <c r="K22" i="3"/>
  <c r="J22" i="3"/>
  <c r="I22" i="3"/>
  <c r="H22" i="3"/>
  <c r="G22" i="3"/>
  <c r="F22" i="3"/>
  <c r="E22" i="3"/>
  <c r="D22" i="3"/>
  <c r="X21" i="3"/>
  <c r="V21" i="3"/>
  <c r="U21" i="3"/>
  <c r="Y21" i="3" s="1"/>
  <c r="S21" i="3"/>
  <c r="R21" i="3"/>
  <c r="W21" i="3" s="1"/>
  <c r="Q21" i="3"/>
  <c r="P21" i="3"/>
  <c r="O21" i="3"/>
  <c r="N21" i="3"/>
  <c r="L21" i="3"/>
  <c r="K21" i="3"/>
  <c r="I21" i="3"/>
  <c r="H21" i="3"/>
  <c r="J21" i="3" s="1"/>
  <c r="G21" i="3"/>
  <c r="F21" i="3"/>
  <c r="E21" i="3"/>
  <c r="D21" i="3"/>
  <c r="Y20" i="3"/>
  <c r="W20" i="3"/>
  <c r="V20" i="3"/>
  <c r="Z20" i="3" s="1"/>
  <c r="U20" i="3"/>
  <c r="T20" i="3"/>
  <c r="S20" i="3"/>
  <c r="X20" i="3" s="1"/>
  <c r="R20" i="3"/>
  <c r="Q20" i="3"/>
  <c r="P20" i="3"/>
  <c r="O20" i="3"/>
  <c r="N20" i="3"/>
  <c r="L20" i="3"/>
  <c r="K20" i="3"/>
  <c r="J20" i="3"/>
  <c r="I20" i="3"/>
  <c r="H20" i="3"/>
  <c r="G20" i="3"/>
  <c r="F20" i="3"/>
  <c r="E20" i="3"/>
  <c r="D20" i="3"/>
  <c r="W19" i="3"/>
  <c r="V19" i="3"/>
  <c r="U19" i="3"/>
  <c r="S19" i="3"/>
  <c r="R19" i="3"/>
  <c r="T19" i="3" s="1"/>
  <c r="Q19" i="3"/>
  <c r="P19" i="3"/>
  <c r="O19" i="3"/>
  <c r="N19" i="3"/>
  <c r="L19" i="3"/>
  <c r="K19" i="3"/>
  <c r="J19" i="3"/>
  <c r="I19" i="3"/>
  <c r="H19" i="3"/>
  <c r="G19" i="3"/>
  <c r="F19" i="3"/>
  <c r="E19" i="3"/>
  <c r="D19" i="3"/>
  <c r="V18" i="3"/>
  <c r="U18" i="3"/>
  <c r="Y18" i="3" s="1"/>
  <c r="T18" i="3"/>
  <c r="S18" i="3"/>
  <c r="R18" i="3"/>
  <c r="Q18" i="3"/>
  <c r="P18" i="3"/>
  <c r="O18" i="3"/>
  <c r="N18" i="3"/>
  <c r="L18" i="3"/>
  <c r="K18" i="3"/>
  <c r="I18" i="3"/>
  <c r="H18" i="3"/>
  <c r="G18" i="3"/>
  <c r="F18" i="3"/>
  <c r="E18" i="3"/>
  <c r="D18" i="3"/>
  <c r="W17" i="3"/>
  <c r="V17" i="3"/>
  <c r="Z17" i="3" s="1"/>
  <c r="U17" i="3"/>
  <c r="S17" i="3"/>
  <c r="X17" i="3" s="1"/>
  <c r="R17" i="3"/>
  <c r="T17" i="3" s="1"/>
  <c r="Q17" i="3"/>
  <c r="P17" i="3"/>
  <c r="O17" i="3"/>
  <c r="N17" i="3"/>
  <c r="L17" i="3"/>
  <c r="K17" i="3"/>
  <c r="J17" i="3"/>
  <c r="I17" i="3"/>
  <c r="H17" i="3"/>
  <c r="G17" i="3"/>
  <c r="F17" i="3"/>
  <c r="E17" i="3"/>
  <c r="D17" i="3"/>
  <c r="Y16" i="3"/>
  <c r="V16" i="3"/>
  <c r="U16" i="3"/>
  <c r="S16" i="3"/>
  <c r="X16" i="3" s="1"/>
  <c r="R16" i="3"/>
  <c r="Q16" i="3"/>
  <c r="P16" i="3"/>
  <c r="O16" i="3"/>
  <c r="N16" i="3"/>
  <c r="L16" i="3"/>
  <c r="Z16" i="3" s="1"/>
  <c r="K16" i="3"/>
  <c r="I16" i="3"/>
  <c r="H16" i="3"/>
  <c r="J16" i="3" s="1"/>
  <c r="G16" i="3"/>
  <c r="F16" i="3"/>
  <c r="E16" i="3"/>
  <c r="D16" i="3"/>
  <c r="X15" i="3"/>
  <c r="V15" i="3"/>
  <c r="U15" i="3"/>
  <c r="Y15" i="3" s="1"/>
  <c r="T15" i="3"/>
  <c r="S15" i="3"/>
  <c r="R15" i="3"/>
  <c r="Q15" i="3"/>
  <c r="P15" i="3"/>
  <c r="O15" i="3"/>
  <c r="N15" i="3"/>
  <c r="L15" i="3"/>
  <c r="Z15" i="3" s="1"/>
  <c r="K15" i="3"/>
  <c r="I15" i="3"/>
  <c r="H15" i="3"/>
  <c r="J15" i="3" s="1"/>
  <c r="G15" i="3"/>
  <c r="F15" i="3"/>
  <c r="E15" i="3"/>
  <c r="D15" i="3"/>
  <c r="Z14" i="3"/>
  <c r="V14" i="3"/>
  <c r="U14" i="3"/>
  <c r="S14" i="3"/>
  <c r="X14" i="3" s="1"/>
  <c r="R14" i="3"/>
  <c r="T14" i="3" s="1"/>
  <c r="Q14" i="3"/>
  <c r="P14" i="3"/>
  <c r="O14" i="3"/>
  <c r="N14" i="3"/>
  <c r="L14" i="3"/>
  <c r="K14" i="3"/>
  <c r="Y14" i="3" s="1"/>
  <c r="I14" i="3"/>
  <c r="H14" i="3"/>
  <c r="J14" i="3" s="1"/>
  <c r="G14" i="3"/>
  <c r="F14" i="3"/>
  <c r="E14" i="3"/>
  <c r="D14" i="3"/>
  <c r="Z13" i="3"/>
  <c r="Y13" i="3"/>
  <c r="V13" i="3"/>
  <c r="U13" i="3"/>
  <c r="S13" i="3"/>
  <c r="R13" i="3"/>
  <c r="Q13" i="3"/>
  <c r="P13" i="3"/>
  <c r="O13" i="3"/>
  <c r="N13" i="3"/>
  <c r="L13" i="3"/>
  <c r="K13" i="3"/>
  <c r="J13" i="3"/>
  <c r="I13" i="3"/>
  <c r="H13" i="3"/>
  <c r="G13" i="3"/>
  <c r="F13" i="3"/>
  <c r="E13" i="3"/>
  <c r="D13" i="3"/>
  <c r="W12" i="3"/>
  <c r="V12" i="3"/>
  <c r="U12" i="3"/>
  <c r="S12" i="3"/>
  <c r="R12" i="3"/>
  <c r="T12" i="3" s="1"/>
  <c r="Q12" i="3"/>
  <c r="P12" i="3"/>
  <c r="O12" i="3"/>
  <c r="N12" i="3"/>
  <c r="L12" i="3"/>
  <c r="K12" i="3"/>
  <c r="J12" i="3"/>
  <c r="I12" i="3"/>
  <c r="H12" i="3"/>
  <c r="G12" i="3"/>
  <c r="F12" i="3"/>
  <c r="E12" i="3"/>
  <c r="D12" i="3"/>
  <c r="Z11" i="3"/>
  <c r="V11" i="3"/>
  <c r="U11" i="3"/>
  <c r="Y11" i="3" s="1"/>
  <c r="S11" i="3"/>
  <c r="X11" i="3" s="1"/>
  <c r="R11" i="3"/>
  <c r="W11" i="3" s="1"/>
  <c r="Q11" i="3"/>
  <c r="P11" i="3"/>
  <c r="O11" i="3"/>
  <c r="N11" i="3"/>
  <c r="L11" i="3"/>
  <c r="K11" i="3"/>
  <c r="J11" i="3"/>
  <c r="I11" i="3"/>
  <c r="H11" i="3"/>
  <c r="G11" i="3"/>
  <c r="F11" i="3"/>
  <c r="E11" i="3"/>
  <c r="D11" i="3"/>
  <c r="X10" i="3"/>
  <c r="V10" i="3"/>
  <c r="U10" i="3"/>
  <c r="Y10" i="3" s="1"/>
  <c r="S10" i="3"/>
  <c r="R10" i="3"/>
  <c r="W10" i="3" s="1"/>
  <c r="Q10" i="3"/>
  <c r="P10" i="3"/>
  <c r="O10" i="3"/>
  <c r="N10" i="3"/>
  <c r="L10" i="3"/>
  <c r="K10" i="3"/>
  <c r="I10" i="3"/>
  <c r="H10" i="3"/>
  <c r="J10" i="3" s="1"/>
  <c r="G10" i="3"/>
  <c r="F10" i="3"/>
  <c r="E10" i="3"/>
  <c r="D10" i="3"/>
  <c r="Y9" i="3"/>
  <c r="W9" i="3"/>
  <c r="V9" i="3"/>
  <c r="Z9" i="3" s="1"/>
  <c r="U9" i="3"/>
  <c r="T9" i="3"/>
  <c r="S9" i="3"/>
  <c r="X9" i="3" s="1"/>
  <c r="R9" i="3"/>
  <c r="Q9" i="3"/>
  <c r="P9" i="3"/>
  <c r="O9" i="3"/>
  <c r="N9" i="3"/>
  <c r="L9" i="3"/>
  <c r="K9" i="3"/>
  <c r="J9" i="3"/>
  <c r="I9" i="3"/>
  <c r="H9" i="3"/>
  <c r="G9" i="3"/>
  <c r="F9" i="3"/>
  <c r="E9" i="3"/>
  <c r="D9" i="3"/>
  <c r="X8" i="3"/>
  <c r="V8" i="3"/>
  <c r="Z8" i="3" s="1"/>
  <c r="U8" i="3"/>
  <c r="Y8" i="3" s="1"/>
  <c r="T8" i="3"/>
  <c r="S8" i="3"/>
  <c r="R8" i="3"/>
  <c r="Q8" i="3"/>
  <c r="P8" i="3"/>
  <c r="O8" i="3"/>
  <c r="N8" i="3"/>
  <c r="L8" i="3"/>
  <c r="K8" i="3"/>
  <c r="I8" i="3"/>
  <c r="H8" i="3"/>
  <c r="J8" i="3" s="1"/>
  <c r="G8" i="3"/>
  <c r="F8" i="3"/>
  <c r="E8" i="3"/>
  <c r="D8" i="3"/>
  <c r="Y7" i="3"/>
  <c r="V7" i="3"/>
  <c r="Z7" i="3" s="1"/>
  <c r="U7" i="3"/>
  <c r="T7" i="3"/>
  <c r="S7" i="3"/>
  <c r="X7" i="3" s="1"/>
  <c r="R7" i="3"/>
  <c r="Q7" i="3"/>
  <c r="P7" i="3"/>
  <c r="O7" i="3"/>
  <c r="N7" i="3"/>
  <c r="L7" i="3"/>
  <c r="K7" i="3"/>
  <c r="I7" i="3"/>
  <c r="H7" i="3"/>
  <c r="G7" i="3"/>
  <c r="F7" i="3"/>
  <c r="E7" i="3"/>
  <c r="D7" i="3"/>
  <c r="W6" i="3"/>
  <c r="V6" i="3"/>
  <c r="Z6" i="3" s="1"/>
  <c r="U6" i="3"/>
  <c r="S6" i="3"/>
  <c r="X6" i="3" s="1"/>
  <c r="R6" i="3"/>
  <c r="T6" i="3" s="1"/>
  <c r="Q6" i="3"/>
  <c r="P6" i="3"/>
  <c r="O6" i="3"/>
  <c r="N6" i="3"/>
  <c r="L6" i="3"/>
  <c r="K6" i="3"/>
  <c r="J6" i="3"/>
  <c r="I6" i="3"/>
  <c r="H6" i="3"/>
  <c r="G6" i="3"/>
  <c r="F6" i="3"/>
  <c r="E6" i="3"/>
  <c r="D6" i="3"/>
  <c r="Y5" i="3"/>
  <c r="V5" i="3"/>
  <c r="U5" i="3"/>
  <c r="S5" i="3"/>
  <c r="X5" i="3" s="1"/>
  <c r="R5" i="3"/>
  <c r="Q5" i="3"/>
  <c r="P5" i="3"/>
  <c r="O5" i="3"/>
  <c r="N5" i="3"/>
  <c r="L5" i="3"/>
  <c r="Z5" i="3" s="1"/>
  <c r="K5" i="3"/>
  <c r="I5" i="3"/>
  <c r="H5" i="3"/>
  <c r="J5" i="3" s="1"/>
  <c r="G5" i="3"/>
  <c r="F5" i="3"/>
  <c r="E5" i="3"/>
  <c r="D5" i="3"/>
  <c r="Z4" i="3"/>
  <c r="V4" i="3"/>
  <c r="U4" i="3"/>
  <c r="Y4" i="3" s="1"/>
  <c r="T4" i="3"/>
  <c r="S4" i="3"/>
  <c r="X4" i="3" s="1"/>
  <c r="R4" i="3"/>
  <c r="W4" i="3" s="1"/>
  <c r="Q4" i="3"/>
  <c r="P4" i="3"/>
  <c r="O4" i="3"/>
  <c r="N4" i="3"/>
  <c r="L4" i="3"/>
  <c r="K4" i="3"/>
  <c r="J4" i="3"/>
  <c r="I4" i="3"/>
  <c r="H4" i="3"/>
  <c r="G4" i="3"/>
  <c r="F4" i="3"/>
  <c r="E4" i="3"/>
  <c r="D4" i="3"/>
  <c r="Z3" i="3"/>
  <c r="W3" i="3"/>
  <c r="V3" i="3"/>
  <c r="U3" i="3"/>
  <c r="S3" i="3"/>
  <c r="R3" i="3"/>
  <c r="T3" i="3" s="1"/>
  <c r="Q3" i="3"/>
  <c r="P3" i="3"/>
  <c r="O3" i="3"/>
  <c r="N3" i="3"/>
  <c r="L3" i="3"/>
  <c r="K3" i="3"/>
  <c r="Y3" i="3" s="1"/>
  <c r="I3" i="3"/>
  <c r="H3" i="3"/>
  <c r="J3" i="3" s="1"/>
  <c r="G3" i="3"/>
  <c r="F3" i="3"/>
  <c r="E3" i="3"/>
  <c r="D3" i="3"/>
  <c r="AD8" i="2"/>
  <c r="AB4" i="2"/>
  <c r="AB5" i="2" s="1"/>
  <c r="AB6" i="2" s="1"/>
  <c r="AB7" i="2" s="1"/>
  <c r="AB8" i="2" s="1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B51" i="1"/>
  <c r="B50" i="1"/>
  <c r="B48" i="1"/>
  <c r="B47" i="1"/>
  <c r="B46" i="1"/>
  <c r="B45" i="1"/>
  <c r="B44" i="1"/>
  <c r="C42" i="1"/>
  <c r="B39" i="1"/>
  <c r="B38" i="1"/>
  <c r="B37" i="1"/>
  <c r="B35" i="1"/>
  <c r="B34" i="1"/>
  <c r="B33" i="1"/>
  <c r="B32" i="1"/>
  <c r="B31" i="1"/>
  <c r="C29" i="1"/>
  <c r="B26" i="1"/>
  <c r="B52" i="1" s="1"/>
  <c r="B25" i="1"/>
  <c r="B24" i="1"/>
  <c r="B22" i="1"/>
  <c r="B21" i="1"/>
  <c r="B20" i="1"/>
  <c r="B19" i="1"/>
  <c r="B18" i="1"/>
  <c r="C16" i="1"/>
  <c r="O15" i="1"/>
  <c r="O8" i="1"/>
  <c r="C3" i="1"/>
  <c r="O2" i="1"/>
  <c r="AB35" i="5"/>
  <c r="AE31" i="5"/>
  <c r="AG55" i="4"/>
  <c r="AE115" i="4"/>
  <c r="AC27" i="6"/>
  <c r="AD115" i="6"/>
  <c r="AC27" i="4"/>
  <c r="AE27" i="6"/>
  <c r="AB35" i="3"/>
  <c r="AG55" i="5"/>
  <c r="AF87" i="5"/>
  <c r="AB95" i="4"/>
  <c r="AD119" i="6"/>
  <c r="AF119" i="4"/>
  <c r="AF47" i="6"/>
  <c r="AC27" i="5"/>
  <c r="AE71" i="6"/>
  <c r="AG47" i="4"/>
  <c r="AB99" i="5"/>
  <c r="AB91" i="3"/>
  <c r="AC39" i="5"/>
  <c r="AC15" i="3"/>
  <c r="AF103" i="6"/>
  <c r="AD75" i="4"/>
  <c r="AE99" i="4"/>
  <c r="AD63" i="3"/>
  <c r="AB75" i="6"/>
  <c r="AD67" i="3"/>
  <c r="AG63" i="3"/>
  <c r="AB59" i="6"/>
  <c r="AB87" i="5"/>
  <c r="AF111" i="6"/>
  <c r="AF7" i="4"/>
  <c r="AB27" i="3"/>
  <c r="AB39" i="6"/>
  <c r="AC63" i="3"/>
  <c r="AF107" i="3"/>
  <c r="AD95" i="5"/>
  <c r="AE15" i="3"/>
  <c r="AB59" i="4"/>
  <c r="AC99" i="6"/>
  <c r="AD71" i="4"/>
  <c r="AD27" i="3"/>
  <c r="AF51" i="6"/>
  <c r="AG51" i="3"/>
  <c r="AD107" i="6"/>
  <c r="AC79" i="5"/>
  <c r="AF107" i="6"/>
  <c r="AG3" i="4"/>
  <c r="AD115" i="5"/>
  <c r="AD67" i="6"/>
  <c r="AB95" i="3"/>
  <c r="AC107" i="6"/>
  <c r="AG31" i="6"/>
  <c r="AD47" i="5"/>
  <c r="AE71" i="4"/>
  <c r="AC115" i="3"/>
  <c r="AE91" i="6"/>
  <c r="AD119" i="5"/>
  <c r="AC47" i="3"/>
  <c r="AF35" i="6"/>
  <c r="AF103" i="3"/>
  <c r="AB91" i="5"/>
  <c r="AF115" i="4"/>
  <c r="AF83" i="3"/>
  <c r="AC95" i="6"/>
  <c r="AE59" i="4"/>
  <c r="AC59" i="6"/>
  <c r="AC43" i="6"/>
  <c r="AE47" i="6"/>
  <c r="AD19" i="4"/>
  <c r="AD111" i="4"/>
  <c r="AG119" i="3"/>
  <c r="AD107" i="4"/>
  <c r="AE51" i="4"/>
  <c r="AC107" i="3"/>
  <c r="AD27" i="5"/>
  <c r="AG91" i="6"/>
  <c r="AE99" i="3"/>
  <c r="AC39" i="3"/>
  <c r="AE51" i="5"/>
  <c r="AG107" i="4"/>
  <c r="AC23" i="4"/>
  <c r="AB115" i="6"/>
  <c r="AF63" i="4"/>
  <c r="AC63" i="6"/>
  <c r="AC119" i="4"/>
  <c r="AD91" i="4"/>
  <c r="AF35" i="4"/>
  <c r="AB23" i="4"/>
  <c r="AD55" i="4"/>
  <c r="AC11" i="3"/>
  <c r="AC67" i="4"/>
  <c r="AE19" i="3"/>
  <c r="AB103" i="6"/>
  <c r="AD43" i="4"/>
  <c r="AG119" i="6"/>
  <c r="AB39" i="4"/>
  <c r="AB99" i="4"/>
  <c r="AB7" i="4"/>
  <c r="AF63" i="6"/>
  <c r="AF91" i="3"/>
  <c r="AB119" i="5"/>
  <c r="AG47" i="5"/>
  <c r="AG39" i="5"/>
  <c r="AB63" i="4"/>
  <c r="AE35" i="3"/>
  <c r="AF71" i="6"/>
  <c r="AB51" i="4"/>
  <c r="AG27" i="5"/>
  <c r="AC35" i="3"/>
  <c r="AB31" i="6"/>
  <c r="AB99" i="3"/>
  <c r="AD83" i="5"/>
  <c r="AB7" i="3"/>
  <c r="AE103" i="4"/>
  <c r="AD71" i="3"/>
  <c r="AE87" i="6"/>
  <c r="AG59" i="4"/>
  <c r="AG71" i="3"/>
  <c r="AG35" i="4"/>
  <c r="AF39" i="6"/>
  <c r="AD103" i="6"/>
  <c r="AD7" i="4"/>
  <c r="AE95" i="3"/>
  <c r="AC107" i="4"/>
  <c r="AD79" i="6"/>
  <c r="AF115" i="3"/>
  <c r="AG71" i="6"/>
  <c r="AF27" i="3"/>
  <c r="AC115" i="4"/>
  <c r="AE119" i="5"/>
  <c r="AB71" i="6"/>
  <c r="AE63" i="6"/>
  <c r="AE11" i="3"/>
  <c r="AF99" i="6"/>
  <c r="AB15" i="3"/>
  <c r="AG107" i="6"/>
  <c r="AE115" i="3"/>
  <c r="AE115" i="6"/>
  <c r="AD35" i="4"/>
  <c r="AE7" i="4"/>
  <c r="AB27" i="6"/>
  <c r="AE31" i="6"/>
  <c r="AE87" i="3"/>
  <c r="AG35" i="5"/>
  <c r="AC39" i="4"/>
  <c r="AC31" i="5"/>
  <c r="AC103" i="3"/>
  <c r="AB107" i="6"/>
  <c r="AB67" i="6"/>
  <c r="AG107" i="3"/>
  <c r="AB111" i="4"/>
  <c r="AB67" i="5"/>
  <c r="AC103" i="5"/>
  <c r="AC91" i="3"/>
  <c r="AB75" i="5"/>
  <c r="AD23" i="4"/>
  <c r="AF75" i="4"/>
  <c r="AE55" i="3"/>
  <c r="AE83" i="6"/>
  <c r="AC47" i="4"/>
  <c r="AC67" i="3"/>
  <c r="AB15" i="4"/>
  <c r="AE111" i="5"/>
  <c r="AF79" i="6"/>
  <c r="AC71" i="3"/>
  <c r="AB47" i="3"/>
  <c r="AD99" i="4"/>
  <c r="AC51" i="6"/>
  <c r="AB111" i="3"/>
  <c r="AF43" i="5"/>
  <c r="AC119" i="3"/>
  <c r="AD95" i="4"/>
  <c r="AC99" i="5"/>
  <c r="AD35" i="3"/>
  <c r="AF59" i="6"/>
  <c r="AF111" i="3"/>
  <c r="AG31" i="3"/>
  <c r="AB43" i="6"/>
  <c r="AB55" i="6"/>
  <c r="AG47" i="6"/>
  <c r="AE99" i="6"/>
  <c r="AE111" i="6"/>
  <c r="AG115" i="5"/>
  <c r="AC91" i="4"/>
  <c r="AD59" i="4"/>
  <c r="AF31" i="4"/>
  <c r="AC55" i="3"/>
  <c r="AD47" i="3"/>
  <c r="AB63" i="3"/>
  <c r="AE47" i="4"/>
  <c r="AB79" i="3"/>
  <c r="AG23" i="4"/>
  <c r="AC27" i="3"/>
  <c r="AB3" i="4"/>
  <c r="AC71" i="5"/>
  <c r="AB71" i="3"/>
  <c r="AG95" i="4"/>
  <c r="AE39" i="3"/>
  <c r="AE67" i="6"/>
  <c r="AD27" i="4"/>
  <c r="AC51" i="3"/>
  <c r="AF103" i="5"/>
  <c r="AC31" i="3"/>
  <c r="AE31" i="4"/>
  <c r="AE119" i="6"/>
  <c r="AG119" i="4"/>
  <c r="AG19" i="3"/>
  <c r="AD63" i="6"/>
  <c r="AG103" i="3"/>
  <c r="AD35" i="5"/>
  <c r="AB87" i="3"/>
  <c r="AB71" i="5"/>
  <c r="AF71" i="4"/>
  <c r="AC75" i="6"/>
  <c r="AG43" i="3"/>
  <c r="AC107" i="5"/>
  <c r="AF35" i="3"/>
  <c r="AF95" i="4"/>
  <c r="AG83" i="3"/>
  <c r="AE67" i="4"/>
  <c r="AB107" i="3"/>
  <c r="AD87" i="5"/>
  <c r="AF51" i="4"/>
  <c r="AE71" i="3"/>
  <c r="AC95" i="3"/>
  <c r="AG31" i="4"/>
  <c r="AC115" i="5"/>
  <c r="AD39" i="5"/>
  <c r="AE67" i="3"/>
  <c r="AE27" i="5"/>
  <c r="AD55" i="3"/>
  <c r="AF95" i="5"/>
  <c r="AG83" i="6"/>
  <c r="AE43" i="4"/>
  <c r="AG115" i="3"/>
  <c r="AC19" i="3"/>
  <c r="AG63" i="6"/>
  <c r="AB19" i="4"/>
  <c r="AG35" i="3"/>
  <c r="AE35" i="5"/>
  <c r="AF99" i="5"/>
  <c r="AG11" i="3"/>
  <c r="AD119" i="3"/>
  <c r="AC115" i="6"/>
  <c r="AG63" i="4"/>
  <c r="AG23" i="3"/>
  <c r="AB115" i="3"/>
  <c r="AG35" i="6"/>
  <c r="AC99" i="3"/>
  <c r="AD43" i="3"/>
  <c r="AF43" i="4"/>
  <c r="AE95" i="5"/>
  <c r="AF15" i="3"/>
  <c r="AD55" i="5"/>
  <c r="AG11" i="4"/>
  <c r="AG51" i="6"/>
  <c r="AC55" i="6"/>
  <c r="AB115" i="5"/>
  <c r="AC39" i="6"/>
  <c r="AF55" i="3"/>
  <c r="AB119" i="3"/>
  <c r="AD3" i="3"/>
  <c r="AC51" i="4"/>
  <c r="AD103" i="5"/>
  <c r="AE83" i="5"/>
  <c r="AB91" i="6"/>
  <c r="AF27" i="6"/>
  <c r="AC59" i="3"/>
  <c r="AD51" i="3"/>
  <c r="AC63" i="5"/>
  <c r="AB35" i="4"/>
  <c r="AF115" i="6"/>
  <c r="AD103" i="3"/>
  <c r="AE107" i="4"/>
  <c r="AB111" i="5"/>
  <c r="AF31" i="6"/>
  <c r="AF99" i="3"/>
  <c r="AF67" i="5"/>
  <c r="AE39" i="4"/>
  <c r="AF91" i="5"/>
  <c r="AF7" i="3"/>
  <c r="AG75" i="3"/>
  <c r="AF91" i="6"/>
  <c r="AE55" i="4"/>
  <c r="AE107" i="6"/>
  <c r="AF59" i="3"/>
  <c r="AC31" i="6"/>
  <c r="AD91" i="3"/>
  <c r="AB79" i="6"/>
  <c r="AB31" i="4"/>
  <c r="AC91" i="5"/>
  <c r="AD11" i="3"/>
  <c r="AB51" i="5"/>
  <c r="AE95" i="6"/>
  <c r="AC63" i="4"/>
  <c r="AF79" i="3"/>
  <c r="AD43" i="6"/>
  <c r="AB103" i="3"/>
  <c r="AG59" i="6"/>
  <c r="AG51" i="4"/>
  <c r="AE79" i="5"/>
  <c r="AD111" i="5"/>
  <c r="AE67" i="5"/>
  <c r="AG87" i="3"/>
  <c r="AG27" i="6"/>
  <c r="AF75" i="5"/>
  <c r="AC87" i="3"/>
  <c r="AC7" i="3"/>
  <c r="AG39" i="6"/>
  <c r="AB107" i="5"/>
  <c r="AF39" i="4"/>
  <c r="AG79" i="3"/>
  <c r="AD115" i="3"/>
  <c r="AG115" i="4"/>
  <c r="AF111" i="5"/>
  <c r="AE79" i="3"/>
  <c r="AG15" i="4"/>
  <c r="AG103" i="5"/>
  <c r="AG99" i="5"/>
  <c r="AG91" i="3"/>
  <c r="AE119" i="3"/>
  <c r="AB83" i="3"/>
  <c r="AF71" i="5"/>
  <c r="AD99" i="6"/>
  <c r="AF35" i="5"/>
  <c r="AC67" i="6"/>
  <c r="AB43" i="4"/>
  <c r="AF119" i="3"/>
  <c r="AG43" i="4"/>
  <c r="AD99" i="5"/>
  <c r="AG15" i="3"/>
  <c r="AE3" i="4"/>
  <c r="AF31" i="3"/>
  <c r="AC75" i="5"/>
  <c r="AB119" i="6"/>
  <c r="AD119" i="4"/>
  <c r="AG87" i="6"/>
  <c r="AD107" i="3"/>
  <c r="AG39" i="4"/>
  <c r="AB35" i="6"/>
  <c r="AF19" i="3"/>
  <c r="AG47" i="3"/>
  <c r="AF67" i="6"/>
  <c r="AF111" i="4"/>
  <c r="AE111" i="4"/>
  <c r="AF11" i="4"/>
  <c r="AG111" i="6"/>
  <c r="AG7" i="4"/>
  <c r="AE115" i="5"/>
  <c r="AE43" i="3"/>
  <c r="AF87" i="3"/>
  <c r="AG55" i="6"/>
  <c r="AG91" i="5"/>
  <c r="AG75" i="5"/>
  <c r="AB75" i="3"/>
  <c r="AF47" i="3"/>
  <c r="AF63" i="5"/>
  <c r="AB59" i="5"/>
  <c r="AC35" i="6"/>
  <c r="AC83" i="3"/>
  <c r="AD31" i="6"/>
  <c r="AB27" i="4"/>
  <c r="AD39" i="3"/>
  <c r="AC79" i="3"/>
  <c r="AD91" i="5"/>
  <c r="AD7" i="3"/>
  <c r="AE83" i="3"/>
  <c r="AE63" i="5"/>
  <c r="AE55" i="5"/>
  <c r="AF95" i="6"/>
  <c r="AF103" i="4"/>
  <c r="AE75" i="6"/>
  <c r="AG67" i="3"/>
  <c r="AB39" i="3"/>
  <c r="AD107" i="5"/>
  <c r="AC87" i="6"/>
  <c r="AE15" i="4"/>
  <c r="AE35" i="4"/>
  <c r="AB103" i="4"/>
  <c r="AB75" i="4"/>
  <c r="AE27" i="3"/>
  <c r="AC103" i="6"/>
  <c r="AC111" i="3"/>
  <c r="AB79" i="5"/>
  <c r="AE23" i="3"/>
  <c r="AB59" i="3"/>
  <c r="AC23" i="3"/>
  <c r="AE43" i="5"/>
  <c r="AF51" i="5"/>
  <c r="AB83" i="5"/>
  <c r="AB47" i="6"/>
  <c r="AE103" i="5"/>
  <c r="AD99" i="3"/>
  <c r="AG27" i="3"/>
  <c r="AG115" i="6"/>
  <c r="AF83" i="5"/>
  <c r="AB3" i="3"/>
  <c r="AC43" i="3"/>
  <c r="AD43" i="5"/>
  <c r="AC51" i="5"/>
  <c r="AC91" i="6"/>
  <c r="AG75" i="4"/>
  <c r="AC71" i="6"/>
  <c r="AD15" i="3"/>
  <c r="AG43" i="5"/>
  <c r="AE87" i="5"/>
  <c r="AC83" i="6"/>
  <c r="AB51" i="3"/>
  <c r="AD95" i="3"/>
  <c r="AF99" i="4"/>
  <c r="AB71" i="4"/>
  <c r="AE55" i="6"/>
  <c r="AB87" i="6"/>
  <c r="AF71" i="3"/>
  <c r="AC111" i="4"/>
  <c r="AB19" i="3"/>
  <c r="AG67" i="5"/>
  <c r="AF47" i="4"/>
  <c r="AC47" i="6"/>
  <c r="AF119" i="5"/>
  <c r="AG99" i="3"/>
  <c r="AD47" i="6"/>
  <c r="AG111" i="3"/>
  <c r="AG107" i="5"/>
  <c r="AE75" i="4"/>
  <c r="AC15" i="4"/>
  <c r="AF95" i="3"/>
  <c r="AD59" i="6"/>
  <c r="AF75" i="3"/>
  <c r="AD67" i="4"/>
  <c r="AD79" i="3"/>
  <c r="AG71" i="5"/>
  <c r="AB27" i="5"/>
  <c r="AE107" i="3"/>
  <c r="AB47" i="4"/>
  <c r="AF27" i="4"/>
  <c r="AB63" i="5"/>
  <c r="AD19" i="3"/>
  <c r="AC55" i="4"/>
  <c r="AD11" i="4"/>
  <c r="AE111" i="3"/>
  <c r="AD63" i="5"/>
  <c r="AD31" i="3"/>
  <c r="AC111" i="6"/>
  <c r="AD75" i="3"/>
  <c r="AE47" i="5"/>
  <c r="AG79" i="5"/>
  <c r="AG63" i="5"/>
  <c r="AE99" i="5"/>
  <c r="AE91" i="3"/>
  <c r="AD23" i="3"/>
  <c r="AG31" i="5"/>
  <c r="AD75" i="5"/>
  <c r="AF83" i="6"/>
  <c r="AF55" i="6"/>
  <c r="AF31" i="5"/>
  <c r="AB47" i="5"/>
  <c r="AF75" i="6"/>
  <c r="AG71" i="4"/>
  <c r="AF43" i="6"/>
  <c r="AB11" i="3"/>
  <c r="AD31" i="4"/>
  <c r="AF79" i="5"/>
  <c r="AE51" i="6"/>
  <c r="AE59" i="6"/>
  <c r="AF3" i="3"/>
  <c r="AE91" i="4"/>
  <c r="AD111" i="3"/>
  <c r="AD67" i="5"/>
  <c r="AB83" i="6"/>
  <c r="AB67" i="3"/>
  <c r="AB107" i="4"/>
  <c r="AG55" i="3"/>
  <c r="AE3" i="3"/>
  <c r="AG3" i="3"/>
  <c r="AF67" i="3"/>
  <c r="AB31" i="3"/>
  <c r="AC11" i="4"/>
  <c r="AB39" i="5"/>
  <c r="AC119" i="6"/>
  <c r="AD63" i="4"/>
  <c r="AF107" i="5"/>
  <c r="AC3" i="4"/>
  <c r="AB43" i="3"/>
  <c r="AC71" i="4"/>
  <c r="AD51" i="6"/>
  <c r="AF107" i="4"/>
  <c r="AB51" i="6"/>
  <c r="AB91" i="4"/>
  <c r="AE47" i="3"/>
  <c r="AE75" i="5"/>
  <c r="AC47" i="5"/>
  <c r="AE35" i="6"/>
  <c r="AC103" i="4"/>
  <c r="AE23" i="4"/>
  <c r="AF39" i="3"/>
  <c r="AC43" i="4"/>
  <c r="AF39" i="5"/>
  <c r="AC83" i="5"/>
  <c r="AD83" i="6"/>
  <c r="AF23" i="4"/>
  <c r="AF119" i="6"/>
  <c r="AD27" i="6"/>
  <c r="AB103" i="5"/>
  <c r="AG79" i="6"/>
  <c r="AC59" i="5"/>
  <c r="AG7" i="3"/>
  <c r="AD15" i="4"/>
  <c r="AD59" i="3"/>
  <c r="AB43" i="5"/>
  <c r="AD47" i="4"/>
  <c r="AG27" i="4"/>
  <c r="AG95" i="5"/>
  <c r="AD87" i="3"/>
  <c r="AC119" i="5"/>
  <c r="AD39" i="4"/>
  <c r="AD71" i="5"/>
  <c r="AE107" i="5"/>
  <c r="AD3" i="4"/>
  <c r="AE31" i="3"/>
  <c r="AE39" i="5"/>
  <c r="AD71" i="6"/>
  <c r="AF67" i="4"/>
  <c r="AD35" i="6"/>
  <c r="AD75" i="6"/>
  <c r="AF19" i="4"/>
  <c r="AD115" i="4"/>
  <c r="AE39" i="6"/>
  <c r="AG19" i="4"/>
  <c r="AE103" i="6"/>
  <c r="AC75" i="4"/>
  <c r="AF51" i="3"/>
  <c r="AG95" i="3"/>
  <c r="AE79" i="6"/>
  <c r="AC99" i="4"/>
  <c r="AC7" i="4"/>
  <c r="AD31" i="5"/>
  <c r="AE91" i="5"/>
  <c r="AF27" i="5"/>
  <c r="AF55" i="5"/>
  <c r="AD83" i="3"/>
  <c r="AB63" i="6"/>
  <c r="AE43" i="6"/>
  <c r="AG119" i="5"/>
  <c r="AB99" i="6"/>
  <c r="AC67" i="5"/>
  <c r="AE95" i="4"/>
  <c r="AB23" i="3"/>
  <c r="AF59" i="5"/>
  <c r="AB11" i="4"/>
  <c r="AE59" i="5"/>
  <c r="AE27" i="4"/>
  <c r="AG95" i="6"/>
  <c r="AD55" i="6"/>
  <c r="AF59" i="4"/>
  <c r="AC59" i="4"/>
  <c r="AF15" i="4"/>
  <c r="AC19" i="4"/>
  <c r="AE63" i="4"/>
  <c r="AE19" i="4"/>
  <c r="AF3" i="4"/>
  <c r="AB55" i="5"/>
  <c r="AB31" i="5"/>
  <c r="AC55" i="5"/>
  <c r="AC111" i="5"/>
  <c r="AG51" i="5"/>
  <c r="AE75" i="3"/>
  <c r="AE119" i="4"/>
  <c r="AG111" i="4"/>
  <c r="AG39" i="3"/>
  <c r="AE51" i="3"/>
  <c r="AB95" i="6"/>
  <c r="AD39" i="6"/>
  <c r="AD95" i="6"/>
  <c r="AE7" i="3"/>
  <c r="AG59" i="5"/>
  <c r="AG87" i="5"/>
  <c r="AD79" i="5"/>
  <c r="AC31" i="4"/>
  <c r="AB111" i="6"/>
  <c r="AC3" i="3"/>
  <c r="AD91" i="6"/>
  <c r="AB115" i="4"/>
  <c r="AF115" i="5"/>
  <c r="AC35" i="4"/>
  <c r="AF87" i="6"/>
  <c r="AG75" i="6"/>
  <c r="AF91" i="4"/>
  <c r="AF47" i="5"/>
  <c r="AG103" i="6"/>
  <c r="AG59" i="3"/>
  <c r="AC35" i="5"/>
  <c r="AF55" i="4"/>
  <c r="AC79" i="6"/>
  <c r="AG67" i="6"/>
  <c r="AG83" i="5"/>
  <c r="AF11" i="3"/>
  <c r="AC95" i="4"/>
  <c r="AD59" i="5"/>
  <c r="AD51" i="5"/>
  <c r="AB119" i="4"/>
  <c r="AE63" i="3"/>
  <c r="AG99" i="6"/>
  <c r="AG103" i="4"/>
  <c r="AG43" i="6"/>
  <c r="AB55" i="4"/>
  <c r="AC95" i="5"/>
  <c r="AB95" i="5"/>
  <c r="AB55" i="3"/>
  <c r="AC87" i="5"/>
  <c r="AB67" i="4"/>
  <c r="AF43" i="3"/>
  <c r="AD51" i="4"/>
  <c r="AF63" i="3"/>
  <c r="AG91" i="4"/>
  <c r="AG67" i="4"/>
  <c r="AD103" i="4"/>
  <c r="AD87" i="6"/>
  <c r="AG111" i="5"/>
  <c r="AE71" i="5"/>
  <c r="AE11" i="4"/>
  <c r="AG99" i="4"/>
  <c r="AF23" i="3"/>
  <c r="AD111" i="6"/>
  <c r="AC75" i="3"/>
  <c r="AE103" i="3"/>
  <c r="AE59" i="3"/>
  <c r="AC43" i="5"/>
  <c r="Z72" i="4" l="1"/>
  <c r="Y103" i="4"/>
  <c r="Z66" i="4"/>
  <c r="X76" i="4"/>
  <c r="W97" i="4"/>
  <c r="T97" i="4"/>
  <c r="Z103" i="4"/>
  <c r="X109" i="4"/>
  <c r="Z115" i="4"/>
  <c r="J30" i="4"/>
  <c r="J29" i="4"/>
  <c r="W29" i="4"/>
  <c r="Y94" i="4"/>
  <c r="W109" i="4"/>
  <c r="T49" i="4"/>
  <c r="W49" i="4"/>
  <c r="W69" i="4"/>
  <c r="T69" i="4"/>
  <c r="T76" i="4"/>
  <c r="W76" i="4"/>
  <c r="T106" i="4"/>
  <c r="T10" i="4"/>
  <c r="W10" i="4"/>
  <c r="J103" i="4"/>
  <c r="W103" i="4"/>
  <c r="T112" i="4"/>
  <c r="W112" i="4"/>
  <c r="T17" i="4"/>
  <c r="W17" i="4"/>
  <c r="T61" i="4"/>
  <c r="W61" i="4"/>
  <c r="X54" i="4"/>
  <c r="Z118" i="4"/>
  <c r="T99" i="4"/>
  <c r="W99" i="4"/>
  <c r="Z26" i="4"/>
  <c r="T92" i="4"/>
  <c r="W92" i="4"/>
  <c r="T98" i="4"/>
  <c r="W98" i="4"/>
  <c r="W118" i="4"/>
  <c r="J42" i="4"/>
  <c r="W42" i="4"/>
  <c r="W93" i="4"/>
  <c r="J102" i="4"/>
  <c r="W102" i="4"/>
  <c r="T60" i="4"/>
  <c r="W60" i="4"/>
  <c r="Z119" i="4"/>
  <c r="J31" i="4"/>
  <c r="W31" i="4"/>
  <c r="T53" i="4"/>
  <c r="W53" i="4"/>
  <c r="J77" i="4"/>
  <c r="J101" i="4"/>
  <c r="J154" i="4" s="1"/>
  <c r="W101" i="4"/>
  <c r="W50" i="4"/>
  <c r="T50" i="4"/>
  <c r="T113" i="4"/>
  <c r="W113" i="4"/>
  <c r="J28" i="4"/>
  <c r="W28" i="4"/>
  <c r="X42" i="4"/>
  <c r="Y29" i="4"/>
  <c r="J32" i="4"/>
  <c r="W32" i="4"/>
  <c r="Z67" i="4"/>
  <c r="Z116" i="4"/>
  <c r="Y4" i="4"/>
  <c r="Y76" i="4"/>
  <c r="I124" i="4"/>
  <c r="T23" i="4"/>
  <c r="I126" i="4"/>
  <c r="Z76" i="4"/>
  <c r="X8" i="4"/>
  <c r="W19" i="4"/>
  <c r="T21" i="4"/>
  <c r="T22" i="4"/>
  <c r="Y23" i="4"/>
  <c r="X34" i="4"/>
  <c r="Z45" i="4"/>
  <c r="X56" i="4"/>
  <c r="Z64" i="4"/>
  <c r="Z68" i="4"/>
  <c r="Z69" i="4"/>
  <c r="X19" i="4"/>
  <c r="W20" i="4"/>
  <c r="Z23" i="4"/>
  <c r="Y34" i="4"/>
  <c r="X44" i="4"/>
  <c r="Y56" i="4"/>
  <c r="W68" i="4"/>
  <c r="W104" i="4"/>
  <c r="X119" i="4"/>
  <c r="Y7" i="4"/>
  <c r="Z21" i="4"/>
  <c r="Z22" i="4"/>
  <c r="X33" i="4"/>
  <c r="Z34" i="4"/>
  <c r="W43" i="4"/>
  <c r="Y44" i="4"/>
  <c r="X55" i="4"/>
  <c r="Z56" i="4"/>
  <c r="X103" i="4"/>
  <c r="X104" i="4"/>
  <c r="X116" i="4"/>
  <c r="W142" i="4"/>
  <c r="Z3" i="4"/>
  <c r="Z6" i="4"/>
  <c r="Y26" i="4"/>
  <c r="X43" i="4"/>
  <c r="W54" i="4"/>
  <c r="Z129" i="4"/>
  <c r="I25" i="1" s="1"/>
  <c r="Z111" i="4"/>
  <c r="W114" i="4"/>
  <c r="Y118" i="4"/>
  <c r="W120" i="4"/>
  <c r="W121" i="4"/>
  <c r="X37" i="4"/>
  <c r="T40" i="4"/>
  <c r="Z41" i="4"/>
  <c r="W47" i="4"/>
  <c r="Y51" i="4"/>
  <c r="Y75" i="4"/>
  <c r="Z93" i="4"/>
  <c r="Z58" i="4"/>
  <c r="Y71" i="4"/>
  <c r="Z94" i="4"/>
  <c r="X10" i="4"/>
  <c r="Z71" i="4"/>
  <c r="Y106" i="4"/>
  <c r="Y107" i="4"/>
  <c r="T39" i="4"/>
  <c r="T63" i="4"/>
  <c r="T152" i="4" s="1"/>
  <c r="W152" i="4" s="1"/>
  <c r="T96" i="4"/>
  <c r="Z106" i="4"/>
  <c r="X26" i="4"/>
  <c r="Y40" i="4"/>
  <c r="W62" i="4"/>
  <c r="Z63" i="4"/>
  <c r="Z75" i="4"/>
  <c r="Z96" i="4"/>
  <c r="Y111" i="4"/>
  <c r="Y9" i="4"/>
  <c r="T47" i="4"/>
  <c r="W51" i="4"/>
  <c r="Y73" i="4"/>
  <c r="Z74" i="4"/>
  <c r="Y105" i="4"/>
  <c r="X117" i="5"/>
  <c r="Y49" i="5"/>
  <c r="W64" i="5"/>
  <c r="Z49" i="5"/>
  <c r="X64" i="5"/>
  <c r="X101" i="5"/>
  <c r="W111" i="5"/>
  <c r="Z117" i="5"/>
  <c r="X59" i="5"/>
  <c r="Y65" i="5"/>
  <c r="Y102" i="5"/>
  <c r="Z32" i="5"/>
  <c r="Z65" i="5"/>
  <c r="X43" i="5"/>
  <c r="W58" i="5"/>
  <c r="Z96" i="5"/>
  <c r="X111" i="5"/>
  <c r="X48" i="5"/>
  <c r="X51" i="5"/>
  <c r="Y101" i="5"/>
  <c r="Y111" i="5"/>
  <c r="Y46" i="5"/>
  <c r="Y48" i="5"/>
  <c r="Y56" i="5"/>
  <c r="Y90" i="5"/>
  <c r="X93" i="5"/>
  <c r="Z101" i="5"/>
  <c r="Z106" i="5"/>
  <c r="W45" i="5"/>
  <c r="Z48" i="5"/>
  <c r="Z51" i="5"/>
  <c r="Z53" i="5"/>
  <c r="Y95" i="5"/>
  <c r="X100" i="5"/>
  <c r="X32" i="5"/>
  <c r="X42" i="5"/>
  <c r="Y84" i="5"/>
  <c r="Y32" i="5"/>
  <c r="Y42" i="5"/>
  <c r="Z89" i="5"/>
  <c r="Z100" i="5"/>
  <c r="W41" i="5"/>
  <c r="Z47" i="5"/>
  <c r="X88" i="5"/>
  <c r="X99" i="5"/>
  <c r="Y52" i="5"/>
  <c r="W89" i="5"/>
  <c r="X29" i="5"/>
  <c r="X41" i="5"/>
  <c r="Y88" i="5"/>
  <c r="X104" i="5"/>
  <c r="T58" i="5"/>
  <c r="X75" i="5"/>
  <c r="X78" i="5"/>
  <c r="W90" i="5"/>
  <c r="Z52" i="5"/>
  <c r="S141" i="5"/>
  <c r="X80" i="5"/>
  <c r="Z114" i="5"/>
  <c r="Y34" i="5"/>
  <c r="W52" i="5"/>
  <c r="X57" i="5"/>
  <c r="Z61" i="5"/>
  <c r="Z73" i="5"/>
  <c r="Z75" i="5"/>
  <c r="Y80" i="5"/>
  <c r="Y86" i="5"/>
  <c r="W98" i="5"/>
  <c r="Z99" i="5"/>
  <c r="X110" i="5"/>
  <c r="I153" i="5"/>
  <c r="X149" i="5"/>
  <c r="I126" i="5"/>
  <c r="W53" i="5"/>
  <c r="Y64" i="5"/>
  <c r="X73" i="5"/>
  <c r="Z81" i="5"/>
  <c r="X86" i="5"/>
  <c r="Z111" i="5"/>
  <c r="X34" i="5"/>
  <c r="Y58" i="5"/>
  <c r="Z64" i="5"/>
  <c r="Y73" i="5"/>
  <c r="Y75" i="5"/>
  <c r="Y78" i="5"/>
  <c r="T86" i="5"/>
  <c r="Y99" i="5"/>
  <c r="Z29" i="5"/>
  <c r="X45" i="5"/>
  <c r="Z80" i="5"/>
  <c r="W85" i="5"/>
  <c r="Z86" i="5"/>
  <c r="S154" i="5"/>
  <c r="Y110" i="5"/>
  <c r="S150" i="5"/>
  <c r="X33" i="5"/>
  <c r="Y50" i="5"/>
  <c r="Y85" i="5"/>
  <c r="Z92" i="5"/>
  <c r="Z98" i="5"/>
  <c r="W109" i="5"/>
  <c r="W112" i="5"/>
  <c r="X120" i="5"/>
  <c r="X38" i="5"/>
  <c r="X44" i="5"/>
  <c r="Z50" i="5"/>
  <c r="X56" i="5"/>
  <c r="Z85" i="5"/>
  <c r="S143" i="5"/>
  <c r="W92" i="5"/>
  <c r="X103" i="5"/>
  <c r="X109" i="5"/>
  <c r="Y118" i="5"/>
  <c r="X138" i="5"/>
  <c r="W27" i="5"/>
  <c r="Z28" i="5"/>
  <c r="Z33" i="5"/>
  <c r="Y38" i="5"/>
  <c r="Z42" i="5"/>
  <c r="W49" i="5"/>
  <c r="W61" i="5"/>
  <c r="Y68" i="5"/>
  <c r="W73" i="5"/>
  <c r="Y91" i="5"/>
  <c r="T103" i="5"/>
  <c r="Y107" i="5"/>
  <c r="Y47" i="5"/>
  <c r="Y27" i="5"/>
  <c r="X58" i="5"/>
  <c r="W83" i="5"/>
  <c r="Y106" i="5"/>
  <c r="Y117" i="5"/>
  <c r="J45" i="5"/>
  <c r="W51" i="5"/>
  <c r="Z57" i="5"/>
  <c r="X62" i="5"/>
  <c r="X77" i="5"/>
  <c r="X85" i="5"/>
  <c r="Y89" i="5"/>
  <c r="Z110" i="5"/>
  <c r="Z121" i="5"/>
  <c r="Z107" i="5"/>
  <c r="W91" i="5"/>
  <c r="Z95" i="5"/>
  <c r="Z27" i="5"/>
  <c r="Z90" i="5"/>
  <c r="Z102" i="5"/>
  <c r="W149" i="5"/>
  <c r="T64" i="5"/>
  <c r="T36" i="5"/>
  <c r="Y74" i="5"/>
  <c r="X98" i="5"/>
  <c r="W99" i="5"/>
  <c r="W100" i="5"/>
  <c r="T109" i="5"/>
  <c r="Z35" i="5"/>
  <c r="Y36" i="5"/>
  <c r="W60" i="5"/>
  <c r="W62" i="5"/>
  <c r="W71" i="5"/>
  <c r="T73" i="5"/>
  <c r="Z74" i="5"/>
  <c r="Z84" i="5"/>
  <c r="T108" i="5"/>
  <c r="Y109" i="5"/>
  <c r="W117" i="5"/>
  <c r="W120" i="5"/>
  <c r="W31" i="5"/>
  <c r="Z34" i="5"/>
  <c r="W35" i="5"/>
  <c r="Z36" i="5"/>
  <c r="X71" i="5"/>
  <c r="W74" i="5"/>
  <c r="T82" i="5"/>
  <c r="T83" i="5"/>
  <c r="J90" i="5"/>
  <c r="Y108" i="5"/>
  <c r="Z109" i="5"/>
  <c r="Z119" i="5"/>
  <c r="X31" i="5"/>
  <c r="W33" i="5"/>
  <c r="T71" i="5"/>
  <c r="S128" i="5"/>
  <c r="W80" i="5"/>
  <c r="W95" i="5"/>
  <c r="Y96" i="5"/>
  <c r="Z108" i="5"/>
  <c r="Y113" i="5"/>
  <c r="W116" i="5"/>
  <c r="Z118" i="5"/>
  <c r="T85" i="5"/>
  <c r="Y51" i="5"/>
  <c r="I141" i="5"/>
  <c r="Z82" i="5"/>
  <c r="X95" i="5"/>
  <c r="X112" i="5"/>
  <c r="W118" i="5"/>
  <c r="Y28" i="5"/>
  <c r="Z77" i="5"/>
  <c r="Z91" i="5"/>
  <c r="T40" i="5"/>
  <c r="Y55" i="5"/>
  <c r="Z58" i="5"/>
  <c r="W59" i="5"/>
  <c r="Y67" i="5"/>
  <c r="X70" i="5"/>
  <c r="Z87" i="5"/>
  <c r="W101" i="5"/>
  <c r="Y116" i="5"/>
  <c r="X28" i="5"/>
  <c r="Y59" i="5"/>
  <c r="Y77" i="5"/>
  <c r="W81" i="5"/>
  <c r="W57" i="5"/>
  <c r="Z59" i="5"/>
  <c r="W70" i="5"/>
  <c r="X115" i="5"/>
  <c r="Y30" i="5"/>
  <c r="Z38" i="5"/>
  <c r="T41" i="5"/>
  <c r="Z44" i="5"/>
  <c r="X94" i="5"/>
  <c r="Z116" i="5"/>
  <c r="W67" i="5"/>
  <c r="Y43" i="5"/>
  <c r="Z70" i="5"/>
  <c r="W93" i="5"/>
  <c r="W105" i="5"/>
  <c r="Z43" i="5"/>
  <c r="X53" i="5"/>
  <c r="X54" i="5"/>
  <c r="X69" i="5"/>
  <c r="W42" i="5"/>
  <c r="W43" i="5"/>
  <c r="Y54" i="5"/>
  <c r="W72" i="5"/>
  <c r="X74" i="5"/>
  <c r="W77" i="5"/>
  <c r="X92" i="5"/>
  <c r="Y98" i="5"/>
  <c r="Y100" i="5"/>
  <c r="W104" i="5"/>
  <c r="Y29" i="5"/>
  <c r="Y53" i="5"/>
  <c r="Z54" i="5"/>
  <c r="Y62" i="5"/>
  <c r="Z63" i="5"/>
  <c r="Z105" i="5"/>
  <c r="X119" i="5"/>
  <c r="W148" i="5"/>
  <c r="AG124" i="4"/>
  <c r="AB129" i="4"/>
  <c r="C25" i="1" s="1"/>
  <c r="AB130" i="4"/>
  <c r="C26" i="1" s="1"/>
  <c r="AB128" i="5"/>
  <c r="C35" i="1" s="1"/>
  <c r="AG131" i="6"/>
  <c r="AG126" i="6"/>
  <c r="AD128" i="6"/>
  <c r="E48" i="1" s="1"/>
  <c r="AF130" i="6"/>
  <c r="AC129" i="4"/>
  <c r="D25" i="1" s="1"/>
  <c r="AC130" i="4"/>
  <c r="D26" i="1" s="1"/>
  <c r="AC128" i="5"/>
  <c r="D35" i="1" s="1"/>
  <c r="AE128" i="6"/>
  <c r="AG130" i="6"/>
  <c r="AB126" i="3"/>
  <c r="C8" i="1" s="1"/>
  <c r="AE125" i="3"/>
  <c r="AE128" i="3"/>
  <c r="AE126" i="6"/>
  <c r="AD130" i="6"/>
  <c r="E52" i="1" s="1"/>
  <c r="AG127" i="3"/>
  <c r="AF131" i="4"/>
  <c r="AB130" i="5"/>
  <c r="C39" i="1" s="1"/>
  <c r="AF128" i="6"/>
  <c r="AB126" i="4"/>
  <c r="C21" i="1" s="1"/>
  <c r="AE129" i="4"/>
  <c r="AE130" i="4"/>
  <c r="AE128" i="5"/>
  <c r="AC130" i="5"/>
  <c r="D39" i="1" s="1"/>
  <c r="AG128" i="6"/>
  <c r="AB128" i="3"/>
  <c r="C9" i="1" s="1"/>
  <c r="AB124" i="4"/>
  <c r="C19" i="1" s="1"/>
  <c r="AD125" i="3"/>
  <c r="E7" i="1" s="1"/>
  <c r="AD127" i="3"/>
  <c r="E11" i="1" s="1"/>
  <c r="AD128" i="3"/>
  <c r="E9" i="1" s="1"/>
  <c r="AC124" i="4"/>
  <c r="D19" i="1" s="1"/>
  <c r="AC126" i="6"/>
  <c r="D47" i="1" s="1"/>
  <c r="AE124" i="4"/>
  <c r="AG126" i="3"/>
  <c r="AF125" i="6"/>
  <c r="AD129" i="4"/>
  <c r="E25" i="1" s="1"/>
  <c r="AD130" i="4"/>
  <c r="E26" i="1" s="1"/>
  <c r="AD128" i="5"/>
  <c r="E35" i="1" s="1"/>
  <c r="AB124" i="3"/>
  <c r="C6" i="1" s="1"/>
  <c r="AB130" i="3"/>
  <c r="C13" i="1" s="1"/>
  <c r="AC126" i="4"/>
  <c r="D21" i="1" s="1"/>
  <c r="AF129" i="4"/>
  <c r="AF130" i="4"/>
  <c r="AF128" i="5"/>
  <c r="AD130" i="5"/>
  <c r="E39" i="1" s="1"/>
  <c r="AC131" i="4"/>
  <c r="D23" i="1" s="1"/>
  <c r="AF125" i="3"/>
  <c r="AF128" i="3"/>
  <c r="AC124" i="3"/>
  <c r="D6" i="1" s="1"/>
  <c r="AD124" i="3"/>
  <c r="E6" i="1" s="1"/>
  <c r="AD130" i="3"/>
  <c r="E13" i="1" s="1"/>
  <c r="AE126" i="4"/>
  <c r="AC127" i="4"/>
  <c r="D24" i="1" s="1"/>
  <c r="AF130" i="5"/>
  <c r="AB129" i="6"/>
  <c r="C51" i="1" s="1"/>
  <c r="AE124" i="3"/>
  <c r="AB129" i="3"/>
  <c r="C12" i="1" s="1"/>
  <c r="AE130" i="3"/>
  <c r="AF126" i="4"/>
  <c r="AD127" i="4"/>
  <c r="E24" i="1" s="1"/>
  <c r="AB129" i="5"/>
  <c r="C38" i="1" s="1"/>
  <c r="AG130" i="5"/>
  <c r="AB127" i="6"/>
  <c r="C50" i="1" s="1"/>
  <c r="AC129" i="6"/>
  <c r="D51" i="1" s="1"/>
  <c r="AF124" i="3"/>
  <c r="AC129" i="3"/>
  <c r="D12" i="1" s="1"/>
  <c r="AF130" i="3"/>
  <c r="AG126" i="4"/>
  <c r="AE127" i="4"/>
  <c r="AB126" i="5"/>
  <c r="C34" i="1" s="1"/>
  <c r="AC129" i="5"/>
  <c r="D38" i="1" s="1"/>
  <c r="AC127" i="6"/>
  <c r="D50" i="1" s="1"/>
  <c r="AD129" i="6"/>
  <c r="E51" i="1" s="1"/>
  <c r="AE127" i="5"/>
  <c r="AB127" i="3"/>
  <c r="C11" i="1" s="1"/>
  <c r="AC126" i="3"/>
  <c r="D8" i="1" s="1"/>
  <c r="AC127" i="3"/>
  <c r="D11" i="1" s="1"/>
  <c r="AC131" i="5"/>
  <c r="D36" i="1" s="1"/>
  <c r="AE127" i="3"/>
  <c r="AD123" i="4"/>
  <c r="E18" i="1" s="1"/>
  <c r="AE131" i="4"/>
  <c r="AB128" i="6"/>
  <c r="C48" i="1" s="1"/>
  <c r="AG131" i="5"/>
  <c r="AF126" i="6"/>
  <c r="AG129" i="4"/>
  <c r="AE130" i="5"/>
  <c r="AB131" i="3"/>
  <c r="C10" i="1" s="1"/>
  <c r="AG124" i="3"/>
  <c r="AD129" i="3"/>
  <c r="E12" i="1" s="1"/>
  <c r="AG130" i="3"/>
  <c r="AF127" i="4"/>
  <c r="AC126" i="5"/>
  <c r="D34" i="1" s="1"/>
  <c r="AD129" i="5"/>
  <c r="E38" i="1" s="1"/>
  <c r="AD127" i="6"/>
  <c r="E50" i="1" s="1"/>
  <c r="AE129" i="6"/>
  <c r="AE125" i="4"/>
  <c r="AC128" i="3"/>
  <c r="D9" i="1" s="1"/>
  <c r="AB131" i="4"/>
  <c r="C23" i="1" s="1"/>
  <c r="AD126" i="3"/>
  <c r="E8" i="1" s="1"/>
  <c r="AB130" i="6"/>
  <c r="C52" i="1" s="1"/>
  <c r="AD131" i="6"/>
  <c r="E49" i="1" s="1"/>
  <c r="AD126" i="6"/>
  <c r="E47" i="1" s="1"/>
  <c r="AF127" i="3"/>
  <c r="AF131" i="5"/>
  <c r="AG125" i="3"/>
  <c r="AG128" i="3"/>
  <c r="AE130" i="6"/>
  <c r="AB127" i="4"/>
  <c r="C24" i="1" s="1"/>
  <c r="AG130" i="4"/>
  <c r="AE129" i="3"/>
  <c r="AB125" i="4"/>
  <c r="C20" i="1" s="1"/>
  <c r="AG127" i="4"/>
  <c r="AD126" i="5"/>
  <c r="E34" i="1" s="1"/>
  <c r="AB127" i="5"/>
  <c r="C37" i="1" s="1"/>
  <c r="AE129" i="5"/>
  <c r="AE127" i="6"/>
  <c r="AF129" i="6"/>
  <c r="AG126" i="5"/>
  <c r="AB125" i="3"/>
  <c r="C7" i="1" s="1"/>
  <c r="AF125" i="4"/>
  <c r="AB125" i="5"/>
  <c r="C33" i="1" s="1"/>
  <c r="AG125" i="4"/>
  <c r="AG127" i="5"/>
  <c r="AB126" i="6"/>
  <c r="C47" i="1" s="1"/>
  <c r="AC130" i="6"/>
  <c r="D52" i="1" s="1"/>
  <c r="AE131" i="6"/>
  <c r="AF124" i="4"/>
  <c r="AC128" i="6"/>
  <c r="D48" i="1" s="1"/>
  <c r="AD126" i="4"/>
  <c r="E21" i="1" s="1"/>
  <c r="AG128" i="5"/>
  <c r="AF129" i="3"/>
  <c r="AC125" i="4"/>
  <c r="D20" i="1" s="1"/>
  <c r="AE126" i="5"/>
  <c r="AC127" i="5"/>
  <c r="D37" i="1" s="1"/>
  <c r="AF129" i="5"/>
  <c r="AF127" i="6"/>
  <c r="AG129" i="6"/>
  <c r="AF127" i="5"/>
  <c r="AC125" i="3"/>
  <c r="D7" i="1" s="1"/>
  <c r="AD125" i="5"/>
  <c r="E33" i="1" s="1"/>
  <c r="AC125" i="6"/>
  <c r="D46" i="1" s="1"/>
  <c r="AE126" i="3"/>
  <c r="AD124" i="4"/>
  <c r="E19" i="1" s="1"/>
  <c r="AF126" i="3"/>
  <c r="AC130" i="3"/>
  <c r="D13" i="1" s="1"/>
  <c r="AG129" i="3"/>
  <c r="AD125" i="4"/>
  <c r="E20" i="1" s="1"/>
  <c r="AF126" i="5"/>
  <c r="AD127" i="5"/>
  <c r="E37" i="1" s="1"/>
  <c r="AG129" i="5"/>
  <c r="AG127" i="6"/>
  <c r="AD125" i="6"/>
  <c r="E46" i="1" s="1"/>
  <c r="AE125" i="6"/>
  <c r="AG125" i="6"/>
  <c r="AD131" i="5"/>
  <c r="E36" i="1" s="1"/>
  <c r="AD131" i="4"/>
  <c r="E23" i="1" s="1"/>
  <c r="AC123" i="4"/>
  <c r="D18" i="1" s="1"/>
  <c r="AE123" i="4"/>
  <c r="AF123" i="4"/>
  <c r="AC131" i="6"/>
  <c r="D49" i="1" s="1"/>
  <c r="AF125" i="5"/>
  <c r="AG125" i="5"/>
  <c r="AF131" i="6"/>
  <c r="AB123" i="4"/>
  <c r="C18" i="1" s="1"/>
  <c r="AB21" i="2"/>
  <c r="AB22" i="2" s="1"/>
  <c r="AB23" i="2" s="1"/>
  <c r="AB24" i="2" s="1"/>
  <c r="AB25" i="2" s="1"/>
  <c r="AB26" i="2" s="1"/>
  <c r="AB27" i="2" s="1"/>
  <c r="AB28" i="2" s="1"/>
  <c r="AC3" i="2"/>
  <c r="J150" i="3"/>
  <c r="J139" i="3"/>
  <c r="J125" i="3"/>
  <c r="W86" i="3"/>
  <c r="W128" i="3" s="1"/>
  <c r="F9" i="1" s="1"/>
  <c r="T86" i="3"/>
  <c r="T97" i="3"/>
  <c r="T143" i="3" s="1"/>
  <c r="W143" i="3" s="1"/>
  <c r="W97" i="3"/>
  <c r="J137" i="4"/>
  <c r="J148" i="4"/>
  <c r="J123" i="4"/>
  <c r="J131" i="4"/>
  <c r="W18" i="3"/>
  <c r="J18" i="3"/>
  <c r="J138" i="3" s="1"/>
  <c r="J124" i="3"/>
  <c r="J149" i="3"/>
  <c r="W30" i="3"/>
  <c r="J30" i="3"/>
  <c r="I127" i="3"/>
  <c r="J130" i="3"/>
  <c r="J155" i="3"/>
  <c r="J144" i="3"/>
  <c r="S131" i="3"/>
  <c r="S137" i="3"/>
  <c r="S148" i="3"/>
  <c r="S123" i="3"/>
  <c r="S132" i="3"/>
  <c r="W80" i="3"/>
  <c r="T80" i="3"/>
  <c r="W84" i="3"/>
  <c r="T84" i="3"/>
  <c r="J140" i="3"/>
  <c r="W56" i="4"/>
  <c r="T56" i="4"/>
  <c r="W69" i="3"/>
  <c r="T69" i="3"/>
  <c r="W119" i="3"/>
  <c r="T119" i="3"/>
  <c r="X140" i="3"/>
  <c r="X3" i="3"/>
  <c r="X19" i="3"/>
  <c r="W23" i="3"/>
  <c r="T23" i="3"/>
  <c r="W118" i="3"/>
  <c r="T118" i="3"/>
  <c r="S139" i="4"/>
  <c r="X30" i="4"/>
  <c r="X4" i="4"/>
  <c r="I148" i="4"/>
  <c r="Z123" i="3"/>
  <c r="I5" i="1" s="1"/>
  <c r="T10" i="3"/>
  <c r="T137" i="3" s="1"/>
  <c r="T11" i="3"/>
  <c r="X18" i="3"/>
  <c r="X124" i="3" s="1"/>
  <c r="G6" i="1" s="1"/>
  <c r="Y19" i="3"/>
  <c r="W25" i="3"/>
  <c r="Y31" i="3"/>
  <c r="I126" i="3"/>
  <c r="W5" i="3"/>
  <c r="W123" i="3" s="1"/>
  <c r="F5" i="1" s="1"/>
  <c r="T5" i="3"/>
  <c r="T148" i="3" s="1"/>
  <c r="W93" i="3"/>
  <c r="W129" i="3" s="1"/>
  <c r="F12" i="1" s="1"/>
  <c r="J93" i="3"/>
  <c r="J154" i="3" s="1"/>
  <c r="W13" i="3"/>
  <c r="Z19" i="3"/>
  <c r="X30" i="3"/>
  <c r="I140" i="3"/>
  <c r="W68" i="3"/>
  <c r="T68" i="3"/>
  <c r="W107" i="3"/>
  <c r="W130" i="3" s="1"/>
  <c r="F13" i="1" s="1"/>
  <c r="W115" i="3"/>
  <c r="Z10" i="3"/>
  <c r="X13" i="3"/>
  <c r="W16" i="4"/>
  <c r="T16" i="4"/>
  <c r="W85" i="3"/>
  <c r="T85" i="3"/>
  <c r="W40" i="3"/>
  <c r="AD131" i="3"/>
  <c r="E10" i="1" s="1"/>
  <c r="AD123" i="3"/>
  <c r="E5" i="1" s="1"/>
  <c r="W14" i="3"/>
  <c r="W26" i="3"/>
  <c r="Y30" i="3"/>
  <c r="Y125" i="3" s="1"/>
  <c r="H7" i="1" s="1"/>
  <c r="W34" i="3"/>
  <c r="W59" i="3"/>
  <c r="W102" i="3"/>
  <c r="T102" i="3"/>
  <c r="W114" i="3"/>
  <c r="J126" i="4"/>
  <c r="AC131" i="3"/>
  <c r="D10" i="1" s="1"/>
  <c r="AC123" i="3"/>
  <c r="D5" i="1" s="1"/>
  <c r="X32" i="3"/>
  <c r="Z18" i="3"/>
  <c r="Z124" i="3" s="1"/>
  <c r="I6" i="1" s="1"/>
  <c r="X12" i="3"/>
  <c r="W16" i="3"/>
  <c r="T16" i="3"/>
  <c r="T124" i="3" s="1"/>
  <c r="Y17" i="3"/>
  <c r="Y124" i="3" s="1"/>
  <c r="H6" i="1" s="1"/>
  <c r="T21" i="3"/>
  <c r="T22" i="3"/>
  <c r="T138" i="3" s="1"/>
  <c r="X24" i="3"/>
  <c r="W33" i="3"/>
  <c r="I152" i="3"/>
  <c r="I141" i="3"/>
  <c r="J65" i="3"/>
  <c r="J127" i="3" s="1"/>
  <c r="I128" i="3"/>
  <c r="Z113" i="3"/>
  <c r="AB123" i="3"/>
  <c r="C5" i="1" s="1"/>
  <c r="I151" i="3"/>
  <c r="W28" i="3"/>
  <c r="T28" i="3"/>
  <c r="T37" i="3"/>
  <c r="W37" i="3"/>
  <c r="S124" i="3"/>
  <c r="J151" i="3"/>
  <c r="W63" i="3"/>
  <c r="W87" i="3"/>
  <c r="T87" i="3"/>
  <c r="T153" i="3" s="1"/>
  <c r="W153" i="3" s="1"/>
  <c r="W101" i="3"/>
  <c r="T101" i="3"/>
  <c r="T154" i="3" s="1"/>
  <c r="W154" i="3" s="1"/>
  <c r="Z105" i="3"/>
  <c r="Z106" i="3"/>
  <c r="J152" i="4"/>
  <c r="Y6" i="3"/>
  <c r="Z12" i="3"/>
  <c r="Z21" i="3"/>
  <c r="W36" i="3"/>
  <c r="T36" i="3"/>
  <c r="W46" i="3"/>
  <c r="T46" i="3"/>
  <c r="T125" i="3" s="1"/>
  <c r="S141" i="3"/>
  <c r="S127" i="3"/>
  <c r="S152" i="3"/>
  <c r="X63" i="3"/>
  <c r="X127" i="3" s="1"/>
  <c r="G11" i="1" s="1"/>
  <c r="Y129" i="3"/>
  <c r="H12" i="1" s="1"/>
  <c r="W7" i="3"/>
  <c r="J7" i="3"/>
  <c r="J148" i="3" s="1"/>
  <c r="T55" i="3"/>
  <c r="W55" i="3"/>
  <c r="W43" i="3"/>
  <c r="T43" i="3"/>
  <c r="X54" i="3"/>
  <c r="T63" i="3"/>
  <c r="X92" i="3"/>
  <c r="S129" i="3"/>
  <c r="Y98" i="3"/>
  <c r="W100" i="3"/>
  <c r="T100" i="3"/>
  <c r="Z108" i="3"/>
  <c r="Z130" i="3" s="1"/>
  <c r="I13" i="1" s="1"/>
  <c r="Y12" i="3"/>
  <c r="Y131" i="3" s="1"/>
  <c r="H10" i="1" s="1"/>
  <c r="I123" i="3"/>
  <c r="W126" i="3"/>
  <c r="F8" i="1" s="1"/>
  <c r="W89" i="3"/>
  <c r="W108" i="3"/>
  <c r="W75" i="4"/>
  <c r="T78" i="5"/>
  <c r="W78" i="5"/>
  <c r="W8" i="3"/>
  <c r="W15" i="3"/>
  <c r="W124" i="3" s="1"/>
  <c r="F6" i="1" s="1"/>
  <c r="W27" i="3"/>
  <c r="Z41" i="3"/>
  <c r="Z42" i="3"/>
  <c r="W50" i="3"/>
  <c r="W70" i="3"/>
  <c r="X128" i="3"/>
  <c r="G9" i="1" s="1"/>
  <c r="J143" i="3"/>
  <c r="W98" i="3"/>
  <c r="Z109" i="3"/>
  <c r="Y115" i="3"/>
  <c r="I132" i="4"/>
  <c r="I131" i="4"/>
  <c r="I137" i="4"/>
  <c r="W116" i="4"/>
  <c r="T116" i="4"/>
  <c r="T41" i="4"/>
  <c r="W41" i="4"/>
  <c r="Z109" i="4"/>
  <c r="I132" i="3"/>
  <c r="I148" i="3"/>
  <c r="W53" i="3"/>
  <c r="T53" i="3"/>
  <c r="T140" i="3" s="1"/>
  <c r="W140" i="3" s="1"/>
  <c r="I143" i="3"/>
  <c r="J138" i="4"/>
  <c r="J124" i="4"/>
  <c r="J149" i="4"/>
  <c r="I150" i="4"/>
  <c r="I139" i="4"/>
  <c r="I125" i="4"/>
  <c r="X27" i="4"/>
  <c r="X52" i="5"/>
  <c r="S126" i="5"/>
  <c r="W119" i="5"/>
  <c r="J119" i="5"/>
  <c r="J116" i="6"/>
  <c r="W116" i="6"/>
  <c r="X143" i="6"/>
  <c r="S151" i="3"/>
  <c r="X151" i="3" s="1"/>
  <c r="Z69" i="3"/>
  <c r="J153" i="3"/>
  <c r="J128" i="3"/>
  <c r="J142" i="3"/>
  <c r="Z87" i="3"/>
  <c r="J150" i="4"/>
  <c r="J125" i="4"/>
  <c r="J139" i="4"/>
  <c r="Z44" i="4"/>
  <c r="W52" i="4"/>
  <c r="I123" i="4"/>
  <c r="AE131" i="3"/>
  <c r="AE123" i="3"/>
  <c r="AF131" i="3"/>
  <c r="AF123" i="3"/>
  <c r="AG131" i="3"/>
  <c r="AG123" i="3"/>
  <c r="I138" i="3"/>
  <c r="I124" i="3"/>
  <c r="I149" i="3"/>
  <c r="I150" i="3"/>
  <c r="I139" i="3"/>
  <c r="W31" i="3"/>
  <c r="Y53" i="3"/>
  <c r="Y68" i="3"/>
  <c r="Y127" i="3" s="1"/>
  <c r="H11" i="1" s="1"/>
  <c r="I153" i="3"/>
  <c r="Y86" i="3"/>
  <c r="Z102" i="3"/>
  <c r="X121" i="3"/>
  <c r="I125" i="3"/>
  <c r="I154" i="3"/>
  <c r="W102" i="5"/>
  <c r="X31" i="3"/>
  <c r="X125" i="3" s="1"/>
  <c r="G7" i="1" s="1"/>
  <c r="Y52" i="3"/>
  <c r="Y126" i="3" s="1"/>
  <c r="H8" i="1" s="1"/>
  <c r="Z68" i="3"/>
  <c r="Z127" i="3" s="1"/>
  <c r="I11" i="1" s="1"/>
  <c r="T72" i="3"/>
  <c r="T73" i="3"/>
  <c r="T74" i="3"/>
  <c r="T75" i="3"/>
  <c r="Z84" i="3"/>
  <c r="Z128" i="3" s="1"/>
  <c r="I9" i="1" s="1"/>
  <c r="Z85" i="3"/>
  <c r="Z86" i="3"/>
  <c r="S131" i="4"/>
  <c r="W34" i="6"/>
  <c r="T34" i="6"/>
  <c r="S143" i="3"/>
  <c r="X91" i="3"/>
  <c r="X129" i="3" s="1"/>
  <c r="G12" i="1" s="1"/>
  <c r="S154" i="3"/>
  <c r="X154" i="3" s="1"/>
  <c r="I131" i="3"/>
  <c r="Y3" i="4"/>
  <c r="W4" i="4"/>
  <c r="X120" i="3"/>
  <c r="I144" i="3"/>
  <c r="T59" i="4"/>
  <c r="W59" i="4"/>
  <c r="J110" i="4"/>
  <c r="J144" i="4" s="1"/>
  <c r="W110" i="4"/>
  <c r="W28" i="5"/>
  <c r="T28" i="5"/>
  <c r="I151" i="6"/>
  <c r="I140" i="6"/>
  <c r="I126" i="6"/>
  <c r="Z73" i="3"/>
  <c r="W24" i="3"/>
  <c r="Z30" i="3"/>
  <c r="Z125" i="3" s="1"/>
  <c r="I7" i="1" s="1"/>
  <c r="Z31" i="3"/>
  <c r="X47" i="3"/>
  <c r="X126" i="3" s="1"/>
  <c r="G8" i="1" s="1"/>
  <c r="X64" i="3"/>
  <c r="Y120" i="3"/>
  <c r="Y130" i="3" s="1"/>
  <c r="H13" i="1" s="1"/>
  <c r="W11" i="4"/>
  <c r="X59" i="4"/>
  <c r="W65" i="5"/>
  <c r="T65" i="5"/>
  <c r="W64" i="3"/>
  <c r="Z75" i="3"/>
  <c r="T57" i="3"/>
  <c r="Z91" i="3"/>
  <c r="S130" i="3"/>
  <c r="Z120" i="3"/>
  <c r="I129" i="3"/>
  <c r="S144" i="3"/>
  <c r="I152" i="4"/>
  <c r="S131" i="5"/>
  <c r="J139" i="6"/>
  <c r="Z74" i="3"/>
  <c r="T13" i="3"/>
  <c r="T24" i="3"/>
  <c r="T58" i="3"/>
  <c r="W92" i="3"/>
  <c r="T107" i="3"/>
  <c r="S155" i="3"/>
  <c r="X155" i="3" s="1"/>
  <c r="S138" i="4"/>
  <c r="X138" i="4" s="1"/>
  <c r="S124" i="4"/>
  <c r="S149" i="4"/>
  <c r="X149" i="4" s="1"/>
  <c r="W67" i="4"/>
  <c r="T67" i="4"/>
  <c r="J55" i="5"/>
  <c r="W55" i="5"/>
  <c r="X68" i="5"/>
  <c r="W99" i="6"/>
  <c r="J99" i="6"/>
  <c r="J143" i="6" s="1"/>
  <c r="W14" i="4"/>
  <c r="T14" i="4"/>
  <c r="X47" i="5"/>
  <c r="I140" i="5"/>
  <c r="I151" i="5"/>
  <c r="W80" i="6"/>
  <c r="J80" i="6"/>
  <c r="J142" i="6" s="1"/>
  <c r="X43" i="3"/>
  <c r="Y59" i="3"/>
  <c r="S153" i="3"/>
  <c r="X153" i="3" s="1"/>
  <c r="S128" i="3"/>
  <c r="S142" i="3"/>
  <c r="X142" i="3" s="1"/>
  <c r="X110" i="3"/>
  <c r="S126" i="3"/>
  <c r="T129" i="3"/>
  <c r="Z11" i="4"/>
  <c r="X14" i="4"/>
  <c r="Y47" i="4"/>
  <c r="Y58" i="4"/>
  <c r="S141" i="4"/>
  <c r="S127" i="4"/>
  <c r="S152" i="4"/>
  <c r="Y67" i="4"/>
  <c r="AE131" i="5"/>
  <c r="AE125" i="5"/>
  <c r="T27" i="6"/>
  <c r="W27" i="6"/>
  <c r="S138" i="3"/>
  <c r="X138" i="3" s="1"/>
  <c r="S149" i="3"/>
  <c r="X149" i="3" s="1"/>
  <c r="S139" i="3"/>
  <c r="W42" i="3"/>
  <c r="Z59" i="3"/>
  <c r="Z126" i="3" s="1"/>
  <c r="I8" i="1" s="1"/>
  <c r="I137" i="3"/>
  <c r="AG131" i="4"/>
  <c r="AG123" i="4"/>
  <c r="Z10" i="4"/>
  <c r="W18" i="4"/>
  <c r="T18" i="4"/>
  <c r="Y19" i="4"/>
  <c r="Z27" i="4"/>
  <c r="W46" i="4"/>
  <c r="X78" i="4"/>
  <c r="X42" i="3"/>
  <c r="W48" i="3"/>
  <c r="Y128" i="3"/>
  <c r="H9" i="1" s="1"/>
  <c r="W94" i="3"/>
  <c r="W99" i="3"/>
  <c r="X107" i="3"/>
  <c r="W109" i="3"/>
  <c r="X15" i="4"/>
  <c r="X124" i="4" s="1"/>
  <c r="G19" i="1" s="1"/>
  <c r="Z19" i="4"/>
  <c r="W35" i="4"/>
  <c r="X46" i="4"/>
  <c r="W55" i="4"/>
  <c r="T55" i="4"/>
  <c r="W57" i="4"/>
  <c r="T57" i="4"/>
  <c r="Y66" i="4"/>
  <c r="I139" i="5"/>
  <c r="AC125" i="5"/>
  <c r="D33" i="1" s="1"/>
  <c r="X69" i="4"/>
  <c r="I129" i="4"/>
  <c r="I154" i="4"/>
  <c r="I143" i="4"/>
  <c r="S144" i="5"/>
  <c r="S130" i="5"/>
  <c r="Z53" i="6"/>
  <c r="W98" i="6"/>
  <c r="J98" i="6"/>
  <c r="I130" i="6"/>
  <c r="J140" i="4"/>
  <c r="J151" i="4"/>
  <c r="I130" i="4"/>
  <c r="I144" i="4"/>
  <c r="I155" i="4"/>
  <c r="S123" i="4"/>
  <c r="W44" i="6"/>
  <c r="T44" i="6"/>
  <c r="J141" i="6"/>
  <c r="J127" i="6"/>
  <c r="J152" i="6"/>
  <c r="S142" i="6"/>
  <c r="X142" i="6" s="1"/>
  <c r="I154" i="6"/>
  <c r="I143" i="6"/>
  <c r="W34" i="5"/>
  <c r="J34" i="5"/>
  <c r="J125" i="5" s="1"/>
  <c r="J65" i="6"/>
  <c r="W65" i="6"/>
  <c r="S128" i="6"/>
  <c r="I143" i="5"/>
  <c r="I154" i="5"/>
  <c r="W29" i="6"/>
  <c r="T29" i="6"/>
  <c r="Y128" i="6"/>
  <c r="H48" i="1" s="1"/>
  <c r="I155" i="6"/>
  <c r="I156" i="6" s="1"/>
  <c r="I142" i="3"/>
  <c r="W3" i="4"/>
  <c r="X53" i="4"/>
  <c r="W64" i="4"/>
  <c r="W91" i="4"/>
  <c r="X65" i="5"/>
  <c r="S127" i="5"/>
  <c r="AB131" i="5"/>
  <c r="C36" i="1" s="1"/>
  <c r="X29" i="6"/>
  <c r="S132" i="6"/>
  <c r="S133" i="6" s="1"/>
  <c r="W53" i="6"/>
  <c r="J53" i="6"/>
  <c r="J131" i="6" s="1"/>
  <c r="W78" i="6"/>
  <c r="T78" i="6"/>
  <c r="S132" i="4"/>
  <c r="S133" i="4" s="1"/>
  <c r="X3" i="4"/>
  <c r="S137" i="4"/>
  <c r="S148" i="4"/>
  <c r="W26" i="4"/>
  <c r="X35" i="4"/>
  <c r="Y54" i="4"/>
  <c r="X64" i="4"/>
  <c r="S154" i="4"/>
  <c r="X91" i="4"/>
  <c r="Z60" i="5"/>
  <c r="S155" i="5"/>
  <c r="W63" i="6"/>
  <c r="T63" i="6"/>
  <c r="T119" i="6"/>
  <c r="T3" i="4"/>
  <c r="W9" i="4"/>
  <c r="I138" i="4"/>
  <c r="W25" i="4"/>
  <c r="T34" i="4"/>
  <c r="T35" i="4"/>
  <c r="T44" i="4"/>
  <c r="S126" i="4"/>
  <c r="S140" i="4"/>
  <c r="S151" i="4"/>
  <c r="Z52" i="4"/>
  <c r="Z126" i="4" s="1"/>
  <c r="I21" i="1" s="1"/>
  <c r="Y53" i="4"/>
  <c r="T64" i="4"/>
  <c r="W78" i="4"/>
  <c r="T91" i="4"/>
  <c r="W105" i="4"/>
  <c r="T105" i="4"/>
  <c r="T70" i="5"/>
  <c r="T87" i="5"/>
  <c r="W55" i="6"/>
  <c r="T55" i="6"/>
  <c r="X68" i="6"/>
  <c r="X127" i="6" s="1"/>
  <c r="G50" i="1" s="1"/>
  <c r="I152" i="6"/>
  <c r="W77" i="6"/>
  <c r="T77" i="6"/>
  <c r="X105" i="6"/>
  <c r="W111" i="6"/>
  <c r="T111" i="6"/>
  <c r="W39" i="5"/>
  <c r="S153" i="5"/>
  <c r="S142" i="5"/>
  <c r="W84" i="6"/>
  <c r="T84" i="6"/>
  <c r="T128" i="6" s="1"/>
  <c r="Z130" i="6"/>
  <c r="I52" i="1" s="1"/>
  <c r="W113" i="6"/>
  <c r="T113" i="6"/>
  <c r="T98" i="3"/>
  <c r="I130" i="3"/>
  <c r="T109" i="3"/>
  <c r="T120" i="3"/>
  <c r="T24" i="4"/>
  <c r="T25" i="4"/>
  <c r="T45" i="4"/>
  <c r="T46" i="4"/>
  <c r="T58" i="4"/>
  <c r="W65" i="4"/>
  <c r="X137" i="5"/>
  <c r="W62" i="6"/>
  <c r="T62" i="6"/>
  <c r="W102" i="6"/>
  <c r="T102" i="6"/>
  <c r="S129" i="6"/>
  <c r="S125" i="3"/>
  <c r="Y24" i="4"/>
  <c r="Y25" i="4"/>
  <c r="W37" i="4"/>
  <c r="J127" i="4"/>
  <c r="J141" i="4"/>
  <c r="Y77" i="4"/>
  <c r="Y78" i="4"/>
  <c r="Z107" i="4"/>
  <c r="S143" i="4"/>
  <c r="T39" i="5"/>
  <c r="W63" i="5"/>
  <c r="J63" i="5"/>
  <c r="Y76" i="5"/>
  <c r="J112" i="5"/>
  <c r="W115" i="5"/>
  <c r="T115" i="5"/>
  <c r="Y39" i="6"/>
  <c r="W70" i="6"/>
  <c r="T70" i="6"/>
  <c r="X73" i="6"/>
  <c r="Z95" i="6"/>
  <c r="W104" i="6"/>
  <c r="T104" i="6"/>
  <c r="S125" i="6"/>
  <c r="Z24" i="4"/>
  <c r="W27" i="4"/>
  <c r="W36" i="4"/>
  <c r="X47" i="4"/>
  <c r="Z59" i="4"/>
  <c r="I127" i="4"/>
  <c r="I141" i="4"/>
  <c r="W66" i="4"/>
  <c r="Z77" i="4"/>
  <c r="Z127" i="4" s="1"/>
  <c r="I24" i="1" s="1"/>
  <c r="Z78" i="4"/>
  <c r="X93" i="4"/>
  <c r="T104" i="4"/>
  <c r="S129" i="4"/>
  <c r="W38" i="5"/>
  <c r="T38" i="5"/>
  <c r="I152" i="5"/>
  <c r="I127" i="5"/>
  <c r="W69" i="5"/>
  <c r="Z76" i="5"/>
  <c r="X79" i="5"/>
  <c r="I128" i="5"/>
  <c r="I142" i="5"/>
  <c r="W84" i="5"/>
  <c r="X122" i="5"/>
  <c r="W137" i="5"/>
  <c r="W38" i="6"/>
  <c r="T38" i="6"/>
  <c r="T67" i="6"/>
  <c r="W72" i="6"/>
  <c r="W108" i="6"/>
  <c r="W130" i="6" s="1"/>
  <c r="F52" i="1" s="1"/>
  <c r="W112" i="6"/>
  <c r="T112" i="6"/>
  <c r="T4" i="4"/>
  <c r="X36" i="4"/>
  <c r="T37" i="4"/>
  <c r="X92" i="4"/>
  <c r="T93" i="4"/>
  <c r="J100" i="4"/>
  <c r="X107" i="4"/>
  <c r="T122" i="4"/>
  <c r="X30" i="5"/>
  <c r="W32" i="5"/>
  <c r="W47" i="5"/>
  <c r="W68" i="5"/>
  <c r="J79" i="5"/>
  <c r="X84" i="5"/>
  <c r="S126" i="6"/>
  <c r="S152" i="6"/>
  <c r="X152" i="6" s="1"/>
  <c r="T66" i="6"/>
  <c r="Z121" i="6"/>
  <c r="T36" i="4"/>
  <c r="W48" i="4"/>
  <c r="Y93" i="4"/>
  <c r="S155" i="4"/>
  <c r="X155" i="4" s="1"/>
  <c r="X121" i="4"/>
  <c r="W114" i="5"/>
  <c r="T114" i="5"/>
  <c r="W35" i="6"/>
  <c r="T35" i="6"/>
  <c r="T61" i="6"/>
  <c r="S154" i="6"/>
  <c r="X154" i="6" s="1"/>
  <c r="S150" i="3"/>
  <c r="X150" i="3" s="1"/>
  <c r="X28" i="4"/>
  <c r="Y36" i="4"/>
  <c r="Y92" i="4"/>
  <c r="T32" i="5"/>
  <c r="W37" i="5"/>
  <c r="T37" i="5"/>
  <c r="W46" i="5"/>
  <c r="T47" i="5"/>
  <c r="T95" i="5"/>
  <c r="W110" i="5"/>
  <c r="T110" i="5"/>
  <c r="T144" i="5" s="1"/>
  <c r="T111" i="5"/>
  <c r="W121" i="5"/>
  <c r="T121" i="5"/>
  <c r="I129" i="5"/>
  <c r="J125" i="6"/>
  <c r="W45" i="6"/>
  <c r="T45" i="6"/>
  <c r="Y46" i="6"/>
  <c r="I153" i="6"/>
  <c r="I128" i="6"/>
  <c r="S139" i="6"/>
  <c r="S153" i="6"/>
  <c r="W15" i="4"/>
  <c r="W38" i="4"/>
  <c r="T48" i="4"/>
  <c r="W70" i="4"/>
  <c r="Y110" i="4"/>
  <c r="T114" i="4"/>
  <c r="Z121" i="4"/>
  <c r="X37" i="5"/>
  <c r="W54" i="5"/>
  <c r="T54" i="5"/>
  <c r="W94" i="5"/>
  <c r="T94" i="5"/>
  <c r="W106" i="5"/>
  <c r="T106" i="5"/>
  <c r="I125" i="6"/>
  <c r="X45" i="6"/>
  <c r="W49" i="6"/>
  <c r="Y69" i="6"/>
  <c r="J81" i="6"/>
  <c r="W81" i="6"/>
  <c r="W29" i="5"/>
  <c r="X39" i="5"/>
  <c r="W48" i="5"/>
  <c r="X55" i="5"/>
  <c r="W66" i="5"/>
  <c r="X106" i="5"/>
  <c r="Z36" i="6"/>
  <c r="Z46" i="6"/>
  <c r="J153" i="6"/>
  <c r="J128" i="6"/>
  <c r="I144" i="6"/>
  <c r="Y37" i="5"/>
  <c r="Y70" i="5"/>
  <c r="S131" i="6"/>
  <c r="S150" i="6"/>
  <c r="X150" i="6" s="1"/>
  <c r="X27" i="6"/>
  <c r="T30" i="6"/>
  <c r="W30" i="6"/>
  <c r="T54" i="6"/>
  <c r="X70" i="6"/>
  <c r="W122" i="6"/>
  <c r="T122" i="6"/>
  <c r="X99" i="4"/>
  <c r="Y104" i="4"/>
  <c r="Y122" i="4"/>
  <c r="W113" i="5"/>
  <c r="Y114" i="5"/>
  <c r="W79" i="6"/>
  <c r="W128" i="6" s="1"/>
  <c r="F48" i="1" s="1"/>
  <c r="Y90" i="6"/>
  <c r="Y91" i="6"/>
  <c r="Y129" i="6" s="1"/>
  <c r="H51" i="1" s="1"/>
  <c r="W71" i="4"/>
  <c r="T71" i="4"/>
  <c r="Z120" i="4"/>
  <c r="Y121" i="4"/>
  <c r="X36" i="5"/>
  <c r="Z69" i="5"/>
  <c r="I155" i="5"/>
  <c r="X107" i="5"/>
  <c r="I144" i="5"/>
  <c r="I130" i="5"/>
  <c r="X113" i="5"/>
  <c r="X116" i="5"/>
  <c r="T117" i="5"/>
  <c r="W122" i="5"/>
  <c r="Z126" i="6"/>
  <c r="I47" i="1" s="1"/>
  <c r="Z54" i="6"/>
  <c r="Y56" i="6"/>
  <c r="Y126" i="6" s="1"/>
  <c r="H47" i="1" s="1"/>
  <c r="Y57" i="6"/>
  <c r="X79" i="6"/>
  <c r="X128" i="6" s="1"/>
  <c r="G48" i="1" s="1"/>
  <c r="Z90" i="6"/>
  <c r="Z91" i="6"/>
  <c r="Z129" i="6" s="1"/>
  <c r="I51" i="1" s="1"/>
  <c r="W109" i="6"/>
  <c r="J109" i="6"/>
  <c r="J144" i="6" s="1"/>
  <c r="Y122" i="6"/>
  <c r="X46" i="5"/>
  <c r="W75" i="5"/>
  <c r="Y79" i="5"/>
  <c r="Y112" i="5"/>
  <c r="X121" i="5"/>
  <c r="W28" i="6"/>
  <c r="T28" i="6"/>
  <c r="X38" i="6"/>
  <c r="Z39" i="6"/>
  <c r="X78" i="6"/>
  <c r="W92" i="6"/>
  <c r="Z79" i="5"/>
  <c r="W97" i="5"/>
  <c r="T97" i="5"/>
  <c r="Z112" i="5"/>
  <c r="W47" i="6"/>
  <c r="T47" i="6"/>
  <c r="Y62" i="6"/>
  <c r="Z68" i="6"/>
  <c r="Y78" i="6"/>
  <c r="X92" i="6"/>
  <c r="S150" i="4"/>
  <c r="X150" i="4" s="1"/>
  <c r="S125" i="4"/>
  <c r="W111" i="4"/>
  <c r="T44" i="5"/>
  <c r="W44" i="5"/>
  <c r="S152" i="5"/>
  <c r="X63" i="5"/>
  <c r="T77" i="5"/>
  <c r="Z78" i="5"/>
  <c r="T93" i="5"/>
  <c r="Y94" i="5"/>
  <c r="X97" i="5"/>
  <c r="Y121" i="5"/>
  <c r="S151" i="6"/>
  <c r="X151" i="6" s="1"/>
  <c r="S140" i="6"/>
  <c r="X140" i="6" s="1"/>
  <c r="X47" i="6"/>
  <c r="X126" i="6" s="1"/>
  <c r="G47" i="1" s="1"/>
  <c r="Y63" i="6"/>
  <c r="T76" i="6"/>
  <c r="Y77" i="6"/>
  <c r="W106" i="6"/>
  <c r="T106" i="6"/>
  <c r="W138" i="6"/>
  <c r="I151" i="4"/>
  <c r="I140" i="4"/>
  <c r="X111" i="4"/>
  <c r="T155" i="4"/>
  <c r="T31" i="5"/>
  <c r="Y45" i="5"/>
  <c r="Z46" i="5"/>
  <c r="X49" i="5"/>
  <c r="X60" i="5"/>
  <c r="T61" i="5"/>
  <c r="W76" i="5"/>
  <c r="T76" i="5"/>
  <c r="Y93" i="5"/>
  <c r="Z94" i="5"/>
  <c r="Y120" i="5"/>
  <c r="W37" i="6"/>
  <c r="T37" i="6"/>
  <c r="Z77" i="6"/>
  <c r="I131" i="6"/>
  <c r="W94" i="4"/>
  <c r="T94" i="4"/>
  <c r="X110" i="4"/>
  <c r="T111" i="4"/>
  <c r="T130" i="4" s="1"/>
  <c r="S132" i="5"/>
  <c r="X27" i="5"/>
  <c r="S139" i="5"/>
  <c r="S125" i="5"/>
  <c r="W30" i="5"/>
  <c r="T30" i="5"/>
  <c r="Z45" i="5"/>
  <c r="T49" i="5"/>
  <c r="J56" i="5"/>
  <c r="T60" i="5"/>
  <c r="Z62" i="5"/>
  <c r="Y63" i="5"/>
  <c r="X76" i="5"/>
  <c r="Y82" i="5"/>
  <c r="Y83" i="5"/>
  <c r="Z93" i="5"/>
  <c r="W96" i="5"/>
  <c r="T96" i="5"/>
  <c r="Z120" i="5"/>
  <c r="W138" i="5"/>
  <c r="J31" i="6"/>
  <c r="J150" i="6" s="1"/>
  <c r="I129" i="6"/>
  <c r="W105" i="6"/>
  <c r="W114" i="6"/>
  <c r="Y60" i="5"/>
  <c r="X46" i="6"/>
  <c r="Y84" i="6"/>
  <c r="X114" i="6"/>
  <c r="X130" i="6" s="1"/>
  <c r="G52" i="1" s="1"/>
  <c r="I132" i="6"/>
  <c r="W153" i="4"/>
  <c r="S151" i="5"/>
  <c r="Z55" i="5"/>
  <c r="Y71" i="5"/>
  <c r="Y122" i="5"/>
  <c r="AB125" i="6"/>
  <c r="C46" i="1" s="1"/>
  <c r="AB131" i="6"/>
  <c r="C49" i="1" s="1"/>
  <c r="X28" i="6"/>
  <c r="Z45" i="6"/>
  <c r="Z63" i="6"/>
  <c r="Z79" i="6"/>
  <c r="Z128" i="6" s="1"/>
  <c r="I48" i="1" s="1"/>
  <c r="W115" i="6"/>
  <c r="Z71" i="5"/>
  <c r="W88" i="5"/>
  <c r="X105" i="5"/>
  <c r="Z122" i="5"/>
  <c r="W68" i="6"/>
  <c r="W96" i="6"/>
  <c r="S144" i="6"/>
  <c r="S130" i="6"/>
  <c r="Y112" i="6"/>
  <c r="Y130" i="6" s="1"/>
  <c r="H52" i="1" s="1"/>
  <c r="Y113" i="6"/>
  <c r="S155" i="6"/>
  <c r="I125" i="5"/>
  <c r="I132" i="5"/>
  <c r="I131" i="5"/>
  <c r="Z37" i="5"/>
  <c r="T98" i="5"/>
  <c r="T104" i="5"/>
  <c r="T105" i="5"/>
  <c r="Y28" i="6"/>
  <c r="T71" i="6"/>
  <c r="X96" i="6"/>
  <c r="T107" i="6"/>
  <c r="Z112" i="6"/>
  <c r="Z113" i="6"/>
  <c r="T88" i="5"/>
  <c r="J101" i="5"/>
  <c r="J154" i="5" s="1"/>
  <c r="Y104" i="5"/>
  <c r="Y105" i="5"/>
  <c r="T96" i="6"/>
  <c r="T143" i="6" s="1"/>
  <c r="X137" i="6"/>
  <c r="I145" i="6"/>
  <c r="S141" i="6"/>
  <c r="X141" i="6" s="1"/>
  <c r="S129" i="5"/>
  <c r="Z104" i="5"/>
  <c r="W107" i="5"/>
  <c r="W58" i="6"/>
  <c r="S130" i="4"/>
  <c r="S144" i="4"/>
  <c r="W50" i="5"/>
  <c r="X83" i="5"/>
  <c r="I150" i="5"/>
  <c r="X150" i="5" s="1"/>
  <c r="W40" i="6"/>
  <c r="X91" i="6"/>
  <c r="X129" i="6" s="1"/>
  <c r="G51" i="1" s="1"/>
  <c r="W97" i="6"/>
  <c r="J120" i="6"/>
  <c r="J155" i="6" s="1"/>
  <c r="S127" i="6"/>
  <c r="S140" i="5"/>
  <c r="I127" i="6"/>
  <c r="Z123" i="4" l="1"/>
  <c r="I18" i="1" s="1"/>
  <c r="W126" i="4"/>
  <c r="F21" i="1" s="1"/>
  <c r="Y130" i="4"/>
  <c r="H26" i="1" s="1"/>
  <c r="T126" i="4"/>
  <c r="J130" i="4"/>
  <c r="X139" i="4"/>
  <c r="T144" i="4"/>
  <c r="W144" i="4" s="1"/>
  <c r="Y129" i="4"/>
  <c r="H25" i="1" s="1"/>
  <c r="W130" i="4"/>
  <c r="F26" i="1" s="1"/>
  <c r="Y125" i="4"/>
  <c r="H20" i="1" s="1"/>
  <c r="T124" i="4"/>
  <c r="Y127" i="4"/>
  <c r="H24" i="1" s="1"/>
  <c r="Z124" i="4"/>
  <c r="I19" i="1" s="1"/>
  <c r="J132" i="4"/>
  <c r="Z125" i="4"/>
  <c r="I20" i="1" s="1"/>
  <c r="Y124" i="4"/>
  <c r="H19" i="1" s="1"/>
  <c r="W127" i="4"/>
  <c r="F24" i="1" s="1"/>
  <c r="T141" i="4"/>
  <c r="W141" i="4" s="1"/>
  <c r="X127" i="4"/>
  <c r="G24" i="1" s="1"/>
  <c r="J155" i="5"/>
  <c r="X154" i="5"/>
  <c r="X143" i="5"/>
  <c r="J139" i="5"/>
  <c r="X151" i="5"/>
  <c r="T142" i="5"/>
  <c r="X153" i="5"/>
  <c r="J140" i="5"/>
  <c r="T154" i="5"/>
  <c r="W154" i="5" s="1"/>
  <c r="X129" i="5"/>
  <c r="G38" i="1" s="1"/>
  <c r="W128" i="5"/>
  <c r="F35" i="1" s="1"/>
  <c r="Y129" i="5"/>
  <c r="H38" i="1" s="1"/>
  <c r="Y125" i="5"/>
  <c r="H33" i="1" s="1"/>
  <c r="I145" i="5"/>
  <c r="T153" i="5"/>
  <c r="X152" i="5"/>
  <c r="X141" i="5"/>
  <c r="X140" i="5"/>
  <c r="W125" i="5"/>
  <c r="F33" i="1" s="1"/>
  <c r="Y126" i="5"/>
  <c r="H34" i="1" s="1"/>
  <c r="X142" i="5"/>
  <c r="T139" i="5"/>
  <c r="X127" i="5"/>
  <c r="G37" i="1" s="1"/>
  <c r="Z130" i="5"/>
  <c r="I39" i="1" s="1"/>
  <c r="J150" i="5"/>
  <c r="Z131" i="5"/>
  <c r="I36" i="1" s="1"/>
  <c r="Y130" i="5"/>
  <c r="H39" i="1" s="1"/>
  <c r="T129" i="5"/>
  <c r="Z129" i="5"/>
  <c r="I38" i="1" s="1"/>
  <c r="Z127" i="5"/>
  <c r="I37" i="1" s="1"/>
  <c r="Z126" i="5"/>
  <c r="I34" i="1" s="1"/>
  <c r="J132" i="5"/>
  <c r="T127" i="5"/>
  <c r="W129" i="5"/>
  <c r="F38" i="1" s="1"/>
  <c r="X155" i="5"/>
  <c r="T132" i="5"/>
  <c r="T133" i="5" s="1"/>
  <c r="T130" i="5"/>
  <c r="Z128" i="5"/>
  <c r="I35" i="1" s="1"/>
  <c r="T155" i="5"/>
  <c r="W155" i="5" s="1"/>
  <c r="W138" i="3"/>
  <c r="W137" i="3"/>
  <c r="J145" i="6"/>
  <c r="S4" i="1" s="1"/>
  <c r="W148" i="3"/>
  <c r="Y131" i="6"/>
  <c r="H49" i="1" s="1"/>
  <c r="X125" i="5"/>
  <c r="G33" i="1" s="1"/>
  <c r="X131" i="5"/>
  <c r="G36" i="1" s="1"/>
  <c r="X123" i="4"/>
  <c r="G18" i="1" s="1"/>
  <c r="X131" i="4"/>
  <c r="G23" i="1" s="1"/>
  <c r="X144" i="5"/>
  <c r="Y126" i="4"/>
  <c r="H21" i="1" s="1"/>
  <c r="T138" i="4"/>
  <c r="W138" i="4" s="1"/>
  <c r="T141" i="5"/>
  <c r="T152" i="5"/>
  <c r="T142" i="3"/>
  <c r="W142" i="3" s="1"/>
  <c r="Z131" i="4"/>
  <c r="I23" i="1" s="1"/>
  <c r="X148" i="3"/>
  <c r="S156" i="3"/>
  <c r="X156" i="3" s="1"/>
  <c r="J153" i="5"/>
  <c r="W153" i="5" s="1"/>
  <c r="J142" i="5"/>
  <c r="W142" i="5" s="1"/>
  <c r="J128" i="5"/>
  <c r="Z127" i="6"/>
  <c r="I50" i="1" s="1"/>
  <c r="S133" i="5"/>
  <c r="J154" i="6"/>
  <c r="T129" i="6"/>
  <c r="T132" i="4"/>
  <c r="T137" i="4"/>
  <c r="T123" i="4"/>
  <c r="T148" i="4"/>
  <c r="T131" i="4"/>
  <c r="W123" i="4"/>
  <c r="F18" i="1" s="1"/>
  <c r="W131" i="4"/>
  <c r="F23" i="1" s="1"/>
  <c r="Q17" i="1" s="1"/>
  <c r="Z125" i="5"/>
  <c r="I33" i="1" s="1"/>
  <c r="X130" i="3"/>
  <c r="G13" i="1" s="1"/>
  <c r="T149" i="4"/>
  <c r="W149" i="4" s="1"/>
  <c r="T128" i="3"/>
  <c r="J143" i="4"/>
  <c r="J145" i="4" s="1"/>
  <c r="Q4" i="1" s="1"/>
  <c r="X137" i="3"/>
  <c r="S145" i="3"/>
  <c r="W130" i="5"/>
  <c r="F39" i="1" s="1"/>
  <c r="W129" i="6"/>
  <c r="F51" i="1" s="1"/>
  <c r="S156" i="5"/>
  <c r="J129" i="4"/>
  <c r="J151" i="6"/>
  <c r="J156" i="6" s="1"/>
  <c r="S5" i="1" s="1"/>
  <c r="W126" i="5"/>
  <c r="F34" i="1" s="1"/>
  <c r="S145" i="5"/>
  <c r="J130" i="5"/>
  <c r="T139" i="3"/>
  <c r="W139" i="3" s="1"/>
  <c r="X139" i="3"/>
  <c r="I156" i="3"/>
  <c r="X141" i="3"/>
  <c r="S156" i="6"/>
  <c r="X156" i="6" s="1"/>
  <c r="I156" i="4"/>
  <c r="W125" i="3"/>
  <c r="F7" i="1" s="1"/>
  <c r="W127" i="5"/>
  <c r="F37" i="1" s="1"/>
  <c r="T143" i="5"/>
  <c r="T149" i="3"/>
  <c r="W149" i="3" s="1"/>
  <c r="T128" i="5"/>
  <c r="AC4" i="2"/>
  <c r="Z131" i="3"/>
  <c r="I10" i="1" s="1"/>
  <c r="Y127" i="5"/>
  <c r="H37" i="1" s="1"/>
  <c r="Y128" i="5"/>
  <c r="H35" i="1" s="1"/>
  <c r="X130" i="5"/>
  <c r="G39" i="1" s="1"/>
  <c r="T154" i="6"/>
  <c r="W125" i="4"/>
  <c r="F20" i="1" s="1"/>
  <c r="X151" i="4"/>
  <c r="J126" i="6"/>
  <c r="W131" i="6"/>
  <c r="F49" i="1" s="1"/>
  <c r="S17" i="1" s="1"/>
  <c r="W125" i="6"/>
  <c r="F46" i="1" s="1"/>
  <c r="Y131" i="5"/>
  <c r="H36" i="1" s="1"/>
  <c r="W155" i="4"/>
  <c r="X130" i="4"/>
  <c r="G26" i="1" s="1"/>
  <c r="X128" i="5"/>
  <c r="G35" i="1" s="1"/>
  <c r="X143" i="4"/>
  <c r="X140" i="4"/>
  <c r="X129" i="4"/>
  <c r="G25" i="1" s="1"/>
  <c r="J129" i="5"/>
  <c r="T131" i="6"/>
  <c r="T132" i="6"/>
  <c r="T150" i="6"/>
  <c r="T139" i="6"/>
  <c r="T125" i="6"/>
  <c r="J155" i="4"/>
  <c r="J129" i="6"/>
  <c r="T151" i="3"/>
  <c r="W151" i="3" s="1"/>
  <c r="Z131" i="6"/>
  <c r="I49" i="1" s="1"/>
  <c r="X144" i="6"/>
  <c r="T153" i="6"/>
  <c r="W153" i="6" s="1"/>
  <c r="T151" i="5"/>
  <c r="T140" i="5"/>
  <c r="W140" i="5" s="1"/>
  <c r="T126" i="5"/>
  <c r="Z130" i="4"/>
  <c r="I26" i="1" s="1"/>
  <c r="X154" i="4"/>
  <c r="J143" i="5"/>
  <c r="T142" i="6"/>
  <c r="W142" i="6" s="1"/>
  <c r="X144" i="3"/>
  <c r="X143" i="3"/>
  <c r="T141" i="3"/>
  <c r="T127" i="3"/>
  <c r="T152" i="3"/>
  <c r="T126" i="3"/>
  <c r="J140" i="6"/>
  <c r="J152" i="3"/>
  <c r="J156" i="3" s="1"/>
  <c r="P5" i="1" s="1"/>
  <c r="J127" i="5"/>
  <c r="J141" i="5"/>
  <c r="J152" i="5"/>
  <c r="T127" i="4"/>
  <c r="J132" i="3"/>
  <c r="J141" i="3"/>
  <c r="T151" i="4"/>
  <c r="W151" i="4" s="1"/>
  <c r="I145" i="3"/>
  <c r="J132" i="6"/>
  <c r="J144" i="5"/>
  <c r="W144" i="5" s="1"/>
  <c r="T139" i="4"/>
  <c r="W139" i="4" s="1"/>
  <c r="J151" i="5"/>
  <c r="J123" i="3"/>
  <c r="T150" i="3"/>
  <c r="W150" i="3" s="1"/>
  <c r="W127" i="6"/>
  <c r="F50" i="1" s="1"/>
  <c r="T154" i="4"/>
  <c r="W154" i="4" s="1"/>
  <c r="T143" i="4"/>
  <c r="T129" i="4"/>
  <c r="X155" i="6"/>
  <c r="Y131" i="4"/>
  <c r="H23" i="1" s="1"/>
  <c r="Y123" i="4"/>
  <c r="H18" i="1" s="1"/>
  <c r="T151" i="6"/>
  <c r="T140" i="6"/>
  <c r="W140" i="6" s="1"/>
  <c r="T126" i="6"/>
  <c r="W124" i="4"/>
  <c r="F19" i="1" s="1"/>
  <c r="T125" i="4"/>
  <c r="J126" i="5"/>
  <c r="J131" i="5"/>
  <c r="X152" i="4"/>
  <c r="X126" i="5"/>
  <c r="G34" i="1" s="1"/>
  <c r="Z129" i="3"/>
  <c r="I12" i="1" s="1"/>
  <c r="I145" i="4"/>
  <c r="J137" i="3"/>
  <c r="T132" i="3"/>
  <c r="X131" i="3"/>
  <c r="G10" i="1" s="1"/>
  <c r="X123" i="3"/>
  <c r="G5" i="1" s="1"/>
  <c r="X152" i="3"/>
  <c r="W143" i="6"/>
  <c r="W127" i="3"/>
  <c r="F11" i="1" s="1"/>
  <c r="W126" i="6"/>
  <c r="F47" i="1" s="1"/>
  <c r="X153" i="6"/>
  <c r="T131" i="5"/>
  <c r="T150" i="4"/>
  <c r="W150" i="4" s="1"/>
  <c r="J129" i="3"/>
  <c r="T150" i="5"/>
  <c r="X125" i="4"/>
  <c r="G20" i="1" s="1"/>
  <c r="Y123" i="3"/>
  <c r="H5" i="1" s="1"/>
  <c r="J131" i="3"/>
  <c r="T123" i="3"/>
  <c r="W131" i="3"/>
  <c r="F10" i="1" s="1"/>
  <c r="P17" i="1" s="1"/>
  <c r="J156" i="4"/>
  <c r="Q5" i="1" s="1"/>
  <c r="T141" i="6"/>
  <c r="W141" i="6" s="1"/>
  <c r="T152" i="6"/>
  <c r="W152" i="6" s="1"/>
  <c r="T127" i="6"/>
  <c r="J130" i="6"/>
  <c r="X131" i="6"/>
  <c r="G49" i="1" s="1"/>
  <c r="X125" i="6"/>
  <c r="G46" i="1" s="1"/>
  <c r="T144" i="6"/>
  <c r="W144" i="6" s="1"/>
  <c r="T155" i="6"/>
  <c r="W155" i="6" s="1"/>
  <c r="T130" i="6"/>
  <c r="T125" i="5"/>
  <c r="Y125" i="6"/>
  <c r="H46" i="1" s="1"/>
  <c r="S156" i="4"/>
  <c r="X148" i="4"/>
  <c r="W129" i="4"/>
  <c r="F25" i="1" s="1"/>
  <c r="X141" i="4"/>
  <c r="T140" i="4"/>
  <c r="W140" i="4" s="1"/>
  <c r="T130" i="3"/>
  <c r="T155" i="3"/>
  <c r="W155" i="3" s="1"/>
  <c r="T144" i="3"/>
  <c r="W144" i="3" s="1"/>
  <c r="W131" i="5"/>
  <c r="F36" i="1" s="1"/>
  <c r="R17" i="1" s="1"/>
  <c r="T131" i="3"/>
  <c r="S133" i="3"/>
  <c r="X126" i="4"/>
  <c r="G21" i="1" s="1"/>
  <c r="Z125" i="6"/>
  <c r="I46" i="1" s="1"/>
  <c r="Y127" i="6"/>
  <c r="H50" i="1" s="1"/>
  <c r="I156" i="5"/>
  <c r="X144" i="4"/>
  <c r="S145" i="6"/>
  <c r="X145" i="6" s="1"/>
  <c r="X139" i="6"/>
  <c r="X139" i="5"/>
  <c r="X137" i="4"/>
  <c r="S145" i="4"/>
  <c r="AO3" i="2"/>
  <c r="AJ3" i="2"/>
  <c r="AN3" i="2"/>
  <c r="AQ3" i="2"/>
  <c r="AD3" i="2"/>
  <c r="AG3" i="2"/>
  <c r="AK3" i="2"/>
  <c r="AF3" i="2"/>
  <c r="AE3" i="2"/>
  <c r="AL3" i="2"/>
  <c r="AI3" i="2"/>
  <c r="AP3" i="2"/>
  <c r="T133" i="4" l="1"/>
  <c r="X156" i="4"/>
  <c r="X156" i="5"/>
  <c r="W139" i="5"/>
  <c r="J156" i="5"/>
  <c r="R5" i="1" s="1"/>
  <c r="X145" i="5"/>
  <c r="J145" i="5"/>
  <c r="R4" i="1" s="1"/>
  <c r="T156" i="4"/>
  <c r="W148" i="4"/>
  <c r="W137" i="4"/>
  <c r="T145" i="4"/>
  <c r="T156" i="3"/>
  <c r="W151" i="6"/>
  <c r="X145" i="3"/>
  <c r="W154" i="6"/>
  <c r="W143" i="5"/>
  <c r="AC5" i="2"/>
  <c r="W143" i="4"/>
  <c r="W152" i="5"/>
  <c r="X145" i="4"/>
  <c r="T145" i="3"/>
  <c r="W139" i="6"/>
  <c r="T145" i="6"/>
  <c r="T133" i="6"/>
  <c r="W141" i="5"/>
  <c r="W152" i="3"/>
  <c r="W141" i="3"/>
  <c r="T5" i="1"/>
  <c r="U5" i="1" s="1"/>
  <c r="W151" i="5"/>
  <c r="T156" i="5"/>
  <c r="W150" i="5"/>
  <c r="W150" i="6"/>
  <c r="T156" i="6"/>
  <c r="T133" i="3"/>
  <c r="T145" i="5"/>
  <c r="J145" i="3"/>
  <c r="P4" i="1" s="1"/>
  <c r="T4" i="1" s="1"/>
  <c r="U4" i="1" s="1"/>
  <c r="AG4" i="2"/>
  <c r="AK4" i="2"/>
  <c r="AF4" i="2"/>
  <c r="AD4" i="2"/>
  <c r="AP4" i="2"/>
  <c r="AE4" i="2"/>
  <c r="AL4" i="2"/>
  <c r="AJ4" i="2"/>
  <c r="AN4" i="2"/>
  <c r="AQ4" i="2"/>
  <c r="AI4" i="2"/>
  <c r="AO4" i="2"/>
  <c r="W145" i="6" l="1"/>
  <c r="S10" i="1"/>
  <c r="S18" i="1" s="1"/>
  <c r="W145" i="4"/>
  <c r="Q10" i="1"/>
  <c r="Q18" i="1" s="1"/>
  <c r="W145" i="5"/>
  <c r="R10" i="1"/>
  <c r="R18" i="1" s="1"/>
  <c r="W156" i="6"/>
  <c r="S11" i="1"/>
  <c r="S19" i="1" s="1"/>
  <c r="AC6" i="2"/>
  <c r="W156" i="3"/>
  <c r="P11" i="1"/>
  <c r="P19" i="1" s="1"/>
  <c r="W156" i="4"/>
  <c r="Q11" i="1"/>
  <c r="W156" i="5"/>
  <c r="R11" i="1"/>
  <c r="R19" i="1" s="1"/>
  <c r="P10" i="1"/>
  <c r="W145" i="3"/>
  <c r="AF5" i="2"/>
  <c r="AD5" i="2"/>
  <c r="AQ5" i="2"/>
  <c r="AI5" i="2"/>
  <c r="AO5" i="2"/>
  <c r="AP5" i="2"/>
  <c r="AL5" i="2"/>
  <c r="AG5" i="2"/>
  <c r="AE5" i="2"/>
  <c r="AN5" i="2"/>
  <c r="AJ5" i="2"/>
  <c r="AK5" i="2"/>
  <c r="P18" i="1" l="1"/>
  <c r="T10" i="1"/>
  <c r="Q19" i="1"/>
  <c r="T11" i="1"/>
  <c r="AL6" i="2"/>
  <c r="AJ6" i="2"/>
  <c r="AN6" i="2"/>
  <c r="AQ6" i="2"/>
  <c r="AO6" i="2"/>
  <c r="AP6" i="2"/>
  <c r="AI6" i="2"/>
  <c r="AG6" i="2"/>
  <c r="AF6" i="2"/>
  <c r="AD6" i="2"/>
  <c r="AK6" i="2"/>
  <c r="AE6" i="2"/>
  <c r="AF12" i="2" l="1"/>
  <c r="AF15" i="2" s="1"/>
  <c r="AF13" i="2"/>
  <c r="AF16" i="2" s="1"/>
  <c r="AD13" i="2"/>
  <c r="AD16" i="2" s="1"/>
  <c r="AD12" i="2"/>
  <c r="AD15" i="2" s="1"/>
  <c r="AE13" i="2"/>
  <c r="AE16" i="2" s="1"/>
  <c r="AE12" i="2"/>
  <c r="AE15" i="2" s="1"/>
  <c r="AG12" i="2"/>
  <c r="AG15" i="2" s="1"/>
  <c r="AG13" i="2"/>
  <c r="AG16" i="2" s="1"/>
  <c r="U11" i="1"/>
  <c r="T19" i="1"/>
  <c r="U10" i="1"/>
  <c r="T18" i="1"/>
</calcChain>
</file>

<file path=xl/sharedStrings.xml><?xml version="1.0" encoding="utf-8"?>
<sst xmlns="http://schemas.openxmlformats.org/spreadsheetml/2006/main" count="2403" uniqueCount="1038">
  <si>
    <t xml:space="preserve">All Intra Main 10 </t>
  </si>
  <si>
    <t>Reference:</t>
  </si>
  <si>
    <t>ECM-17,0</t>
  </si>
  <si>
    <t>AI</t>
  </si>
  <si>
    <t>RA</t>
  </si>
  <si>
    <t>LDB</t>
  </si>
  <si>
    <t>LDP</t>
  </si>
  <si>
    <t>All [hours]</t>
  </si>
  <si>
    <t>All [days]</t>
  </si>
  <si>
    <t>Y</t>
  </si>
  <si>
    <t>U</t>
  </si>
  <si>
    <t>V</t>
  </si>
  <si>
    <t>EncT</t>
  </si>
  <si>
    <t>DecT</t>
  </si>
  <si>
    <t>EncVmPeak</t>
  </si>
  <si>
    <t>DecVmPeak</t>
  </si>
  <si>
    <t>Tested:</t>
  </si>
  <si>
    <t>Test EE2-1,6A</t>
  </si>
  <si>
    <t>Sum</t>
  </si>
  <si>
    <t>Class A1</t>
  </si>
  <si>
    <t>Max</t>
  </si>
  <si>
    <t>Class A2</t>
  </si>
  <si>
    <t>Class B</t>
  </si>
  <si>
    <t>Class C</t>
  </si>
  <si>
    <t>Class E</t>
  </si>
  <si>
    <t xml:space="preserve">Overall </t>
  </si>
  <si>
    <t>Note: BD-rate is computed using piece-wise cubic interpolation</t>
  </si>
  <si>
    <t>Class D</t>
  </si>
  <si>
    <t>Class F</t>
  </si>
  <si>
    <t>Class TGM</t>
  </si>
  <si>
    <t>Cluster information</t>
  </si>
  <si>
    <t>Random Access Main 10</t>
  </si>
  <si>
    <t>CPU type:</t>
  </si>
  <si>
    <t>(e.g. Xeon …)</t>
  </si>
  <si>
    <t>All</t>
  </si>
  <si>
    <t>Average</t>
  </si>
  <si>
    <t>Hyperthreading:</t>
  </si>
  <si>
    <t>(on/off)</t>
  </si>
  <si>
    <t>Turbo mode:</t>
  </si>
  <si>
    <t>Compiler:</t>
  </si>
  <si>
    <t>(e.g. gcc 7.3.1)</t>
  </si>
  <si>
    <t>Overall</t>
  </si>
  <si>
    <t>OS:</t>
  </si>
  <si>
    <t>(e.g. Scientific Linux)</t>
  </si>
  <si>
    <t>Decoding options</t>
  </si>
  <si>
    <t>Bitstream concatenation:</t>
  </si>
  <si>
    <t>(yes/no)</t>
  </si>
  <si>
    <t xml:space="preserve">Low delay B Main 10 </t>
  </si>
  <si>
    <t>MD5 SEI:</t>
  </si>
  <si>
    <t>YUV output:</t>
  </si>
  <si>
    <t>SIMD options:</t>
  </si>
  <si>
    <t>(e.g. SSE2)</t>
  </si>
  <si>
    <t xml:space="preserve">Low delay P Main 10 </t>
  </si>
  <si>
    <t>Select the coding condition and sequence from the dropbox below</t>
  </si>
  <si>
    <t>Line 1 - Reference</t>
  </si>
  <si>
    <t>Line 2 - Test</t>
  </si>
  <si>
    <t>Line 3 - Reference2</t>
  </si>
  <si>
    <t>LB-10</t>
  </si>
  <si>
    <t>BlowingBubbles</t>
  </si>
  <si>
    <t>kbps</t>
  </si>
  <si>
    <t>Y psnr</t>
  </si>
  <si>
    <t>U psnr</t>
  </si>
  <si>
    <t>V psnr</t>
  </si>
  <si>
    <t>AI-10</t>
  </si>
  <si>
    <t>Tango2</t>
  </si>
  <si>
    <t>RA-10</t>
  </si>
  <si>
    <t>FoodMarket4</t>
  </si>
  <si>
    <t>Campfire</t>
  </si>
  <si>
    <t>LP-10</t>
  </si>
  <si>
    <t>CatRobot1</t>
  </si>
  <si>
    <t>DaylightRoad2</t>
  </si>
  <si>
    <t>ParkRunning3</t>
  </si>
  <si>
    <t>MarketPlace</t>
  </si>
  <si>
    <t>RitualDance</t>
  </si>
  <si>
    <t>Cactus</t>
  </si>
  <si>
    <t>rate</t>
  </si>
  <si>
    <t>y</t>
  </si>
  <si>
    <t>u</t>
  </si>
  <si>
    <t>v</t>
  </si>
  <si>
    <t>BasketballDrive</t>
  </si>
  <si>
    <t>BQTerrace</t>
  </si>
  <si>
    <t>BasketballDrill</t>
  </si>
  <si>
    <t>BQMall</t>
  </si>
  <si>
    <t>PartySceneC</t>
  </si>
  <si>
    <t>RaceHorsesC</t>
  </si>
  <si>
    <t>BasketballPass</t>
  </si>
  <si>
    <t>BQSquare</t>
  </si>
  <si>
    <t>RaceHorses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</si>
  <si>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</si>
  <si>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</si>
  <si>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</si>
  <si>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</si>
  <si>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</si>
  <si>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</si>
  <si>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</si>
  <si>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</si>
  <si>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</si>
  <si>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</si>
  <si>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</si>
  <si>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</si>
  <si>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</si>
  <si>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</si>
  <si>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</si>
  <si>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EncVmPeak [kB]</t>
  </si>
  <si>
    <t>DecVmPeak [kB]</t>
  </si>
  <si>
    <t>EncR</t>
  </si>
  <si>
    <t>DecR</t>
  </si>
  <si>
    <t>EncVmPeakR</t>
  </si>
  <si>
    <t>DecVmPeakR</t>
  </si>
  <si>
    <t>4K</t>
  </si>
  <si>
    <t>CatRobot</t>
  </si>
  <si>
    <t>1080p</t>
  </si>
  <si>
    <t>WVGA</t>
  </si>
  <si>
    <t>PartyScene</t>
  </si>
  <si>
    <t>WQVGA</t>
  </si>
  <si>
    <t>720p</t>
  </si>
  <si>
    <t>ArenaOfValor</t>
  </si>
  <si>
    <t>FlyingGraphic</t>
  </si>
  <si>
    <t>Desktop</t>
  </si>
  <si>
    <t>Console</t>
  </si>
  <si>
    <t>ChineseEditing</t>
  </si>
  <si>
    <t>TGM</t>
  </si>
  <si>
    <t>Time geomean</t>
  </si>
  <si>
    <t>Time ratio</t>
  </si>
  <si>
    <t>Time sum (hours)</t>
  </si>
  <si>
    <t>Time sums</t>
  </si>
  <si>
    <t>Time max</t>
  </si>
  <si>
    <t>Tango2.Q22.ecm.ai</t>
  </si>
  <si>
    <t>pass</t>
  </si>
  <si>
    <t>Wed Dec 17 23:23:43 2025</t>
  </si>
  <si>
    <t>Tango2.Q27.ecm.ai</t>
  </si>
  <si>
    <t>Wed Dec 17 19:55:17 2025</t>
  </si>
  <si>
    <t>Tango2.Q32.ecm.ai</t>
  </si>
  <si>
    <t>Wed Dec 17 19:02:22 2025</t>
  </si>
  <si>
    <t>Tango2.Q37.ecm.ai</t>
  </si>
  <si>
    <t>Wed Dec 17 18:42:12 2025</t>
  </si>
  <si>
    <t>FoodMarket4.Q22.ecm.ai</t>
  </si>
  <si>
    <t>Wed Dec 17 21:54:02 2025</t>
  </si>
  <si>
    <t>FoodMarket4.Q27.ecm.ai</t>
  </si>
  <si>
    <t>Wed Dec 17 20:49:18 2025</t>
  </si>
  <si>
    <t>FoodMarket4.Q32.ecm.ai</t>
  </si>
  <si>
    <t>Wed Dec 17 19:38:32 2025</t>
  </si>
  <si>
    <t>FoodMarket4.Q37.ecm.ai</t>
  </si>
  <si>
    <t>Wed Dec 17 19:16:02 2025</t>
  </si>
  <si>
    <t>Campfire.Q22.ecm.ai</t>
  </si>
  <si>
    <t>Wed Dec 17 22:20:09 2025</t>
  </si>
  <si>
    <t>Campfire.Q27.ecm.ai</t>
  </si>
  <si>
    <t>Wed Dec 17 21:10:18 2025</t>
  </si>
  <si>
    <t>Campfire.Q32.ecm.ai</t>
  </si>
  <si>
    <t>Wed Dec 17 19:38:01 2025</t>
  </si>
  <si>
    <t>Campfire.Q37.ecm.ai</t>
  </si>
  <si>
    <t>Wed Dec 17 18:46:51 2025</t>
  </si>
  <si>
    <t>CatRobot.Q22.ecm.ai</t>
  </si>
  <si>
    <t>Wed Dec 17 22:39:40 2025</t>
  </si>
  <si>
    <t>CatRobot.Q27.ecm.ai</t>
  </si>
  <si>
    <t>Wed Dec 17 19:35:25 2025</t>
  </si>
  <si>
    <t>CatRobot.Q32.ecm.ai</t>
  </si>
  <si>
    <t>Wed Dec 17 19:11:25 2025</t>
  </si>
  <si>
    <t>CatRobot.Q37.ecm.ai</t>
  </si>
  <si>
    <t>Wed Dec 17 18:36:46 2025</t>
  </si>
  <si>
    <t>DaylightRoad2.Q22.ecm.ai</t>
  </si>
  <si>
    <t>Thu Dec 18 00:32:01 2025</t>
  </si>
  <si>
    <t>DaylightRoad2.Q27.ecm.ai</t>
  </si>
  <si>
    <t>Wed Dec 17 20:31:23 2025</t>
  </si>
  <si>
    <t>DaylightRoad2.Q32.ecm.ai</t>
  </si>
  <si>
    <t>Wed Dec 17 19:01:51 2025</t>
  </si>
  <si>
    <t>DaylightRoad2.Q37.ecm.ai</t>
  </si>
  <si>
    <t>Wed Dec 17 18:28:23 2025</t>
  </si>
  <si>
    <t>ParkRunning3.Q22.ecm.ai</t>
  </si>
  <si>
    <t>Wed Dec 17 21:26:34 2025</t>
  </si>
  <si>
    <t>ParkRunning3.Q27.ecm.ai</t>
  </si>
  <si>
    <t>Wed Dec 17 21:20:12 2025</t>
  </si>
  <si>
    <t>ParkRunning3.Q32.ecm.ai</t>
  </si>
  <si>
    <t>Wed Dec 17 20:15:06 2025</t>
  </si>
  <si>
    <t>ParkRunning3.Q37.ecm.ai</t>
  </si>
  <si>
    <t>Wed Dec 17 19:19:22 2025</t>
  </si>
  <si>
    <t>MarketPlace.Q22.ecm.ai</t>
  </si>
  <si>
    <t>Wed Dec 17 18:49:58 2025</t>
  </si>
  <si>
    <t>MarketPlace.Q27.ecm.ai</t>
  </si>
  <si>
    <t>Wed Dec 17 18:28:43 2025</t>
  </si>
  <si>
    <t>MarketPlace.Q32.ecm.ai</t>
  </si>
  <si>
    <t>Wed Dec 17 18:09:41 2025</t>
  </si>
  <si>
    <t>MarketPlace.Q37.ecm.ai</t>
  </si>
  <si>
    <t>Wed Dec 17 17:49:51 2025</t>
  </si>
  <si>
    <t>RitualDance.Q22.ecm.ai</t>
  </si>
  <si>
    <t>Fri Dec 19 15:40:42 2025</t>
  </si>
  <si>
    <t>RitualDance.Q27.ecm.ai</t>
  </si>
  <si>
    <t>Fri Dec 19 15:22:54 2025</t>
  </si>
  <si>
    <t>RitualDance.Q32.ecm.ai</t>
  </si>
  <si>
    <t>Wed Dec 17 17:34:23 2025</t>
  </si>
  <si>
    <t>RitualDance.Q37.ecm.ai</t>
  </si>
  <si>
    <t>Wed Dec 17 17:16:20 2025</t>
  </si>
  <si>
    <t>Cactus.Q22.ecm.ai</t>
  </si>
  <si>
    <t>Wed Dec 17 18:32:06 2025</t>
  </si>
  <si>
    <t>Cactus.Q27.ecm.ai</t>
  </si>
  <si>
    <t>Wed Dec 17 18:01:26 2025</t>
  </si>
  <si>
    <t>Cactus.Q32.ecm.ai</t>
  </si>
  <si>
    <t>Wed Dec 17 17:32:14 2025</t>
  </si>
  <si>
    <t>Cactus.Q37.ecm.ai</t>
  </si>
  <si>
    <t>Wed Dec 17 17:04:50 2025</t>
  </si>
  <si>
    <t>BasketballDrive.Q22.ecm.ai</t>
  </si>
  <si>
    <t>Wed Dec 17 18:04:03 2025</t>
  </si>
  <si>
    <t>BasketballDrive.Q27.ecm.ai</t>
  </si>
  <si>
    <t>Wed Dec 17 17:30:27 2025</t>
  </si>
  <si>
    <t>BasketballDrive.Q32.ecm.ai</t>
  </si>
  <si>
    <t>Wed Dec 17 17:11:49 2025</t>
  </si>
  <si>
    <t>BasketballDrive.Q37.ecm.ai</t>
  </si>
  <si>
    <t>Wed Dec 17 16:55:13 2025</t>
  </si>
  <si>
    <t>BQTerrace.Q22.ecm.ai</t>
  </si>
  <si>
    <t>Wed Dec 17 17:48:13 2025</t>
  </si>
  <si>
    <t>BQTerrace.Q27.ecm.ai</t>
  </si>
  <si>
    <t>Wed Dec 17 17:46:22 2025</t>
  </si>
  <si>
    <t>BQTerrace.Q32.ecm.ai</t>
  </si>
  <si>
    <t>Wed Dec 17 17:25:08 2025</t>
  </si>
  <si>
    <t>BQTerrace.Q37.ecm.ai</t>
  </si>
  <si>
    <t>Wed Dec 17 17:01:16 2025</t>
  </si>
  <si>
    <t>BasketballDrill.Q22.ecm.ai</t>
  </si>
  <si>
    <t>Wed Dec 17 16:45:32 2025</t>
  </si>
  <si>
    <t>BasketballDrill.Q27.ecm.ai</t>
  </si>
  <si>
    <t>Wed Dec 17 16:42:54 2025</t>
  </si>
  <si>
    <t>BasketballDrill.Q32.ecm.ai</t>
  </si>
  <si>
    <t>Wed Dec 17 16:36:45 2025</t>
  </si>
  <si>
    <t>BasketballDrill.Q37.ecm.ai</t>
  </si>
  <si>
    <t>Wed Dec 17 16:33:04 2025</t>
  </si>
  <si>
    <t>BQMall.Q22.ecm.ai</t>
  </si>
  <si>
    <t>Wed Dec 17 16:38:48 2025</t>
  </si>
  <si>
    <t>BQMall.Q27.ecm.ai</t>
  </si>
  <si>
    <t>Wed Dec 17 16:35:44 2025</t>
  </si>
  <si>
    <t>BQMall.Q32.ecm.ai</t>
  </si>
  <si>
    <t>Wed Dec 17 16:32:13 2025</t>
  </si>
  <si>
    <t>BQMall.Q37.ecm.ai</t>
  </si>
  <si>
    <t>Wed Dec 17 16:27:01 2025</t>
  </si>
  <si>
    <t>PartyScene.Q22.ecm.ai</t>
  </si>
  <si>
    <t>Wed Dec 17 16:36:23 2025</t>
  </si>
  <si>
    <t>PartyScene.Q27.ecm.ai</t>
  </si>
  <si>
    <t>Wed Dec 17 16:34:45 2025</t>
  </si>
  <si>
    <t>PartyScene.Q32.ecm.ai</t>
  </si>
  <si>
    <t>Wed Dec 17 16:32:11 2025</t>
  </si>
  <si>
    <t>PartyScene.Q37.ecm.ai</t>
  </si>
  <si>
    <t>Wed Dec 17 16:27:17 2025</t>
  </si>
  <si>
    <t>RaceHorsesC.Q22.ecm.ai</t>
  </si>
  <si>
    <t>Wed Dec 17 16:32:07 2025</t>
  </si>
  <si>
    <t>RaceHorsesC.Q27.ecm.ai</t>
  </si>
  <si>
    <t>Wed Dec 17 16:27:50 2025</t>
  </si>
  <si>
    <t>RaceHorsesC.Q32.ecm.ai</t>
  </si>
  <si>
    <t>Wed Dec 17 16:24:39 2025</t>
  </si>
  <si>
    <t>RaceHorsesC.Q37.ecm.ai</t>
  </si>
  <si>
    <t>Wed Dec 17 16:19:45 2025</t>
  </si>
  <si>
    <t>BasketballPass.Q22.ecm.ai</t>
  </si>
  <si>
    <t>Wed Dec 17 13:49:30 2025</t>
  </si>
  <si>
    <t>BasketballPass.Q27.ecm.ai</t>
  </si>
  <si>
    <t>Wed Dec 17 13:48:11 2025</t>
  </si>
  <si>
    <t>BasketballPass.Q32.ecm.ai</t>
  </si>
  <si>
    <t>Wed Dec 17 13:46:56 2025</t>
  </si>
  <si>
    <t>BasketballPass.Q37.ecm.ai</t>
  </si>
  <si>
    <t>Wed Dec 17 13:45:15 2025</t>
  </si>
  <si>
    <t>BQSquare.Q22.ecm.ai</t>
  </si>
  <si>
    <t>Wed Dec 17 13:46:59 2025</t>
  </si>
  <si>
    <t>BQSquare.Q27.ecm.ai</t>
  </si>
  <si>
    <t>Wed Dec 17 13:44:48 2025</t>
  </si>
  <si>
    <t>BQSquare.Q32.ecm.ai</t>
  </si>
  <si>
    <t>Wed Dec 17 13:43:40 2025</t>
  </si>
  <si>
    <t>BQSquare.Q37.ecm.ai</t>
  </si>
  <si>
    <t>Wed Dec 17 13:41:29 2025</t>
  </si>
  <si>
    <t>BlowingBubbles.Q22.ecm.ai</t>
  </si>
  <si>
    <t>Wed Dec 17 13:42:04 2025</t>
  </si>
  <si>
    <t>BlowingBubbles.Q27.ecm.ai</t>
  </si>
  <si>
    <t>Wed Dec 17 13:40:11 2025</t>
  </si>
  <si>
    <t>BlowingBubbles.Q32.ecm.ai</t>
  </si>
  <si>
    <t>Wed Dec 17 13:38:06 2025</t>
  </si>
  <si>
    <t>BlowingBubbles.Q37.ecm.ai</t>
  </si>
  <si>
    <t>Wed Dec 17 13:36:30 2025</t>
  </si>
  <si>
    <t>RaceHorses.Q22.ecm.ai</t>
  </si>
  <si>
    <t>Wed Dec 17 13:34:35 2025</t>
  </si>
  <si>
    <t>RaceHorses.Q27.ecm.ai</t>
  </si>
  <si>
    <t>Wed Dec 17 13:31:46 2025</t>
  </si>
  <si>
    <t>RaceHorses.Q32.ecm.ai</t>
  </si>
  <si>
    <t>Wed Dec 17 13:29:13 2025</t>
  </si>
  <si>
    <t>RaceHorses.Q37.ecm.ai</t>
  </si>
  <si>
    <t>Wed Dec 17 13:25:42 2025</t>
  </si>
  <si>
    <t>FourPeople.Q22.ecm.ai</t>
  </si>
  <si>
    <t>Wed Dec 17 16:36:10 2025</t>
  </si>
  <si>
    <t>FourPeople.Q27.ecm.ai</t>
  </si>
  <si>
    <t>Wed Dec 17 16:26:43 2025</t>
  </si>
  <si>
    <t>FourPeople.Q32.ecm.ai</t>
  </si>
  <si>
    <t>Wed Dec 17 16:19:27 2025</t>
  </si>
  <si>
    <t>FourPeople.Q37.ecm.ai</t>
  </si>
  <si>
    <t>Wed Dec 17 16:12:29 2025</t>
  </si>
  <si>
    <t>Johnny.Q22.ecm.ai</t>
  </si>
  <si>
    <t>Wed Dec 17 16:22:29 2025</t>
  </si>
  <si>
    <t>Johnny.Q27.ecm.ai</t>
  </si>
  <si>
    <t>Wed Dec 17 16:13:48 2025</t>
  </si>
  <si>
    <t>Johnny.Q32.ecm.ai</t>
  </si>
  <si>
    <t>Wed Dec 17 16:07:51 2025</t>
  </si>
  <si>
    <t>Johnny.Q37.ecm.ai</t>
  </si>
  <si>
    <t>Wed Dec 17 16:02:06 2025</t>
  </si>
  <si>
    <t>KristenAndSara.Q22.ecm.ai</t>
  </si>
  <si>
    <t>Wed Dec 17 16:16:32 2025</t>
  </si>
  <si>
    <t>KristenAndSara.Q27.ecm.ai</t>
  </si>
  <si>
    <t>Wed Dec 17 16:06:55 2025</t>
  </si>
  <si>
    <t>KristenAndSara.Q32.ecm.ai</t>
  </si>
  <si>
    <t>Wed Dec 17 15:59:07 2025</t>
  </si>
  <si>
    <t>KristenAndSara.Q37.ecm.ai</t>
  </si>
  <si>
    <t>Wed Dec 17 15:54:26 2025</t>
  </si>
  <si>
    <t>BasketballDrillText.Q22.ecm.ai</t>
  </si>
  <si>
    <t>Wed Dec 17 16:09:32 2025</t>
  </si>
  <si>
    <t>BasketballDrillText.Q27.ecm.ai</t>
  </si>
  <si>
    <t>Wed Dec 17 16:04:15 2025</t>
  </si>
  <si>
    <t>BasketballDrillText.Q32.ecm.ai</t>
  </si>
  <si>
    <t>Wed Dec 17 15:52:41 2025</t>
  </si>
  <si>
    <t>BasketballDrillText.Q37.ecm.ai</t>
  </si>
  <si>
    <t>Wed Dec 17 15:47:23 2025</t>
  </si>
  <si>
    <t>ArenaOfValor.Q22.ecm.ai</t>
  </si>
  <si>
    <t>Wed Dec 17 17:38:05 2025</t>
  </si>
  <si>
    <t>ArenaOfValor.Q27.ecm.ai</t>
  </si>
  <si>
    <t>Wed Dec 17 17:08:25 2025</t>
  </si>
  <si>
    <t>ArenaOfValor.Q32.ecm.ai</t>
  </si>
  <si>
    <t>Wed Dec 17 16:39:10 2025</t>
  </si>
  <si>
    <t>ArenaOfValor.Q37.ecm.ai</t>
  </si>
  <si>
    <t>Wed Dec 17 16:05:57 2025</t>
  </si>
  <si>
    <t>SlideEditing.Q22.ecm.ai</t>
  </si>
  <si>
    <t>Wed Dec 17 15:46:23 2025</t>
  </si>
  <si>
    <t>SlideEditing.Q27.ecm.ai</t>
  </si>
  <si>
    <t>Wed Dec 17 15:48:11 2025</t>
  </si>
  <si>
    <t>SlideEditing.Q32.ecm.ai</t>
  </si>
  <si>
    <t>Wed Dec 17 15:46:24 2025</t>
  </si>
  <si>
    <t>SlideEditing.Q37.ecm.ai</t>
  </si>
  <si>
    <t>Wed Dec 17 15:40:36 2025</t>
  </si>
  <si>
    <t>SlideShow.Q22.ecm.ai</t>
  </si>
  <si>
    <t>Wed Dec 17 15:32:00 2025</t>
  </si>
  <si>
    <t>SlideShow.Q27.ecm.ai</t>
  </si>
  <si>
    <t>Wed Dec 17 15:28:10 2025</t>
  </si>
  <si>
    <t>SlideShow.Q32.ecm.ai</t>
  </si>
  <si>
    <t>Wed Dec 17 15:26:59 2025</t>
  </si>
  <si>
    <t>SlideShow.Q37.ecm.ai</t>
  </si>
  <si>
    <t>Wed Dec 17 15:18:57 2025</t>
  </si>
  <si>
    <t>FlyingGraphics_420.Q22.ecm.ai</t>
  </si>
  <si>
    <t>Wed Dec 17 16:03:28 2025</t>
  </si>
  <si>
    <t>FlyingGraphics_420.Q27.ecm.ai</t>
  </si>
  <si>
    <t>Wed Dec 17 16:01:35 2025</t>
  </si>
  <si>
    <t>FlyingGraphics_420.Q32.ecm.ai</t>
  </si>
  <si>
    <t>Wed Dec 17 15:55:43 2025</t>
  </si>
  <si>
    <t>FlyingGraphics_420.Q37.ecm.ai</t>
  </si>
  <si>
    <t>Wed Dec 17 15:47:11 2025</t>
  </si>
  <si>
    <t>Desktop_420.Q22.ecm.ai</t>
  </si>
  <si>
    <t>Wed Dec 17 15:41:41 2025</t>
  </si>
  <si>
    <t>Desktop_420.Q27.ecm.ai</t>
  </si>
  <si>
    <t>Wed Dec 17 15:33:42 2025</t>
  </si>
  <si>
    <t>Desktop_420.Q32.ecm.ai</t>
  </si>
  <si>
    <t>Wed Dec 17 15:20:01 2025</t>
  </si>
  <si>
    <t>Desktop_420.Q37.ecm.ai</t>
  </si>
  <si>
    <t>Wed Dec 17 15:22:14 2025</t>
  </si>
  <si>
    <t>Console_420.Q22.ecm.ai</t>
  </si>
  <si>
    <t>Wed Dec 17 15:09:20 2025</t>
  </si>
  <si>
    <t>Console_420.Q27.ecm.ai</t>
  </si>
  <si>
    <t>Wed Dec 17 15:02:58 2025</t>
  </si>
  <si>
    <t>Console_420.Q32.ecm.ai</t>
  </si>
  <si>
    <t>Wed Dec 17 14:55:42 2025</t>
  </si>
  <si>
    <t>Console_420.Q37.ecm.ai</t>
  </si>
  <si>
    <t>Wed Dec 17 14:40:29 2025</t>
  </si>
  <si>
    <t>ChineseEditing_420.Q22.ecm.ai</t>
  </si>
  <si>
    <t>Wed Dec 17 15:12:14 2025</t>
  </si>
  <si>
    <t>ChineseEditing_420.Q27.ecm.ai</t>
  </si>
  <si>
    <t>Wed Dec 17 15:02:57 2025</t>
  </si>
  <si>
    <t>ChineseEditing_420.Q32.ecm.ai</t>
  </si>
  <si>
    <t>Wed Dec 17 15:02:59 2025</t>
  </si>
  <si>
    <t>ChineseEditing_420.Q37.ecm.ai</t>
  </si>
  <si>
    <t>Wed Dec 17 14:56:40 2025</t>
  </si>
  <si>
    <t>Tango2.Q22.ecm.ra</t>
  </si>
  <si>
    <t>Wed Dec 24 05:57:12 2025</t>
  </si>
  <si>
    <t>Tango2.Q27.ecm.ra</t>
  </si>
  <si>
    <t>Sun Dec 21 01:27:24 2025</t>
  </si>
  <si>
    <t>Tango2.Q32.ecm.ra</t>
  </si>
  <si>
    <t>Thu Dec 18 18:02:54 2025</t>
  </si>
  <si>
    <t>Tango2.Q37.ecm.ra</t>
  </si>
  <si>
    <t>Thu Dec 18 07:15:35 2025</t>
  </si>
  <si>
    <t>FoodMarket4.Q22.ecm.ra</t>
  </si>
  <si>
    <t>Wed Dec 24 15:44:32 2025</t>
  </si>
  <si>
    <t>FoodMarket4.Q27.ecm.ra</t>
  </si>
  <si>
    <t>Sun Dec 21 17:24:18 2025</t>
  </si>
  <si>
    <t>FoodMarket4.Q32.ecm.ra</t>
  </si>
  <si>
    <t>Fri Dec 19 00:47:07 2025</t>
  </si>
  <si>
    <t>FoodMarket4.Q37.ecm.ra</t>
  </si>
  <si>
    <t>Thu Dec 18 03:01:11 2025</t>
  </si>
  <si>
    <t>Campfire.Q22.ecm.ra</t>
  </si>
  <si>
    <t>Fri Dec 26 14:15:49 2025</t>
  </si>
  <si>
    <t>Campfire.Q27.ecm.ra</t>
  </si>
  <si>
    <t>Tue Dec 23 03:20:34 2025</t>
  </si>
  <si>
    <t>Campfire.Q32.ecm.ra</t>
  </si>
  <si>
    <t>Sun Dec 21 17:44:46 2025</t>
  </si>
  <si>
    <t>Campfire.Q37.ecm.ra</t>
  </si>
  <si>
    <t>Fri Dec 19 08:44:16 2025</t>
  </si>
  <si>
    <t>CatRobot.Q22.ecm.ra</t>
  </si>
  <si>
    <t>Sat Dec 20 19:44:14 2025</t>
  </si>
  <si>
    <t>CatRobot.Q27.ecm.ra</t>
  </si>
  <si>
    <t>Fri Dec 19 21:35:31 2025</t>
  </si>
  <si>
    <t>CatRobot.Q32.ecm.ra</t>
  </si>
  <si>
    <t>Thu Dec 18 14:27:33 2025</t>
  </si>
  <si>
    <t>CatRobot.Q37.ecm.ra</t>
  </si>
  <si>
    <t>Thu Dec 18 07:40:53 2025</t>
  </si>
  <si>
    <t>DaylightRoad2.Q22.ecm.ra</t>
  </si>
  <si>
    <t>Mon Dec 22 05:47:47 2025</t>
  </si>
  <si>
    <t>DaylightRoad2.Q27.ecm.ra</t>
  </si>
  <si>
    <t>Sat Dec 20 15:10:34 2025</t>
  </si>
  <si>
    <t>DaylightRoad2.Q32.ecm.ra</t>
  </si>
  <si>
    <t>Fri Dec 19 06:14:47 2025</t>
  </si>
  <si>
    <t>DaylightRoad2.Q37.ecm.ra</t>
  </si>
  <si>
    <t>Thu Dec 18 06:47:13 2025</t>
  </si>
  <si>
    <t>ParkRunning3.Q22.ecm.ra</t>
  </si>
  <si>
    <t>Wed Dec 24 06:41:42 2025</t>
  </si>
  <si>
    <t>ParkRunning3.Q27.ecm.ra</t>
  </si>
  <si>
    <t>Mon Dec 22 12:18:23 2025</t>
  </si>
  <si>
    <t>ParkRunning3.Q32.ecm.ra</t>
  </si>
  <si>
    <t>Sat Dec 20 23:23:55 2025</t>
  </si>
  <si>
    <t>ParkRunning3.Q37.ecm.ra</t>
  </si>
  <si>
    <t>Fri Dec 19 19:30:15 2025</t>
  </si>
  <si>
    <t>MarketPlace.Q22.ecm.ra</t>
  </si>
  <si>
    <t>Fri Dec 19 12:12:40 2025</t>
  </si>
  <si>
    <t>MarketPlace.Q27.ecm.ra</t>
  </si>
  <si>
    <t>Thu Dec 18 09:24:12 2025</t>
  </si>
  <si>
    <t>MarketPlace.Q32.ecm.ra</t>
  </si>
  <si>
    <t>Thu Dec 18 05:14:01 2025</t>
  </si>
  <si>
    <t>MarketPlace.Q37.ecm.ra</t>
  </si>
  <si>
    <t>Thu Dec 18 02:14:44 2025</t>
  </si>
  <si>
    <t>RitualDance.Q22.ecm.ra</t>
  </si>
  <si>
    <t>Thu Dec 18 18:05:47 2025</t>
  </si>
  <si>
    <t>RitualDance.Q27.ecm.ra</t>
  </si>
  <si>
    <t>Thu Dec 18 11:15:00 2025</t>
  </si>
  <si>
    <t>RitualDance.Q32.ecm.ra</t>
  </si>
  <si>
    <t>Thu Dec 18 07:41:02 2025</t>
  </si>
  <si>
    <t>RitualDance.Q37.ecm.ra</t>
  </si>
  <si>
    <t>Thu Dec 18 01:42:13 2025</t>
  </si>
  <si>
    <t>Cactus.Q22.ecm.ra</t>
  </si>
  <si>
    <t>Thu Dec 18 13:46:20 2025</t>
  </si>
  <si>
    <t>Cactus.Q27.ecm.ra</t>
  </si>
  <si>
    <t>Thu Dec 18 06:03:28 2025</t>
  </si>
  <si>
    <t>Cactus.Q32.ecm.ra</t>
  </si>
  <si>
    <t>Thu Dec 18 00:42:45 2025</t>
  </si>
  <si>
    <t>Cactus.Q37.ecm.ra</t>
  </si>
  <si>
    <t>Wed Dec 17 20:25:36 2025</t>
  </si>
  <si>
    <t>BasketballDrive.Q22.ecm.ra</t>
  </si>
  <si>
    <t>Thu Dec 18 22:44:53 2025</t>
  </si>
  <si>
    <t>BasketballDrive.Q27.ecm.ra</t>
  </si>
  <si>
    <t>Thu Dec 18 05:13:04 2025</t>
  </si>
  <si>
    <t>BasketballDrive.Q32.ecm.ra</t>
  </si>
  <si>
    <t>Thu Dec 18 00:11:52 2025</t>
  </si>
  <si>
    <t>BasketballDrive.Q37.ecm.ra</t>
  </si>
  <si>
    <t>fail(md5 mismatch).</t>
  </si>
  <si>
    <t>Fri Dec 19 18:42:53 2025</t>
  </si>
  <si>
    <t>BQTerrace.Q22.ecm.ra</t>
  </si>
  <si>
    <t>Thu Dec 18 11:16:22 2025</t>
  </si>
  <si>
    <t>BQTerrace.Q27.ecm.ra</t>
  </si>
  <si>
    <t>Wed Dec 17 22:34:42 2025</t>
  </si>
  <si>
    <t>BQTerrace.Q32.ecm.ra</t>
  </si>
  <si>
    <t>Wed Dec 17 17:14:33 2025</t>
  </si>
  <si>
    <t>BQTerrace.Q37.ecm.ra</t>
  </si>
  <si>
    <t>Wed Dec 17 14:38:13 2025</t>
  </si>
  <si>
    <t>BasketballDrill.Q22.ecm.ra</t>
  </si>
  <si>
    <t>Wed Dec 17 13:31:13 2025</t>
  </si>
  <si>
    <t>BasketballDrill.Q27.ecm.ra</t>
  </si>
  <si>
    <t>Wed Dec 17 12:54:56 2025</t>
  </si>
  <si>
    <t>BasketballDrill.Q32.ecm.ra</t>
  </si>
  <si>
    <t>Wed Dec 17 12:23:59 2025</t>
  </si>
  <si>
    <t>BasketballDrill.Q37.ecm.ra</t>
  </si>
  <si>
    <t>Wed Dec 17 12:00:27 2025</t>
  </si>
  <si>
    <t>BQMall.Q22.ecm.ra</t>
  </si>
  <si>
    <t>Wed Dec 17 13:44:17 2025</t>
  </si>
  <si>
    <t>BQMall.Q27.ecm.ra</t>
  </si>
  <si>
    <t>Wed Dec 17 13:01:29 2025</t>
  </si>
  <si>
    <t>BQMall.Q32.ecm.ra</t>
  </si>
  <si>
    <t>Wed Dec 17 12:28:51 2025</t>
  </si>
  <si>
    <t>BQMall.Q37.ecm.ra</t>
  </si>
  <si>
    <t>Wed Dec 17 11:58:39 2025</t>
  </si>
  <si>
    <t>PartyScene.Q22.ecm.ra</t>
  </si>
  <si>
    <t>Wed Dec 17 14:28:17 2025</t>
  </si>
  <si>
    <t>PartyScene.Q27.ecm.ra</t>
  </si>
  <si>
    <t>Wed Dec 17 13:38:45 2025</t>
  </si>
  <si>
    <t>PartyScene.Q32.ecm.ra</t>
  </si>
  <si>
    <t>Wed Dec 17 13:00:56 2025</t>
  </si>
  <si>
    <t>PartyScene.Q37.ecm.ra</t>
  </si>
  <si>
    <t>Wed Dec 17 12:27:01 2025</t>
  </si>
  <si>
    <t>RaceHorsesC.Q22.ecm.ra</t>
  </si>
  <si>
    <t>Wed Dec 17 16:34:09 2025</t>
  </si>
  <si>
    <t>RaceHorsesC.Q27.ecm.ra</t>
  </si>
  <si>
    <t>Wed Dec 17 14:33:14 2025</t>
  </si>
  <si>
    <t>RaceHorsesC.Q32.ecm.ra</t>
  </si>
  <si>
    <t>Wed Dec 17 13:29:05 2025</t>
  </si>
  <si>
    <t>RaceHorsesC.Q37.ecm.ra</t>
  </si>
  <si>
    <t>Wed Dec 17 12:35:08 2025</t>
  </si>
  <si>
    <t>BasketballPass.Q22.ecm.ra</t>
  </si>
  <si>
    <t>Wed Dec 17 12:23:50 2025</t>
  </si>
  <si>
    <t>BasketballPass.Q27.ecm.ra</t>
  </si>
  <si>
    <t>Wed Dec 17 12:04:50 2025</t>
  </si>
  <si>
    <t>BasketballPass.Q32.ecm.ra</t>
  </si>
  <si>
    <t>Wed Dec 17 11:48:03 2025</t>
  </si>
  <si>
    <t>BasketballPass.Q37.ecm.ra</t>
  </si>
  <si>
    <t>Wed Dec 17 11:32:53 2025</t>
  </si>
  <si>
    <t>BQSquare.Q22.ecm.ra</t>
  </si>
  <si>
    <t>Wed Dec 17 11:59:20 2025</t>
  </si>
  <si>
    <t>BQSquare.Q27.ecm.ra</t>
  </si>
  <si>
    <t>Wed Dec 17 11:29:13 2025</t>
  </si>
  <si>
    <t>BQSquare.Q32.ecm.ra</t>
  </si>
  <si>
    <t>Wed Dec 17 11:18:03 2025</t>
  </si>
  <si>
    <t>BQSquare.Q37.ecm.ra</t>
  </si>
  <si>
    <t>Wed Dec 17 11:13:20 2025</t>
  </si>
  <si>
    <t>BlowingBubbles.Q22.ecm.ra</t>
  </si>
  <si>
    <t>Wed Dec 17 12:07:55 2025</t>
  </si>
  <si>
    <t>BlowingBubbles.Q27.ecm.ra</t>
  </si>
  <si>
    <t>Wed Dec 17 11:51:43 2025</t>
  </si>
  <si>
    <t>BlowingBubbles.Q32.ecm.ra</t>
  </si>
  <si>
    <t>Wed Dec 17 11:38:19 2025</t>
  </si>
  <si>
    <t>BlowingBubbles.Q37.ecm.ra</t>
  </si>
  <si>
    <t>Wed Dec 17 11:26:23 2025</t>
  </si>
  <si>
    <t>RaceHorses.Q22.ecm.ra</t>
  </si>
  <si>
    <t>Wed Dec 17 12:27:23 2025</t>
  </si>
  <si>
    <t>RaceHorses.Q27.ecm.ra</t>
  </si>
  <si>
    <t>Wed Dec 17 12:07:08 2025</t>
  </si>
  <si>
    <t>RaceHorses.Q32.ecm.ra</t>
  </si>
  <si>
    <t>Wed Dec 17 11:49:06 2025</t>
  </si>
  <si>
    <t>RaceHorses.Q37.ecm.ra</t>
  </si>
  <si>
    <t>Wed Dec 17 11:33:14 2025</t>
  </si>
  <si>
    <t>FourPeople.Q22.ecm.ra</t>
  </si>
  <si>
    <t>FourPeople.Q27.ecm.ra</t>
  </si>
  <si>
    <t>FourPeople.Q32.ecm.ra</t>
  </si>
  <si>
    <t>FourPeople.Q37.ecm.ra</t>
  </si>
  <si>
    <t>Johnny.Q22.ecm.ra</t>
  </si>
  <si>
    <t>Johnny.Q27.ecm.ra</t>
  </si>
  <si>
    <t>Johnny.Q32.ecm.ra</t>
  </si>
  <si>
    <t>Johnny.Q37.ecm.ra</t>
  </si>
  <si>
    <t>KristenAndSara.Q22.ecm.ra</t>
  </si>
  <si>
    <t>KristenAndSara.Q27.ecm.ra</t>
  </si>
  <si>
    <t>KristenAndSara.Q32.ecm.ra</t>
  </si>
  <si>
    <t>KristenAndSara.Q37.ecm.ra</t>
  </si>
  <si>
    <t>BasketballDrillText.Q22.ecm.ra</t>
  </si>
  <si>
    <t>Wed Dec 17 12:49:55 2025</t>
  </si>
  <si>
    <t>BasketballDrillText.Q27.ecm.ra</t>
  </si>
  <si>
    <t>Wed Dec 17 12:20:14 2025</t>
  </si>
  <si>
    <t>BasketballDrillText.Q32.ecm.ra</t>
  </si>
  <si>
    <t>Wed Dec 17 12:00:26 2025</t>
  </si>
  <si>
    <t>BasketballDrillText.Q37.ecm.ra</t>
  </si>
  <si>
    <t>Wed Dec 17 11:44:22 2025</t>
  </si>
  <si>
    <t>ArenaOfValor.Q22.ecm.ra</t>
  </si>
  <si>
    <t>Wed Dec 17 18:31:56 2025</t>
  </si>
  <si>
    <t>ArenaOfValor.Q27.ecm.ra</t>
  </si>
  <si>
    <t>Wed Dec 17 16:18:49 2025</t>
  </si>
  <si>
    <t>ArenaOfValor.Q32.ecm.ra</t>
  </si>
  <si>
    <t>Wed Dec 17 14:43:30 2025</t>
  </si>
  <si>
    <t>ArenaOfValor.Q37.ecm.ra</t>
  </si>
  <si>
    <t>Wed Dec 17 13:40:53 2025</t>
  </si>
  <si>
    <t>SlideEditing.Q22.ecm.ra</t>
  </si>
  <si>
    <t>Wed Dec 17 11:44:35 2025</t>
  </si>
  <si>
    <t>SlideEditing.Q27.ecm.ra</t>
  </si>
  <si>
    <t>Wed Dec 17 11:40:33 2025</t>
  </si>
  <si>
    <t>SlideEditing.Q32.ecm.ra</t>
  </si>
  <si>
    <t>Wed Dec 17 11:37:45 2025</t>
  </si>
  <si>
    <t>SlideEditing.Q37.ecm.ra</t>
  </si>
  <si>
    <t>Wed Dec 17 11:35:01 2025</t>
  </si>
  <si>
    <t>SlideShow.Q22.ecm.ra</t>
  </si>
  <si>
    <t>Wed Dec 17 12:28:50 2025</t>
  </si>
  <si>
    <t>SlideShow.Q27.ecm.ra</t>
  </si>
  <si>
    <t>Wed Dec 17 12:16:49 2025</t>
  </si>
  <si>
    <t>SlideShow.Q32.ecm.ra</t>
  </si>
  <si>
    <t>Wed Dec 17 12:02:04 2025</t>
  </si>
  <si>
    <t>SlideShow.Q37.ecm.ra</t>
  </si>
  <si>
    <t>Wed Dec 17 11:45:19 2025</t>
  </si>
  <si>
    <t>FlyingGraphics_420.Q22.ecm.ra</t>
  </si>
  <si>
    <t>Wed Dec 17 20:03:30 2025</t>
  </si>
  <si>
    <t>FlyingGraphics_420.Q27.ecm.ra</t>
  </si>
  <si>
    <t>Wed Dec 17 18:54:43 2025</t>
  </si>
  <si>
    <t>FlyingGraphics_420.Q32.ecm.ra</t>
  </si>
  <si>
    <t>Wed Dec 17 17:41:47 2025</t>
  </si>
  <si>
    <t>FlyingGraphics_420.Q37.ecm.ra</t>
  </si>
  <si>
    <t>Wed Dec 17 16:12:48 2025</t>
  </si>
  <si>
    <t>Desktop_420.Q22.ecm.ra</t>
  </si>
  <si>
    <t>Wed Dec 17 13:26:20 2025</t>
  </si>
  <si>
    <t>Desktop_420.Q27.ecm.ra</t>
  </si>
  <si>
    <t>Wed Dec 17 13:16:47 2025</t>
  </si>
  <si>
    <t>Desktop_420.Q32.ecm.ra</t>
  </si>
  <si>
    <t>Wed Dec 17 13:10:08 2025</t>
  </si>
  <si>
    <t>Desktop_420.Q37.ecm.ra</t>
  </si>
  <si>
    <t>Wed Dec 17 13:00:59 2025</t>
  </si>
  <si>
    <t>Console_420.Q22.ecm.ra</t>
  </si>
  <si>
    <t>Wed Dec 17 14:36:26 2025</t>
  </si>
  <si>
    <t>Console_420.Q27.ecm.ra</t>
  </si>
  <si>
    <t>Wed Dec 17 14:17:18 2025</t>
  </si>
  <si>
    <t>Console_420.Q32.ecm.ra</t>
  </si>
  <si>
    <t>Wed Dec 17 13:54:54 2025</t>
  </si>
  <si>
    <t>Console_420.Q37.ecm.ra</t>
  </si>
  <si>
    <t>Wed Dec 17 13:35:05 2025</t>
  </si>
  <si>
    <t>ChineseEditing_420.Q22.ecm.ra</t>
  </si>
  <si>
    <t>Wed Dec 17 13:40:34 2025</t>
  </si>
  <si>
    <t>ChineseEditing_420.Q27.ecm.ra</t>
  </si>
  <si>
    <t>Wed Dec 17 13:39:24 2025</t>
  </si>
  <si>
    <t>ChineseEditing_420.Q32.ecm.ra</t>
  </si>
  <si>
    <t>Wed Dec 17 13:33:01 2025</t>
  </si>
  <si>
    <t>ChineseEditing_420.Q37.ecm.ra</t>
  </si>
  <si>
    <t>Wed Dec 17 13:23:17 2025</t>
  </si>
  <si>
    <t>Tango2.Q22.ecm.lb</t>
  </si>
  <si>
    <t>Tango2.Q27.ecm.lb</t>
  </si>
  <si>
    <t>Tango2.Q32.ecm.lb</t>
  </si>
  <si>
    <t>Tango2.Q37.ecm.lb</t>
  </si>
  <si>
    <t>FoodMarket4.Q22.ecm.lb</t>
  </si>
  <si>
    <t>FoodMarket4.Q27.ecm.lb</t>
  </si>
  <si>
    <t>FoodMarket4.Q32.ecm.lb</t>
  </si>
  <si>
    <t>FoodMarket4.Q37.ecm.lb</t>
  </si>
  <si>
    <t>Campfire.Q22.ecm.lb</t>
  </si>
  <si>
    <t>Campfire.Q27.ecm.lb</t>
  </si>
  <si>
    <t>Campfire.Q32.ecm.lb</t>
  </si>
  <si>
    <t>Campfire.Q37.ecm.lb</t>
  </si>
  <si>
    <t>CatRobot.Q22.ecm.lb</t>
  </si>
  <si>
    <t>CatRobot.Q27.ecm.lb</t>
  </si>
  <si>
    <t>CatRobot.Q32.ecm.lb</t>
  </si>
  <si>
    <t>CatRobot.Q37.ecm.lb</t>
  </si>
  <si>
    <t>DaylightRoad2.Q22.ecm.lb</t>
  </si>
  <si>
    <t>DaylightRoad2.Q27.ecm.lb</t>
  </si>
  <si>
    <t>DaylightRoad2.Q32.ecm.lb</t>
  </si>
  <si>
    <t>DaylightRoad2.Q37.ecm.lb</t>
  </si>
  <si>
    <t>ParkRunning3.Q22.ecm.lb</t>
  </si>
  <si>
    <t>ParkRunning3.Q27.ecm.lb</t>
  </si>
  <si>
    <t>ParkRunning3.Q32.ecm.lb</t>
  </si>
  <si>
    <t>ParkRunning3.Q37.ecm.lb</t>
  </si>
  <si>
    <t>MarketPlace.Q22.ecm.lb</t>
  </si>
  <si>
    <t>Thu Dec 18 19:01:29 2025</t>
  </si>
  <si>
    <t>MarketPlace.Q27.ecm.lb</t>
  </si>
  <si>
    <t>Thu Dec 18 05:35:37 2025</t>
  </si>
  <si>
    <t>MarketPlace.Q32.ecm.lb</t>
  </si>
  <si>
    <t>Thu Dec 18 00:20:06 2025</t>
  </si>
  <si>
    <t>MarketPlace.Q37.ecm.lb</t>
  </si>
  <si>
    <t>Wed Dec 17 21:44:33 2025</t>
  </si>
  <si>
    <t>RitualDance.Q22.ecm.lb</t>
  </si>
  <si>
    <t>Thu Dec 18 20:00:31 2025</t>
  </si>
  <si>
    <t>RitualDance.Q27.ecm.lb</t>
  </si>
  <si>
    <t>Thu Dec 18 04:20:30 2025</t>
  </si>
  <si>
    <t>RitualDance.Q32.ecm.lb</t>
  </si>
  <si>
    <t>Thu Dec 18 04:24:31 2025</t>
  </si>
  <si>
    <t>RitualDance.Q37.ecm.lb</t>
  </si>
  <si>
    <t>Wed Dec 17 22:56:48 2025</t>
  </si>
  <si>
    <t>Cactus.Q22.ecm.lb</t>
  </si>
  <si>
    <t>Thu Dec 18 23:27:16 2025</t>
  </si>
  <si>
    <t>Cactus.Q27.ecm.lb</t>
  </si>
  <si>
    <t>Thu Dec 18 03:06:51 2025</t>
  </si>
  <si>
    <t>Cactus.Q32.ecm.lb</t>
  </si>
  <si>
    <t>Wed Dec 17 22:39:57 2025</t>
  </si>
  <si>
    <t>Cactus.Q37.ecm.lb</t>
  </si>
  <si>
    <t>Wed Dec 17 20:10:10 2025</t>
  </si>
  <si>
    <t>BasketballDrive.Q22.ecm.lb</t>
  </si>
  <si>
    <t>Fri Dec 19 11:57:35 2025</t>
  </si>
  <si>
    <t>BasketballDrive.Q27.ecm.lb</t>
  </si>
  <si>
    <t>Thu Dec 18 07:06:12 2025</t>
  </si>
  <si>
    <t>BasketballDrive.Q32.ecm.lb</t>
  </si>
  <si>
    <t>Thu Dec 18 01:33:11 2025</t>
  </si>
  <si>
    <t>BasketballDrive.Q37.ecm.lb</t>
  </si>
  <si>
    <t>Thu Dec 18 01:30:46 2025</t>
  </si>
  <si>
    <t>BQTerrace.Q22.ecm.lb</t>
  </si>
  <si>
    <t>Fri Dec 19 00:15:39 2025</t>
  </si>
  <si>
    <t>BQTerrace.Q27.ecm.lb</t>
  </si>
  <si>
    <t>Thu Dec 18 12:52:44 2025</t>
  </si>
  <si>
    <t>BQTerrace.Q32.ecm.lb</t>
  </si>
  <si>
    <t>Wed Dec 17 22:57:29 2025</t>
  </si>
  <si>
    <t>BQTerrace.Q37.ecm.lb</t>
  </si>
  <si>
    <t>Wed Dec 17 19:53:25 2025</t>
  </si>
  <si>
    <t>BasketballDrill.Q22.ecm.lb</t>
  </si>
  <si>
    <t>Wed Dec 17 17:32:55 2025</t>
  </si>
  <si>
    <t>BasketballDrill.Q27.ecm.lb</t>
  </si>
  <si>
    <t>Wed Dec 17 16:05:22 2025</t>
  </si>
  <si>
    <t>BasketballDrill.Q32.ecm.lb</t>
  </si>
  <si>
    <t>BasketballDrill.Q37.ecm.lb</t>
  </si>
  <si>
    <t>Wed Dec 17 14:22:32 2025</t>
  </si>
  <si>
    <t>BQMall.Q22.ecm.lb</t>
  </si>
  <si>
    <t>Wed Dec 17 18:24:43 2025</t>
  </si>
  <si>
    <t>BQMall.Q27.ecm.lb</t>
  </si>
  <si>
    <t>Wed Dec 17 16:25:07 2025</t>
  </si>
  <si>
    <t>BQMall.Q32.ecm.lb</t>
  </si>
  <si>
    <t>Wed Dec 17 16:21:52 2025</t>
  </si>
  <si>
    <t>BQMall.Q37.ecm.lb</t>
  </si>
  <si>
    <t>Wed Dec 17 14:25:45 2025</t>
  </si>
  <si>
    <t>PartyScene.Q22.ecm.lb</t>
  </si>
  <si>
    <t>Wed Dec 17 22:14:58 2025</t>
  </si>
  <si>
    <t>PartyScene.Q27.ecm.lb</t>
  </si>
  <si>
    <t>Wed Dec 17 17:38:48 2025</t>
  </si>
  <si>
    <t>PartyScene.Q32.ecm.lb</t>
  </si>
  <si>
    <t>Wed Dec 17 17:38:50 2025</t>
  </si>
  <si>
    <t>PartyScene.Q37.ecm.lb</t>
  </si>
  <si>
    <t>Wed Dec 17 15:01:49 2025</t>
  </si>
  <si>
    <t>RaceHorsesC.Q22.ecm.lb</t>
  </si>
  <si>
    <t>Wed Dec 17 19:49:17 2025</t>
  </si>
  <si>
    <t>RaceHorsesC.Q27.ecm.lb</t>
  </si>
  <si>
    <t>Wed Dec 17 17:07:46 2025</t>
  </si>
  <si>
    <t>RaceHorsesC.Q32.ecm.lb</t>
  </si>
  <si>
    <t>Wed Dec 17 15:45:36 2025</t>
  </si>
  <si>
    <t>RaceHorsesC.Q37.ecm.lb</t>
  </si>
  <si>
    <t>Wed Dec 17 14:00:14 2025</t>
  </si>
  <si>
    <t>BasketballPass.Q22.ecm.lb</t>
  </si>
  <si>
    <t>Wed Dec 17 13:43:59 2025</t>
  </si>
  <si>
    <t>BasketballPass.Q27.ecm.lb</t>
  </si>
  <si>
    <t>Wed Dec 17 13:05:16 2025</t>
  </si>
  <si>
    <t>BasketballPass.Q32.ecm.lb</t>
  </si>
  <si>
    <t>Wed Dec 17 13:05:12 2025</t>
  </si>
  <si>
    <t>BasketballPass.Q37.ecm.lb</t>
  </si>
  <si>
    <t>Wed Dec 17 12:37:21 2025</t>
  </si>
  <si>
    <t>BQSquare.Q22.ecm.lb</t>
  </si>
  <si>
    <t>Wed Dec 17 14:26:28 2025</t>
  </si>
  <si>
    <t>BQSquare.Q27.ecm.lb</t>
  </si>
  <si>
    <t>Wed Dec 17 13:14:27 2025</t>
  </si>
  <si>
    <t>BQSquare.Q32.ecm.lb</t>
  </si>
  <si>
    <t>Wed Dec 17 13:04:57 2025</t>
  </si>
  <si>
    <t>BQSquare.Q37.ecm.lb</t>
  </si>
  <si>
    <t>Wed Dec 17 12:31:54 2025</t>
  </si>
  <si>
    <t>BlowingBubbles.Q22.ecm.lb</t>
  </si>
  <si>
    <t>Wed Dec 17 13:35:37 2025</t>
  </si>
  <si>
    <t>BlowingBubbles.Q27.ecm.lb</t>
  </si>
  <si>
    <t>Wed Dec 17 13:36:10 2025</t>
  </si>
  <si>
    <t>BlowingBubbles.Q32.ecm.lb</t>
  </si>
  <si>
    <t>Wed Dec 17 12:49:36 2025</t>
  </si>
  <si>
    <t>BlowingBubbles.Q37.ecm.lb</t>
  </si>
  <si>
    <t>Wed Dec 17 12:35:39 2025</t>
  </si>
  <si>
    <t>RaceHorses.Q22.ecm.lb</t>
  </si>
  <si>
    <t>Wed Dec 17 13:11:11 2025</t>
  </si>
  <si>
    <t>RaceHorses.Q27.ecm.lb</t>
  </si>
  <si>
    <t>Wed Dec 17 12:51:52 2025</t>
  </si>
  <si>
    <t>RaceHorses.Q32.ecm.lb</t>
  </si>
  <si>
    <t>Wed Dec 17 12:52:05 2025</t>
  </si>
  <si>
    <t>RaceHorses.Q37.ecm.lb</t>
  </si>
  <si>
    <t>Wed Dec 17 12:25:50 2025</t>
  </si>
  <si>
    <t>FourPeople.Q22.ecm.lb</t>
  </si>
  <si>
    <t>Wed Dec 17 18:28:47 2025</t>
  </si>
  <si>
    <t>FourPeople.Q27.ecm.lb</t>
  </si>
  <si>
    <t>Wed Dec 17 16:21:55 2025</t>
  </si>
  <si>
    <t>FourPeople.Q32.ecm.lb</t>
  </si>
  <si>
    <t>Wed Dec 17 15:33:07 2025</t>
  </si>
  <si>
    <t>FourPeople.Q37.ecm.lb</t>
  </si>
  <si>
    <t>Wed Dec 17 14:52:03 2025</t>
  </si>
  <si>
    <t>Johnny.Q22.ecm.lb</t>
  </si>
  <si>
    <t>Wed Dec 17 18:33:14 2025</t>
  </si>
  <si>
    <t>Johnny.Q27.ecm.lb</t>
  </si>
  <si>
    <t>Wed Dec 17 15:59:11 2025</t>
  </si>
  <si>
    <t>Johnny.Q32.ecm.lb</t>
  </si>
  <si>
    <t>Wed Dec 17 14:54:13 2025</t>
  </si>
  <si>
    <t>Johnny.Q37.ecm.lb</t>
  </si>
  <si>
    <t>Wed Dec 17 14:18:28 2025</t>
  </si>
  <si>
    <t>KristenAndSara.Q22.ecm.lb</t>
  </si>
  <si>
    <t>Wed Dec 17 19:18:58 2025</t>
  </si>
  <si>
    <t>KristenAndSara.Q27.ecm.lb</t>
  </si>
  <si>
    <t>Wed Dec 17 16:36:22 2025</t>
  </si>
  <si>
    <t>KristenAndSara.Q32.ecm.lb</t>
  </si>
  <si>
    <t>Wed Dec 17 15:18:03 2025</t>
  </si>
  <si>
    <t>KristenAndSara.Q37.ecm.lb</t>
  </si>
  <si>
    <t>Wed Dec 17 14:30:00 2025</t>
  </si>
  <si>
    <t>BasketballDrillText.Q22.ecm.lb</t>
  </si>
  <si>
    <t>Wed Dec 17 20:37:16 2025</t>
  </si>
  <si>
    <t>BasketballDrillText.Q27.ecm.lb</t>
  </si>
  <si>
    <t>Wed Dec 17 16:38:51 2025</t>
  </si>
  <si>
    <t>BasketballDrillText.Q32.ecm.lb</t>
  </si>
  <si>
    <t>Wed Dec 17 16:15:51 2025</t>
  </si>
  <si>
    <t>BasketballDrillText.Q37.ecm.lb</t>
  </si>
  <si>
    <t>Wed Dec 17 14:16:19 2025</t>
  </si>
  <si>
    <t>ArenaOfValor.Q22.ecm.lb</t>
  </si>
  <si>
    <t>Thu Dec 18 16:25:25 2025</t>
  </si>
  <si>
    <t>ArenaOfValor.Q27.ecm.lb</t>
  </si>
  <si>
    <t>Thu Dec 18 06:28:46 2025</t>
  </si>
  <si>
    <t>ArenaOfValor.Q32.ecm.lb</t>
  </si>
  <si>
    <t>Thu Dec 18 01:41:41 2025</t>
  </si>
  <si>
    <t>ArenaOfValor.Q37.ecm.lb</t>
  </si>
  <si>
    <t>Wed Dec 17 21:28:34 2025</t>
  </si>
  <si>
    <t>SlideEditing.Q22.ecm.lb</t>
  </si>
  <si>
    <t>Wed Dec 17 13:33:03 2025</t>
  </si>
  <si>
    <t>SlideEditing.Q27.ecm.lb</t>
  </si>
  <si>
    <t>Wed Dec 17 13:25:56 2025</t>
  </si>
  <si>
    <t>SlideEditing.Q32.ecm.lb</t>
  </si>
  <si>
    <t>Wed Dec 17 13:21:18 2025</t>
  </si>
  <si>
    <t>SlideEditing.Q37.ecm.lb</t>
  </si>
  <si>
    <t>Wed Dec 17 13:13:34 2025</t>
  </si>
  <si>
    <t>SlideShow.Q22.ecm.lb</t>
  </si>
  <si>
    <t>Wed Dec 17 13:42:18 2025</t>
  </si>
  <si>
    <t>SlideShow.Q27.ecm.lb</t>
  </si>
  <si>
    <t>Wed Dec 17 13:22:53 2025</t>
  </si>
  <si>
    <t>SlideShow.Q32.ecm.lb</t>
  </si>
  <si>
    <t>Wed Dec 17 13:04:48 2025</t>
  </si>
  <si>
    <t>SlideShow.Q37.ecm.lb</t>
  </si>
  <si>
    <t>Wed Dec 17 12:51:32 2025</t>
  </si>
  <si>
    <t>FlyingGraphics_420.Q22.ecm.lb</t>
  </si>
  <si>
    <t>Thu Dec 18 18:18:34 2025</t>
  </si>
  <si>
    <t>FlyingGraphics_420.Q27.ecm.lb</t>
  </si>
  <si>
    <t>Fri Dec 19 03:19:59 2025</t>
  </si>
  <si>
    <t>FlyingGraphics_420.Q32.ecm.lb</t>
  </si>
  <si>
    <t>Thu Dec 18 09:24:31 2025</t>
  </si>
  <si>
    <t>FlyingGraphics_420.Q37.ecm.lb</t>
  </si>
  <si>
    <t>Thu Dec 18 04:53:03 2025</t>
  </si>
  <si>
    <t>Desktop_420.Q22.ecm.lb</t>
  </si>
  <si>
    <t>Wed Dec 17 18:18:45 2025</t>
  </si>
  <si>
    <t>Desktop_420.Q27.ecm.lb</t>
  </si>
  <si>
    <t>Wed Dec 17 20:09:01 2025</t>
  </si>
  <si>
    <t>Desktop_420.Q32.ecm.lb</t>
  </si>
  <si>
    <t>Wed Dec 17 19:48:21 2025</t>
  </si>
  <si>
    <t>Desktop_420.Q37.ecm.lb</t>
  </si>
  <si>
    <t>Wed Dec 17 17:24:05 2025</t>
  </si>
  <si>
    <t>Console_420.Q22.ecm.lb</t>
  </si>
  <si>
    <t>Wed Dec 17 22:05:47 2025</t>
  </si>
  <si>
    <t>Console_420.Q27.ecm.lb</t>
  </si>
  <si>
    <t>Wed Dec 17 21:06:31 2025</t>
  </si>
  <si>
    <t>Console_420.Q32.ecm.lb</t>
  </si>
  <si>
    <t>Wed Dec 17 20:52:42 2025</t>
  </si>
  <si>
    <t>Console_420.Q37.ecm.lb</t>
  </si>
  <si>
    <t>Wed Dec 17 19:57:11 2025</t>
  </si>
  <si>
    <t>ChineseEditing_420.Q22.ecm.lb</t>
  </si>
  <si>
    <t>Wed Dec 17 19:39:13 2025</t>
  </si>
  <si>
    <t>ChineseEditing_420.Q27.ecm.lb</t>
  </si>
  <si>
    <t>Wed Dec 17 21:56:28 2025</t>
  </si>
  <si>
    <t>ChineseEditing_420.Q32.ecm.lb</t>
  </si>
  <si>
    <t>Wed Dec 17 21:15:04 2025</t>
  </si>
  <si>
    <t>ChineseEditing_420.Q37.ecm.lb</t>
  </si>
  <si>
    <t>Wed Dec 17 18:03:29 2025</t>
  </si>
  <si>
    <t>Tango2.Q22.ecm.lp</t>
  </si>
  <si>
    <t>Tango2.Q27.ecm.lp</t>
  </si>
  <si>
    <t>Tango2.Q32.ecm.lp</t>
  </si>
  <si>
    <t>Tango2.Q37.ecm.lp</t>
  </si>
  <si>
    <t>FoodMarket4.Q22.ecm.lp</t>
  </si>
  <si>
    <t>FoodMarket4.Q27.ecm.lp</t>
  </si>
  <si>
    <t>FoodMarket4.Q32.ecm.lp</t>
  </si>
  <si>
    <t>FoodMarket4.Q37.ecm.lp</t>
  </si>
  <si>
    <t>Campfire.Q22.ecm.lp</t>
  </si>
  <si>
    <t>Campfire.Q27.ecm.lp</t>
  </si>
  <si>
    <t>Campfire.Q32.ecm.lp</t>
  </si>
  <si>
    <t>Campfire.Q37.ecm.lp</t>
  </si>
  <si>
    <t>CatRobot.Q22.ecm.lp</t>
  </si>
  <si>
    <t>CatRobot.Q27.ecm.lp</t>
  </si>
  <si>
    <t>CatRobot.Q32.ecm.lp</t>
  </si>
  <si>
    <t>CatRobot.Q37.ecm.lp</t>
  </si>
  <si>
    <t>DaylightRoad2.Q22.ecm.lp</t>
  </si>
  <si>
    <t>DaylightRoad2.Q27.ecm.lp</t>
  </si>
  <si>
    <t>DaylightRoad2.Q32.ecm.lp</t>
  </si>
  <si>
    <t>DaylightRoad2.Q37.ecm.lp</t>
  </si>
  <si>
    <t>ParkRunning3.Q22.ecm.lp</t>
  </si>
  <si>
    <t>ParkRunning3.Q27.ecm.lp</t>
  </si>
  <si>
    <t>ParkRunning3.Q32.ecm.lp</t>
  </si>
  <si>
    <t>ParkRunning3.Q37.ecm.lp</t>
  </si>
  <si>
    <t>MarketPlace.Q22.ecm.lp</t>
  </si>
  <si>
    <t>Sat Dec 20 18:01:00 2025</t>
  </si>
  <si>
    <t>MarketPlace.Q27.ecm.lp</t>
  </si>
  <si>
    <t>Sat Dec 20 05:10:05 2025</t>
  </si>
  <si>
    <t>MarketPlace.Q32.ecm.lp</t>
  </si>
  <si>
    <t>Sat Dec 20 01:29:03 2025</t>
  </si>
  <si>
    <t>MarketPlace.Q37.ecm.lp</t>
  </si>
  <si>
    <t>Fri Dec 19 22:04:03 2025</t>
  </si>
  <si>
    <t>RitualDance.Q22.ecm.lp</t>
  </si>
  <si>
    <t>Sat Dec 20 07:59:14 2025</t>
  </si>
  <si>
    <t>RitualDance.Q27.ecm.lp</t>
  </si>
  <si>
    <t>Sat Dec 20 04:12:06 2025</t>
  </si>
  <si>
    <t>RitualDance.Q32.ecm.lp</t>
  </si>
  <si>
    <t>Sat Dec 20 01:05:54 2025</t>
  </si>
  <si>
    <t>RitualDance.Q37.ecm.lp</t>
  </si>
  <si>
    <t>Fri Dec 19 22:35:14 2025</t>
  </si>
  <si>
    <t>Cactus.Q22.ecm.lp</t>
  </si>
  <si>
    <t>Sat Dec 20 10:41:40 2025</t>
  </si>
  <si>
    <t>Cactus.Q27.ecm.lp</t>
  </si>
  <si>
    <t>Sat Dec 20 03:12:07 2025</t>
  </si>
  <si>
    <t>Cactus.Q32.ecm.lp</t>
  </si>
  <si>
    <t>Sat Dec 20 00:27:46 2025</t>
  </si>
  <si>
    <t>Cactus.Q37.ecm.lp</t>
  </si>
  <si>
    <t>Fri Dec 19 22:43:36 2025</t>
  </si>
  <si>
    <t>BasketballDrive.Q22.ecm.lp</t>
  </si>
  <si>
    <t>Sun Dec 21 06:40:59 2025</t>
  </si>
  <si>
    <t>BasketballDrive.Q27.ecm.lp</t>
  </si>
  <si>
    <t>Sat Dec 20 13:59:46 2025</t>
  </si>
  <si>
    <t>BasketballDrive.Q32.ecm.lp</t>
  </si>
  <si>
    <t>Sat Dec 20 07:39:59 2025</t>
  </si>
  <si>
    <t>BasketballDrive.Q37.ecm.lp</t>
  </si>
  <si>
    <t>Sat Dec 20 03:49:11 2025</t>
  </si>
  <si>
    <t>BQTerrace.Q22.ecm.lp</t>
  </si>
  <si>
    <t>Sun Dec 21 14:00:58 2025</t>
  </si>
  <si>
    <t>BQTerrace.Q27.ecm.lp</t>
  </si>
  <si>
    <t>Sat Dec 20 11:33:14 2025</t>
  </si>
  <si>
    <t>BQTerrace.Q32.ecm.lp</t>
  </si>
  <si>
    <t>Sat Dec 20 04:28:53 2025</t>
  </si>
  <si>
    <t>BQTerrace.Q37.ecm.lp</t>
  </si>
  <si>
    <t>Sat Dec 20 01:22:48 2025</t>
  </si>
  <si>
    <t>BasketballDrill.Q22.ecm.lp</t>
  </si>
  <si>
    <t>Fri Dec 19 22:34:54 2025</t>
  </si>
  <si>
    <t>BasketballDrill.Q27.ecm.lp</t>
  </si>
  <si>
    <t>Fri Dec 19 21:18:26 2025</t>
  </si>
  <si>
    <t>BasketballDrill.Q32.ecm.lp</t>
  </si>
  <si>
    <t>Fri Dec 19 20:31:16 2025</t>
  </si>
  <si>
    <t>BasketballDrill.Q37.ecm.lp</t>
  </si>
  <si>
    <t>Fri Dec 19 19:55:40 2025</t>
  </si>
  <si>
    <t>BQMall.Q22.ecm.lp</t>
  </si>
  <si>
    <t>Fri Dec 19 23:39:52 2025</t>
  </si>
  <si>
    <t>BQMall.Q27.ecm.lp</t>
  </si>
  <si>
    <t>Fri Dec 19 21:48:34 2025</t>
  </si>
  <si>
    <t>BQMall.Q32.ecm.lp</t>
  </si>
  <si>
    <t>Fri Dec 19 20:48:03 2025</t>
  </si>
  <si>
    <t>BQMall.Q37.ecm.lp</t>
  </si>
  <si>
    <t>Fri Dec 19 20:08:41 2025</t>
  </si>
  <si>
    <t>PartyScene.Q22.ecm.lp</t>
  </si>
  <si>
    <t>Sat Dec 20 00:46:25 2025</t>
  </si>
  <si>
    <t>PartyScene.Q27.ecm.lp</t>
  </si>
  <si>
    <t>Fri Dec 19 22:39:11 2025</t>
  </si>
  <si>
    <t>PartyScene.Q32.ecm.lp</t>
  </si>
  <si>
    <t>Fri Dec 19 21:32:27 2025</t>
  </si>
  <si>
    <t>PartyScene.Q37.ecm.lp</t>
  </si>
  <si>
    <t>Fri Dec 19 20:38:09 2025</t>
  </si>
  <si>
    <t>RaceHorsesC.Q22.ecm.lp</t>
  </si>
  <si>
    <t>Fri Dec 19 23:17:40 2025</t>
  </si>
  <si>
    <t>RaceHorsesC.Q27.ecm.lp</t>
  </si>
  <si>
    <t>Fri Dec 19 21:26:38 2025</t>
  </si>
  <si>
    <t>RaceHorsesC.Q32.ecm.lp</t>
  </si>
  <si>
    <t>Fri Dec 19 20:28:55 2025</t>
  </si>
  <si>
    <t>RaceHorsesC.Q37.ecm.lp</t>
  </si>
  <si>
    <t>Fri Dec 19 19:45:07 2025</t>
  </si>
  <si>
    <t>BasketballPass.Q22.ecm.lp</t>
  </si>
  <si>
    <t>Fri Dec 19 18:59:58 2025</t>
  </si>
  <si>
    <t>BasketballPass.Q27.ecm.lp</t>
  </si>
  <si>
    <t>Fri Dec 19 18:47:29 2025</t>
  </si>
  <si>
    <t>BasketballPass.Q32.ecm.lp</t>
  </si>
  <si>
    <t>Fri Dec 19 18:35:39 2025</t>
  </si>
  <si>
    <t>BasketballPass.Q37.ecm.lp</t>
  </si>
  <si>
    <t>Fri Dec 19 18:25:07 2025</t>
  </si>
  <si>
    <t>BQSquare.Q22.ecm.lp</t>
  </si>
  <si>
    <t>Fri Dec 19 19:16:32 2025</t>
  </si>
  <si>
    <t>BQSquare.Q27.ecm.lp</t>
  </si>
  <si>
    <t>Fri Dec 19 18:47:26 2025</t>
  </si>
  <si>
    <t>BQSquare.Q32.ecm.lp</t>
  </si>
  <si>
    <t>Fri Dec 19 18:30:19 2025</t>
  </si>
  <si>
    <t>BQSquare.Q37.ecm.lp</t>
  </si>
  <si>
    <t>Fri Dec 19 18:19:23 2025</t>
  </si>
  <si>
    <t>BlowingBubbles.Q22.ecm.lp</t>
  </si>
  <si>
    <t>Fri Dec 19 19:20:12 2025</t>
  </si>
  <si>
    <t>BlowingBubbles.Q27.ecm.lp</t>
  </si>
  <si>
    <t>Fri Dec 19 18:51:42 2025</t>
  </si>
  <si>
    <t>BlowingBubbles.Q32.ecm.lp</t>
  </si>
  <si>
    <t>Fri Dec 19 18:34:07 2025</t>
  </si>
  <si>
    <t>BlowingBubbles.Q37.ecm.lp</t>
  </si>
  <si>
    <t>Fri Dec 19 18:23:35 2025</t>
  </si>
  <si>
    <t>RaceHorses.Q22.ecm.lp</t>
  </si>
  <si>
    <t>Fri Dec 19 18:56:00 2025</t>
  </si>
  <si>
    <t>RaceHorses.Q27.ecm.lp</t>
  </si>
  <si>
    <t>Fri Dec 19 18:40:08 2025</t>
  </si>
  <si>
    <t>RaceHorses.Q32.ecm.lp</t>
  </si>
  <si>
    <t>Fri Dec 19 18:26:47 2025</t>
  </si>
  <si>
    <t>RaceHorses.Q37.ecm.lp</t>
  </si>
  <si>
    <t>Fri Dec 19 18:15:37 2025</t>
  </si>
  <si>
    <t>FourPeople.Q22.ecm.lp</t>
  </si>
  <si>
    <t>Sat Dec 20 00:07:15 2025</t>
  </si>
  <si>
    <t>FourPeople.Q27.ecm.lp</t>
  </si>
  <si>
    <t>Fri Dec 19 22:05:26 2025</t>
  </si>
  <si>
    <t>FourPeople.Q32.ecm.lp</t>
  </si>
  <si>
    <t>Fri Dec 19 21:06:11 2025</t>
  </si>
  <si>
    <t>FourPeople.Q37.ecm.lp</t>
  </si>
  <si>
    <t>Fri Dec 19 20:35:53 2025</t>
  </si>
  <si>
    <t>Johnny.Q22.ecm.lp</t>
  </si>
  <si>
    <t>Fri Dec 19 23:52:55 2025</t>
  </si>
  <si>
    <t>Johnny.Q27.ecm.lp</t>
  </si>
  <si>
    <t>Fri Dec 19 21:28:13 2025</t>
  </si>
  <si>
    <t>Johnny.Q32.ecm.lp</t>
  </si>
  <si>
    <t>Fri Dec 19 20:36:17 2025</t>
  </si>
  <si>
    <t>Johnny.Q37.ecm.lp</t>
  </si>
  <si>
    <t>Fri Dec 19 20:08:02 2025</t>
  </si>
  <si>
    <t>KristenAndSara.Q22.ecm.lp</t>
  </si>
  <si>
    <t>Sat Dec 20 00:30:11 2025</t>
  </si>
  <si>
    <t>KristenAndSara.Q27.ecm.lp</t>
  </si>
  <si>
    <t>Fri Dec 19 22:02:13 2025</t>
  </si>
  <si>
    <t>KristenAndSara.Q32.ecm.lp</t>
  </si>
  <si>
    <t>Fri Dec 19 20:59:12 2025</t>
  </si>
  <si>
    <t>KristenAndSara.Q37.ecm.lp</t>
  </si>
  <si>
    <t>Fri Dec 19 20:21:46 2025</t>
  </si>
  <si>
    <t>BasketballDrillText.Q22.ecm.lp</t>
  </si>
  <si>
    <t>Sat Dec 20 00:30:59 2025</t>
  </si>
  <si>
    <t>BasketballDrillText.Q27.ecm.lp</t>
  </si>
  <si>
    <t>Fri Dec 19 22:27:35 2025</t>
  </si>
  <si>
    <t>BasketballDrillText.Q32.ecm.lp</t>
  </si>
  <si>
    <t>Fri Dec 19 21:07:45 2025</t>
  </si>
  <si>
    <t>BasketballDrillText.Q37.ecm.lp</t>
  </si>
  <si>
    <t>Fri Dec 19 20:13:31 2025</t>
  </si>
  <si>
    <t>ArenaOfValor.Q22.ecm.lp</t>
  </si>
  <si>
    <t>Sun Dec 21 03:42:12 2025</t>
  </si>
  <si>
    <t>ArenaOfValor.Q27.ecm.lp</t>
  </si>
  <si>
    <t>Sat Dec 20 15:26:30 2025</t>
  </si>
  <si>
    <t>ArenaOfValor.Q32.ecm.lp</t>
  </si>
  <si>
    <t>Sat Dec 20 08:44:17 2025</t>
  </si>
  <si>
    <t>ArenaOfValor.Q37.ecm.lp</t>
  </si>
  <si>
    <t>Sat Dec 20 04:17:45 2025</t>
  </si>
  <si>
    <t>SlideEditing.Q22.ecm.lp</t>
  </si>
  <si>
    <t>Fri Dec 19 19:16:39 2025</t>
  </si>
  <si>
    <t>SlideEditing.Q27.ecm.lp</t>
  </si>
  <si>
    <t>Fri Dec 19 19:11:26 2025</t>
  </si>
  <si>
    <t>SlideEditing.Q32.ecm.lp</t>
  </si>
  <si>
    <t>Fri Dec 19 19:08:58 2025</t>
  </si>
  <si>
    <t>SlideEditing.Q37.ecm.lp</t>
  </si>
  <si>
    <t>Fri Dec 19 19:05:53 2025</t>
  </si>
  <si>
    <t>SlideShow.Q22.ecm.lp</t>
  </si>
  <si>
    <t>Fri Dec 19 19:33:11 2025</t>
  </si>
  <si>
    <t>SlideShow.Q27.ecm.lp</t>
  </si>
  <si>
    <t>Fri Dec 19 19:15:04 2025</t>
  </si>
  <si>
    <t>SlideShow.Q32.ecm.lp</t>
  </si>
  <si>
    <t>Fri Dec 19 18:58:51 2025</t>
  </si>
  <si>
    <t>SlideShow.Q37.ecm.lp</t>
  </si>
  <si>
    <t>Fri Dec 19 18:47:49 2025</t>
  </si>
  <si>
    <t>FlyingGraphics_420.Q22.ecm.lp</t>
  </si>
  <si>
    <t>Sun Dec 21 10:18:06 2025</t>
  </si>
  <si>
    <t>FlyingGraphics_420.Q27.ecm.lp</t>
  </si>
  <si>
    <t>Sun Dec 21 04:15:52 2025</t>
  </si>
  <si>
    <t>FlyingGraphics_420.Q32.ecm.lp</t>
  </si>
  <si>
    <t>Sat Dec 20 22:04:59 2025</t>
  </si>
  <si>
    <t>FlyingGraphics_420.Q37.ecm.lp</t>
  </si>
  <si>
    <t>Sat Dec 20 15:08:34 2025</t>
  </si>
  <si>
    <t>Desktop_420.Q22.ecm.lp</t>
  </si>
  <si>
    <t>Sat Dec 20 00:37:00 2025</t>
  </si>
  <si>
    <t>Desktop_420.Q27.ecm.lp</t>
  </si>
  <si>
    <t>Sat Dec 20 00:04:35 2025</t>
  </si>
  <si>
    <t>Desktop_420.Q32.ecm.lp</t>
  </si>
  <si>
    <t>Fri Dec 19 23:44:16 2025</t>
  </si>
  <si>
    <t>Desktop_420.Q37.ecm.lp</t>
  </si>
  <si>
    <t>Fri Dec 19 23:35:03 2025</t>
  </si>
  <si>
    <t>Console_420.Q22.ecm.lp</t>
  </si>
  <si>
    <t>Sat Dec 20 06:07:47 2025</t>
  </si>
  <si>
    <t>Console_420.Q27.ecm.lp</t>
  </si>
  <si>
    <t>Sat Dec 20 05:09:05 2025</t>
  </si>
  <si>
    <t>Console_420.Q32.ecm.lp</t>
  </si>
  <si>
    <t>Sat Dec 20 04:18:14 2025</t>
  </si>
  <si>
    <t>Console_420.Q37.ecm.lp</t>
  </si>
  <si>
    <t>Sat Dec 20 03:23:44 2025</t>
  </si>
  <si>
    <t>ChineseEditing_420.Q22.ecm.lp</t>
  </si>
  <si>
    <t>Sat Dec 20 03:03:38 2025</t>
  </si>
  <si>
    <t>ChineseEditing_420.Q27.ecm.lp</t>
  </si>
  <si>
    <t>Sat Dec 20 02:24:39 2025</t>
  </si>
  <si>
    <t>ChineseEditing_420.Q32.ecm.lp</t>
  </si>
  <si>
    <t>Sat Dec 20 01:44:20 2025</t>
  </si>
  <si>
    <t>ChineseEditing_420.Q37.ecm.lp</t>
  </si>
  <si>
    <t>Sat Dec 20 01:19:57 2025</t>
  </si>
  <si>
    <t>Sequence</t>
  </si>
  <si>
    <t>Ypsnr</t>
  </si>
  <si>
    <t>Upsnr</t>
  </si>
  <si>
    <t>Vpsnr</t>
  </si>
  <si>
    <t>EncT[s]</t>
  </si>
  <si>
    <t>DecT[s]</t>
  </si>
  <si>
    <t>EncVmPeak[KB]</t>
  </si>
  <si>
    <t>DecVmPeak[KB]</t>
  </si>
  <si>
    <t>ErrorInfo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</si>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</sst>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.00_ "/>
    <numFmt numFmtId="178" formatCode="0_ "/>
    <numFmt numFmtId="179" formatCode="0.00000%"/>
    <numFmt numFmtId="180" formatCode="0.0%"/>
    <numFmt numFmtId="181" formatCode="0.000_ "/>
  </numFmts>
  <fonts count="9" x14ac:knownFonts="1">
    <font>
      <sz val="12"/>
      <color theme="1"/>
      <name val="宋体"/>
      <charset val="129"/>
      <scheme val="minor"/>
    </font>
    <font>
      <sz val="11"/>
      <color theme="1"/>
      <name val="宋体"/>
      <family val="3"/>
      <charset val="134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b/>
      <u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6" fillId="0" borderId="0"/>
  </cellStyleXfs>
  <cellXfs count="159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/>
    <xf numFmtId="0" fontId="2" fillId="0" borderId="1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/>
    <xf numFmtId="177" fontId="2" fillId="2" borderId="4" xfId="0" applyNumberFormat="1" applyFont="1" applyFill="1" applyBorder="1"/>
    <xf numFmtId="177" fontId="2" fillId="2" borderId="5" xfId="0" applyNumberFormat="1" applyFont="1" applyFill="1" applyBorder="1"/>
    <xf numFmtId="0" fontId="2" fillId="0" borderId="8" xfId="0" applyFont="1" applyBorder="1"/>
    <xf numFmtId="177" fontId="2" fillId="2" borderId="9" xfId="0" applyNumberFormat="1" applyFont="1" applyFill="1" applyBorder="1"/>
    <xf numFmtId="177" fontId="2" fillId="2" borderId="0" xfId="0" applyNumberFormat="1" applyFont="1" applyFill="1"/>
    <xf numFmtId="0" fontId="2" fillId="0" borderId="10" xfId="0" applyFont="1" applyBorder="1"/>
    <xf numFmtId="177" fontId="2" fillId="2" borderId="11" xfId="0" applyNumberFormat="1" applyFont="1" applyFill="1" applyBorder="1"/>
    <xf numFmtId="177" fontId="2" fillId="2" borderId="12" xfId="0" applyNumberFormat="1" applyFont="1" applyFill="1" applyBorder="1"/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77" fontId="2" fillId="2" borderId="6" xfId="0" applyNumberFormat="1" applyFont="1" applyFill="1" applyBorder="1"/>
    <xf numFmtId="177" fontId="2" fillId="2" borderId="1" xfId="0" applyNumberFormat="1" applyFont="1" applyFill="1" applyBorder="1"/>
    <xf numFmtId="177" fontId="2" fillId="2" borderId="15" xfId="0" applyNumberFormat="1" applyFont="1" applyFill="1" applyBorder="1"/>
    <xf numFmtId="178" fontId="2" fillId="2" borderId="5" xfId="0" applyNumberFormat="1" applyFont="1" applyFill="1" applyBorder="1"/>
    <xf numFmtId="178" fontId="2" fillId="2" borderId="6" xfId="0" applyNumberFormat="1" applyFont="1" applyFill="1" applyBorder="1"/>
    <xf numFmtId="178" fontId="2" fillId="2" borderId="0" xfId="0" applyNumberFormat="1" applyFont="1" applyFill="1"/>
    <xf numFmtId="178" fontId="2" fillId="2" borderId="1" xfId="0" applyNumberFormat="1" applyFont="1" applyFill="1" applyBorder="1"/>
    <xf numFmtId="178" fontId="2" fillId="2" borderId="12" xfId="0" applyNumberFormat="1" applyFont="1" applyFill="1" applyBorder="1"/>
    <xf numFmtId="178" fontId="2" fillId="2" borderId="15" xfId="0" applyNumberFormat="1" applyFont="1" applyFill="1" applyBorder="1"/>
    <xf numFmtId="0" fontId="3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2" fontId="2" fillId="0" borderId="5" xfId="0" applyNumberFormat="1" applyFont="1" applyBorder="1"/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6" xfId="0" applyNumberFormat="1" applyFont="1" applyBorder="1" applyAlignment="1">
      <alignment horizontal="center"/>
    </xf>
    <xf numFmtId="2" fontId="2" fillId="0" borderId="0" xfId="0" applyNumberFormat="1" applyFont="1"/>
    <xf numFmtId="10" fontId="2" fillId="0" borderId="9" xfId="0" applyNumberFormat="1" applyFont="1" applyBorder="1"/>
    <xf numFmtId="10" fontId="2" fillId="0" borderId="0" xfId="0" applyNumberFormat="1" applyFont="1"/>
    <xf numFmtId="10" fontId="2" fillId="0" borderId="1" xfId="0" applyNumberFormat="1" applyFont="1" applyBorder="1"/>
    <xf numFmtId="10" fontId="2" fillId="0" borderId="11" xfId="0" applyNumberFormat="1" applyFont="1" applyBorder="1"/>
    <xf numFmtId="10" fontId="2" fillId="0" borderId="12" xfId="0" applyNumberFormat="1" applyFont="1" applyBorder="1"/>
    <xf numFmtId="10" fontId="2" fillId="0" borderId="15" xfId="0" applyNumberFormat="1" applyFont="1" applyBorder="1"/>
    <xf numFmtId="10" fontId="2" fillId="0" borderId="9" xfId="0" applyNumberFormat="1" applyFont="1" applyBorder="1" applyAlignment="1">
      <alignment horizontal="center"/>
    </xf>
    <xf numFmtId="10" fontId="2" fillId="0" borderId="0" xfId="0" applyNumberFormat="1" applyFont="1" applyAlignment="1">
      <alignment horizontal="center"/>
    </xf>
    <xf numFmtId="2" fontId="2" fillId="0" borderId="12" xfId="0" applyNumberFormat="1" applyFont="1" applyBorder="1"/>
    <xf numFmtId="1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0" fontId="2" fillId="0" borderId="2" xfId="0" applyFont="1" applyBorder="1"/>
    <xf numFmtId="0" fontId="2" fillId="0" borderId="3" xfId="0" applyFont="1" applyBorder="1"/>
    <xf numFmtId="2" fontId="2" fillId="0" borderId="3" xfId="0" applyNumberFormat="1" applyFont="1" applyBorder="1"/>
    <xf numFmtId="2" fontId="2" fillId="0" borderId="13" xfId="0" applyNumberFormat="1" applyFont="1" applyBorder="1"/>
    <xf numFmtId="177" fontId="2" fillId="0" borderId="0" xfId="0" applyNumberFormat="1" applyFont="1"/>
    <xf numFmtId="177" fontId="2" fillId="0" borderId="1" xfId="0" applyNumberFormat="1" applyFont="1" applyBorder="1"/>
    <xf numFmtId="9" fontId="2" fillId="0" borderId="0" xfId="0" applyNumberFormat="1" applyFont="1"/>
    <xf numFmtId="9" fontId="2" fillId="0" borderId="1" xfId="0" applyNumberFormat="1" applyFont="1" applyBorder="1"/>
    <xf numFmtId="10" fontId="2" fillId="0" borderId="2" xfId="0" applyNumberFormat="1" applyFont="1" applyBorder="1" applyAlignment="1">
      <alignment horizontal="center"/>
    </xf>
    <xf numFmtId="10" fontId="2" fillId="0" borderId="3" xfId="0" applyNumberFormat="1" applyFont="1" applyBorder="1" applyAlignment="1">
      <alignment horizontal="center"/>
    </xf>
    <xf numFmtId="10" fontId="2" fillId="0" borderId="13" xfId="0" applyNumberFormat="1" applyFont="1" applyBorder="1" applyAlignment="1">
      <alignment horizontal="center"/>
    </xf>
    <xf numFmtId="0" fontId="2" fillId="0" borderId="9" xfId="0" applyFont="1" applyBorder="1"/>
    <xf numFmtId="177" fontId="2" fillId="0" borderId="5" xfId="0" applyNumberFormat="1" applyFont="1" applyBorder="1"/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6" xfId="1" applyNumberFormat="1" applyFont="1" applyBorder="1" applyAlignment="1">
      <alignment horizontal="center"/>
    </xf>
    <xf numFmtId="10" fontId="2" fillId="0" borderId="9" xfId="1" applyNumberFormat="1" applyFont="1" applyBorder="1"/>
    <xf numFmtId="10" fontId="2" fillId="0" borderId="0" xfId="1" applyNumberFormat="1" applyFont="1"/>
    <xf numFmtId="10" fontId="2" fillId="0" borderId="1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5" xfId="1" applyNumberFormat="1" applyFont="1" applyBorder="1"/>
    <xf numFmtId="177" fontId="2" fillId="0" borderId="12" xfId="0" applyNumberFormat="1" applyFont="1" applyBorder="1"/>
    <xf numFmtId="0" fontId="2" fillId="0" borderId="11" xfId="0" applyFont="1" applyBorder="1"/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6" xfId="0" applyNumberFormat="1" applyFont="1" applyBorder="1" applyAlignment="1">
      <alignment horizontal="center"/>
    </xf>
    <xf numFmtId="179" fontId="2" fillId="0" borderId="9" xfId="0" applyNumberFormat="1" applyFont="1" applyBorder="1"/>
    <xf numFmtId="179" fontId="2" fillId="0" borderId="0" xfId="0" applyNumberFormat="1" applyFont="1"/>
    <xf numFmtId="179" fontId="2" fillId="0" borderId="1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5" xfId="0" applyNumberFormat="1" applyFont="1" applyBorder="1"/>
    <xf numFmtId="0" fontId="3" fillId="0" borderId="15" xfId="0" applyFont="1" applyBorder="1" applyAlignment="1">
      <alignment horizontal="center"/>
    </xf>
    <xf numFmtId="0" fontId="0" fillId="3" borderId="0" xfId="0" applyFill="1"/>
    <xf numFmtId="2" fontId="4" fillId="0" borderId="0" xfId="0" applyNumberFormat="1" applyFont="1"/>
    <xf numFmtId="0" fontId="4" fillId="0" borderId="0" xfId="0" applyFont="1"/>
    <xf numFmtId="176" fontId="4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5" xfId="0" applyNumberFormat="1" applyFont="1" applyBorder="1" applyAlignment="1">
      <alignment horizontal="center" vertical="center"/>
    </xf>
    <xf numFmtId="10" fontId="2" fillId="0" borderId="18" xfId="0" applyNumberFormat="1" applyFont="1" applyBorder="1" applyAlignment="1">
      <alignment horizontal="center" vertical="center"/>
    </xf>
    <xf numFmtId="180" fontId="2" fillId="0" borderId="19" xfId="0" applyNumberFormat="1" applyFont="1" applyBorder="1" applyAlignment="1">
      <alignment horizontal="center" vertical="center"/>
    </xf>
    <xf numFmtId="180" fontId="2" fillId="0" borderId="5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0" fontId="2" fillId="0" borderId="9" xfId="0" applyNumberFormat="1" applyFont="1" applyBorder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0" fontId="2" fillId="0" borderId="20" xfId="0" applyNumberFormat="1" applyFont="1" applyBorder="1" applyAlignment="1">
      <alignment horizontal="center" vertical="center"/>
    </xf>
    <xf numFmtId="180" fontId="2" fillId="0" borderId="21" xfId="0" applyNumberFormat="1" applyFont="1" applyBorder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80" fontId="2" fillId="0" borderId="22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10" fontId="2" fillId="0" borderId="16" xfId="0" applyNumberFormat="1" applyFont="1" applyBorder="1" applyAlignment="1">
      <alignment horizontal="center" vertical="center"/>
    </xf>
    <xf numFmtId="180" fontId="2" fillId="0" borderId="12" xfId="0" applyNumberFormat="1" applyFont="1" applyBorder="1" applyAlignment="1">
      <alignment horizontal="center" vertical="center"/>
    </xf>
    <xf numFmtId="180" fontId="2" fillId="0" borderId="17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3" fillId="0" borderId="0" xfId="0" applyFont="1"/>
    <xf numFmtId="0" fontId="2" fillId="0" borderId="23" xfId="0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/>
    </xf>
    <xf numFmtId="180" fontId="2" fillId="0" borderId="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80" fontId="2" fillId="0" borderId="13" xfId="0" applyNumberFormat="1" applyFont="1" applyBorder="1" applyAlignment="1">
      <alignment horizontal="center" vertical="center"/>
    </xf>
    <xf numFmtId="180" fontId="2" fillId="0" borderId="15" xfId="0" applyNumberFormat="1" applyFont="1" applyBorder="1" applyAlignment="1">
      <alignment horizontal="center" vertical="center"/>
    </xf>
    <xf numFmtId="0" fontId="5" fillId="0" borderId="0" xfId="0" applyFont="1"/>
    <xf numFmtId="9" fontId="2" fillId="0" borderId="9" xfId="0" applyNumberFormat="1" applyFont="1" applyBorder="1" applyAlignment="1">
      <alignment horizontal="center"/>
    </xf>
    <xf numFmtId="9" fontId="2" fillId="0" borderId="11" xfId="0" applyNumberFormat="1" applyFont="1" applyBorder="1" applyAlignment="1">
      <alignment horizontal="center"/>
    </xf>
    <xf numFmtId="180" fontId="2" fillId="0" borderId="0" xfId="0" applyNumberFormat="1" applyFont="1"/>
    <xf numFmtId="180" fontId="3" fillId="0" borderId="0" xfId="0" applyNumberFormat="1" applyFont="1"/>
    <xf numFmtId="9" fontId="3" fillId="0" borderId="0" xfId="0" applyNumberFormat="1" applyFont="1"/>
    <xf numFmtId="1" fontId="2" fillId="0" borderId="5" xfId="0" applyNumberFormat="1" applyFont="1" applyBorder="1" applyAlignment="1">
      <alignment horizontal="center"/>
    </xf>
    <xf numFmtId="176" fontId="2" fillId="0" borderId="6" xfId="0" applyNumberFormat="1" applyFon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176" fontId="2" fillId="0" borderId="15" xfId="0" applyNumberFormat="1" applyFont="1" applyBorder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9" fontId="2" fillId="0" borderId="15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0" fontId="2" fillId="0" borderId="6" xfId="0" applyNumberFormat="1" applyFont="1" applyBorder="1"/>
    <xf numFmtId="10" fontId="2" fillId="0" borderId="7" xfId="0" applyNumberFormat="1" applyFont="1" applyBorder="1"/>
    <xf numFmtId="181" fontId="8" fillId="0" borderId="4" xfId="0" applyNumberFormat="1" applyFont="1" applyBorder="1" applyAlignment="1">
      <alignment horizontal="right"/>
    </xf>
    <xf numFmtId="181" fontId="8" fillId="0" borderId="5" xfId="0" applyNumberFormat="1" applyFont="1" applyBorder="1" applyAlignment="1">
      <alignment horizontal="right"/>
    </xf>
    <xf numFmtId="181" fontId="8" fillId="0" borderId="6" xfId="0" applyNumberFormat="1" applyFont="1" applyBorder="1" applyAlignment="1">
      <alignment horizontal="right"/>
    </xf>
    <xf numFmtId="10" fontId="2" fillId="0" borderId="8" xfId="0" applyNumberFormat="1" applyFont="1" applyBorder="1"/>
    <xf numFmtId="181" fontId="8" fillId="0" borderId="9" xfId="0" applyNumberFormat="1" applyFont="1" applyBorder="1" applyAlignment="1">
      <alignment horizontal="right"/>
    </xf>
    <xf numFmtId="181" fontId="8" fillId="0" borderId="0" xfId="0" applyNumberFormat="1" applyFont="1" applyAlignment="1">
      <alignment horizontal="right"/>
    </xf>
    <xf numFmtId="181" fontId="8" fillId="0" borderId="1" xfId="0" applyNumberFormat="1" applyFont="1" applyBorder="1" applyAlignment="1">
      <alignment horizontal="right"/>
    </xf>
    <xf numFmtId="10" fontId="2" fillId="0" borderId="10" xfId="0" applyNumberFormat="1" applyFont="1" applyBorder="1"/>
    <xf numFmtId="181" fontId="8" fillId="0" borderId="11" xfId="0" applyNumberFormat="1" applyFont="1" applyBorder="1" applyAlignment="1">
      <alignment horizontal="right"/>
    </xf>
    <xf numFmtId="181" fontId="8" fillId="0" borderId="12" xfId="0" applyNumberFormat="1" applyFont="1" applyBorder="1" applyAlignment="1">
      <alignment horizontal="right"/>
    </xf>
    <xf numFmtId="181" fontId="8" fillId="0" borderId="15" xfId="0" applyNumberFormat="1" applyFont="1" applyBorder="1" applyAlignment="1">
      <alignment horizontal="right"/>
    </xf>
    <xf numFmtId="0" fontId="2" fillId="0" borderId="15" xfId="0" applyFont="1" applyBorder="1"/>
  </cellXfs>
  <cellStyles count="2">
    <cellStyle name="百分比" xfId="1" builtinId="5"/>
    <cellStyle name="常规" xfId="0" builtinId="0"/>
  </cellStyles>
  <dxfs count="12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Summary!$L$3</c:f>
              <c:strCache>
                <c:ptCount val="1"/>
                <c:pt idx="0">
                  <c:v>ECM-17,0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1265.1568</c:v>
                </c:pt>
                <c:pt idx="1">
                  <c:v>499.8032</c:v>
                </c:pt>
                <c:pt idx="2">
                  <c:v>227.58240000000001</c:v>
                </c:pt>
                <c:pt idx="3">
                  <c:v>105.46720000000001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38.413699999999999</c:v>
                </c:pt>
                <c:pt idx="1">
                  <c:v>34.720500000000001</c:v>
                </c:pt>
                <c:pt idx="2">
                  <c:v>31.5746</c:v>
                </c:pt>
                <c:pt idx="3">
                  <c:v>28.816299999999998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6D-4DF5-BE93-3E9C44747D9B}"/>
            </c:ext>
          </c:extLst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Test EE2-1,6A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6D-4DF5-BE93-3E9C44747D9B}"/>
            </c:ext>
          </c:extLst>
        </c:ser>
        <c:ser>
          <c:idx val="2"/>
          <c:order val="2"/>
          <c:tx>
            <c:strRef>
              <c:f>Summary!$L$5</c:f>
              <c:strCache>
                <c:ptCount val="1"/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6D-4DF5-BE93-3E9C44747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41312"/>
        <c:axId val="121742848"/>
      </c:scatterChart>
      <c:valAx>
        <c:axId val="12174131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21742848"/>
        <c:crosses val="autoZero"/>
        <c:crossBetween val="midCat"/>
      </c:valAx>
      <c:valAx>
        <c:axId val="121742848"/>
        <c:scaling>
          <c:orientation val="minMax"/>
          <c:max val="41"/>
          <c:min val="37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2174131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Summary!$L$3</c:f>
              <c:strCache>
                <c:ptCount val="1"/>
                <c:pt idx="0">
                  <c:v>ECM-17,0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1265.1568</c:v>
                </c:pt>
                <c:pt idx="1">
                  <c:v>499.8032</c:v>
                </c:pt>
                <c:pt idx="2">
                  <c:v>227.58240000000001</c:v>
                </c:pt>
                <c:pt idx="3">
                  <c:v>105.46720000000001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40.975900000000003</c:v>
                </c:pt>
                <c:pt idx="1">
                  <c:v>38.085999999999999</c:v>
                </c:pt>
                <c:pt idx="2">
                  <c:v>35.999499999999998</c:v>
                </c:pt>
                <c:pt idx="3">
                  <c:v>34.699399999999997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CB-4ACD-9AF7-6BBE95492731}"/>
            </c:ext>
          </c:extLst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Test EE2-1,6A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CB-4ACD-9AF7-6BBE95492731}"/>
            </c:ext>
          </c:extLst>
        </c:ser>
        <c:ser>
          <c:idx val="2"/>
          <c:order val="2"/>
          <c:tx>
            <c:strRef>
              <c:f>Summary!$L$5</c:f>
              <c:strCache>
                <c:ptCount val="1"/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CB-4ACD-9AF7-6BBE95492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07616"/>
        <c:axId val="121809536"/>
      </c:scatterChart>
      <c:valAx>
        <c:axId val="12180761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21809536"/>
        <c:crosses val="autoZero"/>
        <c:crossBetween val="midCat"/>
      </c:valAx>
      <c:valAx>
        <c:axId val="121809536"/>
        <c:scaling>
          <c:orientation val="minMax"/>
          <c:max val="1177"/>
          <c:min val="-0.5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2180761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60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Summary!$L$3</c:f>
              <c:strCache>
                <c:ptCount val="1"/>
                <c:pt idx="0">
                  <c:v>ECM-17,0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1265.1568</c:v>
                </c:pt>
                <c:pt idx="1">
                  <c:v>499.8032</c:v>
                </c:pt>
                <c:pt idx="2">
                  <c:v>227.58240000000001</c:v>
                </c:pt>
                <c:pt idx="3">
                  <c:v>105.46720000000001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41.943800000000003</c:v>
                </c:pt>
                <c:pt idx="1">
                  <c:v>38.8611</c:v>
                </c:pt>
                <c:pt idx="2">
                  <c:v>36.665399999999998</c:v>
                </c:pt>
                <c:pt idx="3">
                  <c:v>35.283799999999999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A-419F-A72F-76EF97F82C28}"/>
            </c:ext>
          </c:extLst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Test EE2-1,6A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2A-419F-A72F-76EF97F82C28}"/>
            </c:ext>
          </c:extLst>
        </c:ser>
        <c:ser>
          <c:idx val="2"/>
          <c:order val="2"/>
          <c:tx>
            <c:strRef>
              <c:f>Summary!$L$5</c:f>
              <c:strCache>
                <c:ptCount val="1"/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2A-419F-A72F-76EF97F82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61632"/>
        <c:axId val="121863552"/>
      </c:scatterChart>
      <c:valAx>
        <c:axId val="12186163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21863552"/>
        <c:crosses val="autoZero"/>
        <c:crossBetween val="midCat"/>
      </c:valAx>
      <c:valAx>
        <c:axId val="121863552"/>
        <c:scaling>
          <c:orientation val="minMax"/>
          <c:max val="47.5"/>
          <c:min val="43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2186163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99E-2"/>
          <c:y val="0.114882616374075"/>
          <c:w val="0.854785306363186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Summary!$L$3</c:f>
              <c:strCache>
                <c:ptCount val="1"/>
                <c:pt idx="0">
                  <c:v>ECM-17,0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1265.1568</c:v>
                </c:pt>
                <c:pt idx="1">
                  <c:v>499.8032</c:v>
                </c:pt>
                <c:pt idx="2">
                  <c:v>227.58240000000001</c:v>
                </c:pt>
                <c:pt idx="3">
                  <c:v>105.46720000000001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38.413699999999999</c:v>
                </c:pt>
                <c:pt idx="1">
                  <c:v>34.720500000000001</c:v>
                </c:pt>
                <c:pt idx="2">
                  <c:v>31.5746</c:v>
                </c:pt>
                <c:pt idx="3">
                  <c:v>28.816299999999998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72-40D9-993D-47540D5C968F}"/>
            </c:ext>
          </c:extLst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Test EE2-1,6A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72-40D9-993D-47540D5C968F}"/>
            </c:ext>
          </c:extLst>
        </c:ser>
        <c:ser>
          <c:idx val="2"/>
          <c:order val="2"/>
          <c:tx>
            <c:strRef>
              <c:f>Summary!$L$5</c:f>
              <c:strCache>
                <c:ptCount val="1"/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72-40D9-993D-47540D5C9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4912"/>
        <c:axId val="122077568"/>
      </c:scatterChart>
      <c:valAx>
        <c:axId val="122054912"/>
        <c:scaling>
          <c:logBase val="10"/>
          <c:orientation val="minMax"/>
          <c:max val="100000"/>
          <c:min val="1000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22077568"/>
        <c:crosses val="autoZero"/>
        <c:crossBetween val="midCat"/>
      </c:valAx>
      <c:valAx>
        <c:axId val="122077568"/>
        <c:scaling>
          <c:orientation val="minMax"/>
          <c:max val="41"/>
          <c:min val="37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2205491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</xdr:colOff>
      <xdr:row>110</xdr:row>
      <xdr:rowOff>165100</xdr:rowOff>
    </xdr:from>
    <xdr:to>
      <xdr:col>9</xdr:col>
      <xdr:colOff>3175</xdr:colOff>
      <xdr:row>110</xdr:row>
      <xdr:rowOff>165100</xdr:rowOff>
    </xdr:to>
    <xdr:sp macro="" textlink="">
      <xdr:nvSpPr>
        <xdr:cNvPr id="2" name="Objec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6175375" y="190246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  <xdr:twoCellAnchor>
    <xdr:from>
      <xdr:col>14</xdr:col>
      <xdr:colOff>0</xdr:colOff>
      <xdr:row>18</xdr:row>
      <xdr:rowOff>165100</xdr:rowOff>
    </xdr:from>
    <xdr:to>
      <xdr:col>14</xdr:col>
      <xdr:colOff>0</xdr:colOff>
      <xdr:row>18</xdr:row>
      <xdr:rowOff>165100</xdr:rowOff>
    </xdr:to>
    <xdr:sp macro="" textlink="">
      <xdr:nvSpPr>
        <xdr:cNvPr id="3" name="Objec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9601200" y="32512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  <xdr:twoCellAnchor>
    <xdr:from>
      <xdr:col>9</xdr:col>
      <xdr:colOff>3175</xdr:colOff>
      <xdr:row>110</xdr:row>
      <xdr:rowOff>165100</xdr:rowOff>
    </xdr:from>
    <xdr:to>
      <xdr:col>9</xdr:col>
      <xdr:colOff>3175</xdr:colOff>
      <xdr:row>110</xdr:row>
      <xdr:rowOff>165100</xdr:rowOff>
    </xdr:to>
    <xdr:sp macro="" textlink="">
      <xdr:nvSpPr>
        <xdr:cNvPr id="4" name="Object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6175375" y="190246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  <xdr:twoCellAnchor>
    <xdr:from>
      <xdr:col>14</xdr:col>
      <xdr:colOff>0</xdr:colOff>
      <xdr:row>18</xdr:row>
      <xdr:rowOff>165100</xdr:rowOff>
    </xdr:from>
    <xdr:to>
      <xdr:col>14</xdr:col>
      <xdr:colOff>0</xdr:colOff>
      <xdr:row>18</xdr:row>
      <xdr:rowOff>165100</xdr:rowOff>
    </xdr:to>
    <xdr:sp macro="" textlink="">
      <xdr:nvSpPr>
        <xdr:cNvPr id="5" name="Object 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9601200" y="32512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  <xdr:twoCellAnchor>
    <xdr:from>
      <xdr:col>9</xdr:col>
      <xdr:colOff>3175</xdr:colOff>
      <xdr:row>110</xdr:row>
      <xdr:rowOff>165100</xdr:rowOff>
    </xdr:from>
    <xdr:to>
      <xdr:col>9</xdr:col>
      <xdr:colOff>3175</xdr:colOff>
      <xdr:row>110</xdr:row>
      <xdr:rowOff>165100</xdr:rowOff>
    </xdr:to>
    <xdr:sp macro="" textlink="">
      <xdr:nvSpPr>
        <xdr:cNvPr id="6" name="Object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6175375" y="19024600"/>
          <a:ext cx="0" cy="0"/>
        </a:xfrm>
        <a:prstGeom prst="rect">
          <a:avLst/>
        </a:prstGeom>
        <a:solidFill>
          <a:sysClr val="window" lastClr="FFFFFF">
            <a:gamma/>
            <a:invGamma/>
          </a:sysClr>
        </a:solidFill>
        <a:ln w="9525" cap="flat" cmpd="sng">
          <a:solidFill>
            <a:sysClr val="windowText" lastClr="000000">
              <a:gamma/>
              <a:invGamma/>
            </a:sysClr>
          </a:solidFill>
          <a:prstDash val="solid"/>
          <a:miter lim="800000"/>
          <a:headEnd type="none" w="med" len="med"/>
          <a:tailEnd type="non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U52"/>
  <sheetViews>
    <sheetView zoomScale="115" zoomScaleNormal="115" workbookViewId="0">
      <selection activeCell="J38" sqref="J38"/>
    </sheetView>
  </sheetViews>
  <sheetFormatPr defaultColWidth="10.75" defaultRowHeight="12" x14ac:dyDescent="0.2"/>
  <cols>
    <col min="1" max="1" width="4.125" style="2" customWidth="1"/>
    <col min="2" max="8" width="8.75" style="89" customWidth="1"/>
    <col min="9" max="9" width="8.875" style="89" customWidth="1"/>
    <col min="10" max="10" width="10.75" style="2" customWidth="1"/>
    <col min="11" max="11" width="20.625" style="2" customWidth="1"/>
    <col min="12" max="12" width="12" style="2"/>
    <col min="13" max="13" width="11.125" style="2"/>
    <col min="14" max="14" width="12" style="2"/>
    <col min="15" max="16384" width="10.75" style="2"/>
  </cols>
  <sheetData>
    <row r="1" spans="2:21" ht="12.75" customHeight="1" x14ac:dyDescent="0.2"/>
    <row r="2" spans="2:21" ht="12.75" customHeight="1" x14ac:dyDescent="0.2">
      <c r="C2" s="139" t="s">
        <v>0</v>
      </c>
      <c r="D2" s="140"/>
      <c r="E2" s="140"/>
      <c r="F2" s="140"/>
      <c r="G2" s="140"/>
      <c r="H2" s="140"/>
      <c r="I2" s="141"/>
      <c r="K2" s="114"/>
      <c r="L2" s="114"/>
      <c r="O2" s="114" t="str">
        <f>CONCATENATE("Encoder run times for ",L3)</f>
        <v>Encoder run times for ECM-17,0</v>
      </c>
    </row>
    <row r="3" spans="2:21" ht="12.75" customHeight="1" x14ac:dyDescent="0.2">
      <c r="C3" s="136" t="str">
        <f>CONCATENATE("Over ",$L$3)</f>
        <v>Over ECM-17,0</v>
      </c>
      <c r="D3" s="137"/>
      <c r="E3" s="137"/>
      <c r="F3" s="137"/>
      <c r="G3" s="137"/>
      <c r="H3" s="137"/>
      <c r="I3" s="138"/>
      <c r="K3" s="114" t="s">
        <v>1</v>
      </c>
      <c r="L3" s="114" t="s">
        <v>2</v>
      </c>
      <c r="P3" s="31" t="s">
        <v>3</v>
      </c>
      <c r="Q3" s="18" t="s">
        <v>4</v>
      </c>
      <c r="R3" s="18" t="s">
        <v>5</v>
      </c>
      <c r="S3" s="18" t="s">
        <v>6</v>
      </c>
      <c r="T3" s="18" t="s">
        <v>7</v>
      </c>
      <c r="U3" s="34" t="s">
        <v>8</v>
      </c>
    </row>
    <row r="4" spans="2:21" ht="12.75" customHeight="1" x14ac:dyDescent="0.2">
      <c r="C4" s="90" t="s">
        <v>9</v>
      </c>
      <c r="D4" s="91" t="s">
        <v>10</v>
      </c>
      <c r="E4" s="92" t="s">
        <v>11</v>
      </c>
      <c r="F4" s="93" t="s">
        <v>12</v>
      </c>
      <c r="G4" s="91" t="s">
        <v>13</v>
      </c>
      <c r="H4" s="93" t="s">
        <v>14</v>
      </c>
      <c r="I4" s="115" t="s">
        <v>15</v>
      </c>
      <c r="K4" s="114" t="s">
        <v>16</v>
      </c>
      <c r="L4" s="114" t="s">
        <v>17</v>
      </c>
      <c r="O4" s="9" t="s">
        <v>18</v>
      </c>
      <c r="P4" s="116">
        <f>'AI-10'!J145</f>
        <v>866.22277777777776</v>
      </c>
      <c r="Q4" s="127">
        <f>'RA-10'!J145</f>
        <v>10475.339444444446</v>
      </c>
      <c r="R4" s="127">
        <f>'LB-10'!J145</f>
        <v>799.09305555555557</v>
      </c>
      <c r="S4" s="127">
        <f>'LP-10'!J145</f>
        <v>732.63027777777779</v>
      </c>
      <c r="T4" s="127">
        <f>SUM(P4:S4)</f>
        <v>12873.285555555556</v>
      </c>
      <c r="U4" s="128">
        <f>T4/24</f>
        <v>536.38689814814813</v>
      </c>
    </row>
    <row r="5" spans="2:21" ht="12.75" customHeight="1" x14ac:dyDescent="0.2">
      <c r="B5" s="94" t="s">
        <v>19</v>
      </c>
      <c r="C5" s="95" t="e">
        <f>'AI-10'!AB123</f>
        <v>#VALUE!</v>
      </c>
      <c r="D5" s="96" t="e">
        <f>'AI-10'!AC123</f>
        <v>#VALUE!</v>
      </c>
      <c r="E5" s="97" t="e">
        <f>'AI-10'!AD123</f>
        <v>#VALUE!</v>
      </c>
      <c r="F5" s="98" t="e">
        <f>'AI-10'!W123</f>
        <v>#NUM!</v>
      </c>
      <c r="G5" s="99" t="e">
        <f>'AI-10'!X123</f>
        <v>#NUM!</v>
      </c>
      <c r="H5" s="98" t="e">
        <f>'AI-10'!Y123</f>
        <v>#NUM!</v>
      </c>
      <c r="I5" s="117" t="e">
        <f>'AI-10'!Z123</f>
        <v>#NUM!</v>
      </c>
      <c r="J5" s="41"/>
      <c r="L5" s="114"/>
      <c r="O5" s="15" t="s">
        <v>20</v>
      </c>
      <c r="P5" s="118">
        <f>'AI-10'!J156</f>
        <v>35.99722222222222</v>
      </c>
      <c r="Q5" s="129">
        <f>'RA-10'!J156</f>
        <v>968.48944444444442</v>
      </c>
      <c r="R5" s="129">
        <f>'LB-10'!J156</f>
        <v>46.858055555555552</v>
      </c>
      <c r="S5" s="129">
        <f>'LP-10'!J156</f>
        <v>43.835555555555558</v>
      </c>
      <c r="T5" s="129">
        <f>MAX(P5,Q5/4,R5,S5)</f>
        <v>242.1223611111111</v>
      </c>
      <c r="U5" s="130">
        <f>T5/24</f>
        <v>10.088431712962963</v>
      </c>
    </row>
    <row r="6" spans="2:21" ht="12.75" customHeight="1" x14ac:dyDescent="0.2">
      <c r="B6" s="100" t="s">
        <v>21</v>
      </c>
      <c r="C6" s="101" t="e">
        <f>'AI-10'!AB124</f>
        <v>#VALUE!</v>
      </c>
      <c r="D6" s="102" t="e">
        <f>'AI-10'!AC124</f>
        <v>#VALUE!</v>
      </c>
      <c r="E6" s="103" t="e">
        <f>'AI-10'!AD124</f>
        <v>#VALUE!</v>
      </c>
      <c r="F6" s="104" t="e">
        <f>'AI-10'!W124</f>
        <v>#NUM!</v>
      </c>
      <c r="G6" s="105" t="e">
        <f>'AI-10'!X124</f>
        <v>#NUM!</v>
      </c>
      <c r="H6" s="104" t="e">
        <f>'AI-10'!Y124</f>
        <v>#NUM!</v>
      </c>
      <c r="I6" s="117" t="e">
        <f>'AI-10'!Z124</f>
        <v>#NUM!</v>
      </c>
      <c r="J6" s="41"/>
      <c r="L6" s="114"/>
    </row>
    <row r="7" spans="2:21" ht="12.75" customHeight="1" x14ac:dyDescent="0.2">
      <c r="B7" s="100" t="s">
        <v>22</v>
      </c>
      <c r="C7" s="101" t="e">
        <f>'AI-10'!AB125</f>
        <v>#VALUE!</v>
      </c>
      <c r="D7" s="102" t="e">
        <f>'AI-10'!AC125</f>
        <v>#VALUE!</v>
      </c>
      <c r="E7" s="103" t="e">
        <f>'AI-10'!AD125</f>
        <v>#VALUE!</v>
      </c>
      <c r="F7" s="104" t="e">
        <f>'AI-10'!W125</f>
        <v>#NUM!</v>
      </c>
      <c r="G7" s="105" t="e">
        <f>'AI-10'!X125</f>
        <v>#NUM!</v>
      </c>
      <c r="H7" s="104" t="e">
        <f>'AI-10'!Y125</f>
        <v>#NUM!</v>
      </c>
      <c r="I7" s="117" t="e">
        <f>'AI-10'!Z125</f>
        <v>#NUM!</v>
      </c>
      <c r="J7" s="41"/>
    </row>
    <row r="8" spans="2:21" ht="12.75" customHeight="1" x14ac:dyDescent="0.2">
      <c r="B8" s="100" t="s">
        <v>23</v>
      </c>
      <c r="C8" s="101" t="e">
        <f>'AI-10'!AB126</f>
        <v>#VALUE!</v>
      </c>
      <c r="D8" s="102" t="e">
        <f>'AI-10'!AC126</f>
        <v>#VALUE!</v>
      </c>
      <c r="E8" s="103" t="e">
        <f>'AI-10'!AD126</f>
        <v>#VALUE!</v>
      </c>
      <c r="F8" s="104" t="e">
        <f>'AI-10'!W126</f>
        <v>#NUM!</v>
      </c>
      <c r="G8" s="105" t="e">
        <f>'AI-10'!X126</f>
        <v>#NUM!</v>
      </c>
      <c r="H8" s="104" t="e">
        <f>'AI-10'!Y126</f>
        <v>#NUM!</v>
      </c>
      <c r="I8" s="117" t="e">
        <f>'AI-10'!Z126</f>
        <v>#NUM!</v>
      </c>
      <c r="J8" s="41"/>
      <c r="O8" s="114" t="str">
        <f>CONCATENATE("Encoder run times for ",L4)</f>
        <v>Encoder run times for Test EE2-1,6A</v>
      </c>
    </row>
    <row r="9" spans="2:21" ht="12.75" customHeight="1" x14ac:dyDescent="0.2">
      <c r="B9" s="100" t="s">
        <v>24</v>
      </c>
      <c r="C9" s="101" t="e">
        <f>'AI-10'!AB128</f>
        <v>#VALUE!</v>
      </c>
      <c r="D9" s="102" t="e">
        <f>'AI-10'!AC128</f>
        <v>#VALUE!</v>
      </c>
      <c r="E9" s="103" t="e">
        <f>'AI-10'!AD128</f>
        <v>#VALUE!</v>
      </c>
      <c r="F9" s="104" t="e">
        <f>'AI-10'!W128</f>
        <v>#NUM!</v>
      </c>
      <c r="G9" s="105" t="e">
        <f>'AI-10'!X128</f>
        <v>#NUM!</v>
      </c>
      <c r="H9" s="104" t="e">
        <f>'AI-10'!Y128</f>
        <v>#NUM!</v>
      </c>
      <c r="I9" s="117" t="e">
        <f>'AI-10'!Z128</f>
        <v>#NUM!</v>
      </c>
      <c r="J9" s="41"/>
      <c r="P9" s="31" t="s">
        <v>3</v>
      </c>
      <c r="Q9" s="18" t="s">
        <v>4</v>
      </c>
      <c r="R9" s="18" t="s">
        <v>5</v>
      </c>
      <c r="S9" s="18" t="s">
        <v>6</v>
      </c>
      <c r="T9" s="18" t="s">
        <v>7</v>
      </c>
      <c r="U9" s="34" t="s">
        <v>8</v>
      </c>
    </row>
    <row r="10" spans="2:21" ht="12.75" customHeight="1" x14ac:dyDescent="0.2">
      <c r="B10" s="106" t="s">
        <v>25</v>
      </c>
      <c r="C10" s="95" t="e">
        <f>'AI-10'!AB131</f>
        <v>#VALUE!</v>
      </c>
      <c r="D10" s="96" t="e">
        <f>'AI-10'!AC131</f>
        <v>#VALUE!</v>
      </c>
      <c r="E10" s="97" t="e">
        <f>'AI-10'!AD131</f>
        <v>#VALUE!</v>
      </c>
      <c r="F10" s="98" t="e">
        <f>'AI-10'!W131</f>
        <v>#NUM!</v>
      </c>
      <c r="G10" s="99" t="e">
        <f>'AI-10'!X131</f>
        <v>#NUM!</v>
      </c>
      <c r="H10" s="107" t="e">
        <f>'AI-10'!Y131</f>
        <v>#NUM!</v>
      </c>
      <c r="I10" s="119" t="e">
        <f>'AI-10'!Z131</f>
        <v>#NUM!</v>
      </c>
      <c r="J10" s="41"/>
      <c r="K10" s="114" t="s">
        <v>26</v>
      </c>
      <c r="O10" s="9" t="s">
        <v>18</v>
      </c>
      <c r="P10" s="116">
        <f>'AI-10'!T145</f>
        <v>0</v>
      </c>
      <c r="Q10" s="127">
        <f>'RA-10'!T145</f>
        <v>0</v>
      </c>
      <c r="R10" s="127">
        <f>'LB-10'!T145</f>
        <v>0</v>
      </c>
      <c r="S10" s="127">
        <f>'LP-10'!T145</f>
        <v>0</v>
      </c>
      <c r="T10" s="127">
        <f>SUM(P10:S10)</f>
        <v>0</v>
      </c>
      <c r="U10" s="128">
        <f>T10/24</f>
        <v>0</v>
      </c>
    </row>
    <row r="11" spans="2:21" ht="12.75" customHeight="1" x14ac:dyDescent="0.2">
      <c r="B11" s="94" t="s">
        <v>27</v>
      </c>
      <c r="C11" s="96" t="e">
        <f>'AI-10'!AB127</f>
        <v>#VALUE!</v>
      </c>
      <c r="D11" s="96" t="e">
        <f>'AI-10'!AC127</f>
        <v>#VALUE!</v>
      </c>
      <c r="E11" s="97" t="e">
        <f>'AI-10'!AD127</f>
        <v>#VALUE!</v>
      </c>
      <c r="F11" s="99" t="e">
        <f>'AI-10'!W127</f>
        <v>#NUM!</v>
      </c>
      <c r="G11" s="99" t="e">
        <f>'AI-10'!X127</f>
        <v>#NUM!</v>
      </c>
      <c r="H11" s="104" t="e">
        <f>'AI-10'!Y127</f>
        <v>#NUM!</v>
      </c>
      <c r="I11" s="117" t="e">
        <f>'AI-10'!Z127</f>
        <v>#NUM!</v>
      </c>
      <c r="J11" s="41"/>
      <c r="K11" s="114"/>
      <c r="O11" s="15" t="s">
        <v>20</v>
      </c>
      <c r="P11" s="118">
        <f>'AI-10'!T156</f>
        <v>0</v>
      </c>
      <c r="Q11" s="129">
        <f>'RA-10'!T156</f>
        <v>0</v>
      </c>
      <c r="R11" s="129">
        <f>'LB-10'!T156</f>
        <v>0</v>
      </c>
      <c r="S11" s="129">
        <f>'LP-10'!T156</f>
        <v>0</v>
      </c>
      <c r="T11" s="129">
        <f>MAX(P11,Q11/4,R11,S11)</f>
        <v>0</v>
      </c>
      <c r="U11" s="130">
        <f>T11/24</f>
        <v>0</v>
      </c>
    </row>
    <row r="12" spans="2:21" ht="12.75" customHeight="1" x14ac:dyDescent="0.2">
      <c r="B12" s="100" t="s">
        <v>28</v>
      </c>
      <c r="C12" s="102" t="e">
        <f>'AI-10'!AB129</f>
        <v>#VALUE!</v>
      </c>
      <c r="D12" s="102" t="e">
        <f>'AI-10'!AC129</f>
        <v>#VALUE!</v>
      </c>
      <c r="E12" s="103" t="e">
        <f>'AI-10'!AD129</f>
        <v>#VALUE!</v>
      </c>
      <c r="F12" s="105" t="e">
        <f>'AI-10'!W129</f>
        <v>#NUM!</v>
      </c>
      <c r="G12" s="105" t="e">
        <f>'AI-10'!X129</f>
        <v>#NUM!</v>
      </c>
      <c r="H12" s="104" t="e">
        <f>'AI-10'!Y129</f>
        <v>#NUM!</v>
      </c>
      <c r="I12" s="117" t="e">
        <f>'AI-10'!Z129</f>
        <v>#NUM!</v>
      </c>
      <c r="J12" s="41"/>
    </row>
    <row r="13" spans="2:21" ht="12.75" customHeight="1" x14ac:dyDescent="0.2">
      <c r="B13" s="108" t="s">
        <v>29</v>
      </c>
      <c r="C13" s="109" t="e">
        <f>'AI-10'!AB130</f>
        <v>#VALUE!</v>
      </c>
      <c r="D13" s="109" t="e">
        <f>'AI-10'!AC130</f>
        <v>#VALUE!</v>
      </c>
      <c r="E13" s="110" t="e">
        <f>'AI-10'!AD130</f>
        <v>#VALUE!</v>
      </c>
      <c r="F13" s="111" t="e">
        <f>'AI-10'!W130</f>
        <v>#NUM!</v>
      </c>
      <c r="G13" s="111" t="e">
        <f>'AI-10'!X130</f>
        <v>#NUM!</v>
      </c>
      <c r="H13" s="112" t="e">
        <f>'AI-10'!Y130</f>
        <v>#NUM!</v>
      </c>
      <c r="I13" s="120" t="e">
        <f>'AI-10'!Z130</f>
        <v>#NUM!</v>
      </c>
      <c r="K13" s="121"/>
    </row>
    <row r="14" spans="2:21" ht="12.75" customHeight="1" x14ac:dyDescent="0.2">
      <c r="C14" s="102"/>
      <c r="D14" s="102"/>
      <c r="E14" s="102"/>
      <c r="F14" s="113"/>
      <c r="G14" s="113"/>
      <c r="H14" s="113"/>
      <c r="I14" s="113"/>
      <c r="K14" s="121" t="s">
        <v>30</v>
      </c>
    </row>
    <row r="15" spans="2:21" ht="12.75" customHeight="1" x14ac:dyDescent="0.2">
      <c r="C15" s="139" t="s">
        <v>31</v>
      </c>
      <c r="D15" s="140"/>
      <c r="E15" s="140"/>
      <c r="F15" s="140"/>
      <c r="G15" s="140"/>
      <c r="H15" s="140"/>
      <c r="I15" s="141"/>
      <c r="L15" s="114"/>
      <c r="O15" s="114" t="str">
        <f>CONCATENATE("Encoder run times for ",L4," over ",L3)</f>
        <v>Encoder run times for Test EE2-1,6A over ECM-17,0</v>
      </c>
    </row>
    <row r="16" spans="2:21" ht="12.75" customHeight="1" x14ac:dyDescent="0.2">
      <c r="C16" s="136" t="str">
        <f>CONCATENATE("Over ",$L$3)</f>
        <v>Over ECM-17,0</v>
      </c>
      <c r="D16" s="137"/>
      <c r="E16" s="137"/>
      <c r="F16" s="137"/>
      <c r="G16" s="137"/>
      <c r="H16" s="137"/>
      <c r="I16" s="138"/>
      <c r="K16" s="114" t="s">
        <v>32</v>
      </c>
      <c r="L16" s="2" t="s">
        <v>33</v>
      </c>
      <c r="P16" s="31" t="s">
        <v>3</v>
      </c>
      <c r="Q16" s="18" t="s">
        <v>4</v>
      </c>
      <c r="R16" s="18" t="s">
        <v>5</v>
      </c>
      <c r="S16" s="18" t="s">
        <v>6</v>
      </c>
      <c r="T16" s="34" t="s">
        <v>34</v>
      </c>
    </row>
    <row r="17" spans="2:20" ht="12.75" customHeight="1" x14ac:dyDescent="0.2">
      <c r="C17" s="90" t="s">
        <v>9</v>
      </c>
      <c r="D17" s="91" t="s">
        <v>10</v>
      </c>
      <c r="E17" s="92" t="s">
        <v>11</v>
      </c>
      <c r="F17" s="93" t="s">
        <v>12</v>
      </c>
      <c r="G17" s="91" t="s">
        <v>13</v>
      </c>
      <c r="H17" s="93" t="s">
        <v>14</v>
      </c>
      <c r="I17" s="115" t="s">
        <v>15</v>
      </c>
      <c r="K17" s="114"/>
      <c r="L17" s="41"/>
      <c r="M17" s="41"/>
      <c r="N17" s="41"/>
      <c r="O17" s="4" t="s">
        <v>35</v>
      </c>
      <c r="P17" s="122" t="e">
        <f>F10</f>
        <v>#NUM!</v>
      </c>
      <c r="Q17" s="131" t="e">
        <f>F23</f>
        <v>#NUM!</v>
      </c>
      <c r="R17" s="131" t="e">
        <f>F36</f>
        <v>#NUM!</v>
      </c>
      <c r="S17" s="131" t="e">
        <f>F49</f>
        <v>#NUM!</v>
      </c>
      <c r="T17" s="132"/>
    </row>
    <row r="18" spans="2:20" ht="12.75" customHeight="1" x14ac:dyDescent="0.2">
      <c r="B18" s="94" t="str">
        <f>B5</f>
        <v>Class A1</v>
      </c>
      <c r="C18" s="95" t="e">
        <f>'RA-10'!AB123</f>
        <v>#VALUE!</v>
      </c>
      <c r="D18" s="96" t="e">
        <f>'RA-10'!AC123</f>
        <v>#VALUE!</v>
      </c>
      <c r="E18" s="97" t="e">
        <f>'RA-10'!AD123</f>
        <v>#VALUE!</v>
      </c>
      <c r="F18" s="98" t="e">
        <f>'RA-10'!W123</f>
        <v>#NUM!</v>
      </c>
      <c r="G18" s="99" t="e">
        <f>'RA-10'!X123</f>
        <v>#NUM!</v>
      </c>
      <c r="H18" s="98" t="e">
        <f>'RA-10'!Y123</f>
        <v>#NUM!</v>
      </c>
      <c r="I18" s="117" t="e">
        <f>'RA-10'!Z123</f>
        <v>#NUM!</v>
      </c>
      <c r="J18" s="41"/>
      <c r="K18" s="114" t="s">
        <v>36</v>
      </c>
      <c r="L18" s="41" t="s">
        <v>37</v>
      </c>
      <c r="M18" s="41"/>
      <c r="N18" s="41"/>
      <c r="O18" s="62" t="s">
        <v>18</v>
      </c>
      <c r="P18" s="122">
        <f t="shared" ref="P18:T19" si="0">P10/P4</f>
        <v>0</v>
      </c>
      <c r="Q18" s="131">
        <f t="shared" si="0"/>
        <v>0</v>
      </c>
      <c r="R18" s="131">
        <f t="shared" si="0"/>
        <v>0</v>
      </c>
      <c r="S18" s="131">
        <f t="shared" si="0"/>
        <v>0</v>
      </c>
      <c r="T18" s="133">
        <f t="shared" si="0"/>
        <v>0</v>
      </c>
    </row>
    <row r="19" spans="2:20" ht="12.75" customHeight="1" x14ac:dyDescent="0.2">
      <c r="B19" s="100" t="str">
        <f>B6</f>
        <v>Class A2</v>
      </c>
      <c r="C19" s="101" t="e">
        <f>'RA-10'!AB124</f>
        <v>#VALUE!</v>
      </c>
      <c r="D19" s="102" t="e">
        <f>'RA-10'!AC124</f>
        <v>#VALUE!</v>
      </c>
      <c r="E19" s="103" t="e">
        <f>'RA-10'!AD124</f>
        <v>#VALUE!</v>
      </c>
      <c r="F19" s="104" t="e">
        <f>'RA-10'!W124</f>
        <v>#NUM!</v>
      </c>
      <c r="G19" s="105" t="e">
        <f>'RA-10'!X124</f>
        <v>#NUM!</v>
      </c>
      <c r="H19" s="104" t="e">
        <f>'RA-10'!Y124</f>
        <v>#NUM!</v>
      </c>
      <c r="I19" s="117" t="e">
        <f>'RA-10'!Z124</f>
        <v>#NUM!</v>
      </c>
      <c r="J19" s="41"/>
      <c r="K19" s="114" t="s">
        <v>38</v>
      </c>
      <c r="L19" s="41" t="s">
        <v>37</v>
      </c>
      <c r="M19" s="41"/>
      <c r="N19" s="41"/>
      <c r="O19" s="74" t="s">
        <v>20</v>
      </c>
      <c r="P19" s="123">
        <f t="shared" si="0"/>
        <v>0</v>
      </c>
      <c r="Q19" s="134">
        <f t="shared" si="0"/>
        <v>0</v>
      </c>
      <c r="R19" s="134">
        <f t="shared" si="0"/>
        <v>0</v>
      </c>
      <c r="S19" s="134">
        <f t="shared" si="0"/>
        <v>0</v>
      </c>
      <c r="T19" s="135">
        <f t="shared" si="0"/>
        <v>0</v>
      </c>
    </row>
    <row r="20" spans="2:20" ht="12.75" customHeight="1" x14ac:dyDescent="0.2">
      <c r="B20" s="100" t="str">
        <f>B7</f>
        <v>Class B</v>
      </c>
      <c r="C20" s="101" t="e">
        <f>'RA-10'!AB125</f>
        <v>#VALUE!</v>
      </c>
      <c r="D20" s="102" t="e">
        <f>'RA-10'!AC125</f>
        <v>#VALUE!</v>
      </c>
      <c r="E20" s="103" t="e">
        <f>'RA-10'!AD125</f>
        <v>#VALUE!</v>
      </c>
      <c r="F20" s="104" t="e">
        <f>'RA-10'!W125</f>
        <v>#NUM!</v>
      </c>
      <c r="G20" s="105" t="e">
        <f>'RA-10'!X125</f>
        <v>#NUM!</v>
      </c>
      <c r="H20" s="104" t="e">
        <f>'RA-10'!Y125</f>
        <v>#NUM!</v>
      </c>
      <c r="I20" s="117" t="e">
        <f>'RA-10'!Z125</f>
        <v>#NUM!</v>
      </c>
      <c r="J20" s="41"/>
    </row>
    <row r="21" spans="2:20" ht="12.75" customHeight="1" x14ac:dyDescent="0.2">
      <c r="B21" s="100" t="str">
        <f>B8</f>
        <v>Class C</v>
      </c>
      <c r="C21" s="101" t="e">
        <f>'RA-10'!AB126</f>
        <v>#VALUE!</v>
      </c>
      <c r="D21" s="102" t="e">
        <f>'RA-10'!AC126</f>
        <v>#VALUE!</v>
      </c>
      <c r="E21" s="103" t="e">
        <f>'RA-10'!AD126</f>
        <v>#VALUE!</v>
      </c>
      <c r="F21" s="104" t="e">
        <f>'RA-10'!W126</f>
        <v>#NUM!</v>
      </c>
      <c r="G21" s="105" t="e">
        <f>'RA-10'!X126</f>
        <v>#NUM!</v>
      </c>
      <c r="H21" s="104" t="e">
        <f>'RA-10'!Y126</f>
        <v>#NUM!</v>
      </c>
      <c r="I21" s="117" t="e">
        <f>'RA-10'!Z126</f>
        <v>#NUM!</v>
      </c>
      <c r="J21" s="41"/>
      <c r="K21" s="114" t="s">
        <v>39</v>
      </c>
      <c r="L21" s="2" t="s">
        <v>40</v>
      </c>
    </row>
    <row r="22" spans="2:20" ht="12.75" customHeight="1" x14ac:dyDescent="0.2">
      <c r="B22" s="100" t="str">
        <f>B9</f>
        <v>Class E</v>
      </c>
      <c r="C22" s="101"/>
      <c r="D22" s="102"/>
      <c r="E22" s="103"/>
      <c r="F22" s="104"/>
      <c r="G22" s="105"/>
      <c r="H22" s="104"/>
      <c r="I22" s="117"/>
      <c r="J22" s="41"/>
    </row>
    <row r="23" spans="2:20" ht="12.75" customHeight="1" x14ac:dyDescent="0.2">
      <c r="B23" s="106" t="s">
        <v>41</v>
      </c>
      <c r="C23" s="95" t="e">
        <f>'RA-10'!AB131</f>
        <v>#VALUE!</v>
      </c>
      <c r="D23" s="96" t="e">
        <f>'RA-10'!AC131</f>
        <v>#VALUE!</v>
      </c>
      <c r="E23" s="97" t="e">
        <f>'RA-10'!AD131</f>
        <v>#VALUE!</v>
      </c>
      <c r="F23" s="98" t="e">
        <f>'RA-10'!W131</f>
        <v>#NUM!</v>
      </c>
      <c r="G23" s="99" t="e">
        <f>'RA-10'!X131</f>
        <v>#NUM!</v>
      </c>
      <c r="H23" s="107" t="e">
        <f>'RA-10'!Y131</f>
        <v>#NUM!</v>
      </c>
      <c r="I23" s="119" t="e">
        <f>'RA-10'!Z131</f>
        <v>#NUM!</v>
      </c>
      <c r="J23" s="41"/>
      <c r="K23" s="114" t="s">
        <v>42</v>
      </c>
      <c r="L23" s="124" t="s">
        <v>43</v>
      </c>
      <c r="M23" s="124"/>
      <c r="N23" s="124"/>
      <c r="O23" s="124"/>
      <c r="P23" s="124"/>
      <c r="Q23" s="124"/>
      <c r="R23" s="124"/>
      <c r="S23" s="124"/>
      <c r="T23" s="124"/>
    </row>
    <row r="24" spans="2:20" ht="12.75" customHeight="1" x14ac:dyDescent="0.2">
      <c r="B24" s="94" t="str">
        <f>B11</f>
        <v>Class D</v>
      </c>
      <c r="C24" s="96" t="e">
        <f>'RA-10'!AB127</f>
        <v>#VALUE!</v>
      </c>
      <c r="D24" s="96" t="e">
        <f>'RA-10'!AC127</f>
        <v>#VALUE!</v>
      </c>
      <c r="E24" s="97" t="e">
        <f>'RA-10'!AD127</f>
        <v>#VALUE!</v>
      </c>
      <c r="F24" s="99" t="e">
        <f>'RA-10'!W127</f>
        <v>#NUM!</v>
      </c>
      <c r="G24" s="99" t="e">
        <f>'RA-10'!X127</f>
        <v>#NUM!</v>
      </c>
      <c r="H24" s="104" t="e">
        <f>'RA-10'!Y127</f>
        <v>#NUM!</v>
      </c>
      <c r="I24" s="117" t="e">
        <f>'RA-10'!Z127</f>
        <v>#NUM!</v>
      </c>
      <c r="J24" s="41"/>
      <c r="L24" s="125"/>
      <c r="M24" s="125"/>
      <c r="N24" s="124"/>
      <c r="O24" s="124"/>
      <c r="P24" s="124"/>
      <c r="Q24" s="124"/>
      <c r="R24" s="124"/>
      <c r="S24" s="124"/>
      <c r="T24" s="124"/>
    </row>
    <row r="25" spans="2:20" ht="12.75" customHeight="1" x14ac:dyDescent="0.2">
      <c r="B25" s="100" t="str">
        <f>B12</f>
        <v>Class F</v>
      </c>
      <c r="C25" s="102" t="e">
        <f>'RA-10'!AB129</f>
        <v>#VALUE!</v>
      </c>
      <c r="D25" s="102" t="e">
        <f>'RA-10'!AC129</f>
        <v>#VALUE!</v>
      </c>
      <c r="E25" s="103" t="e">
        <f>'RA-10'!AD129</f>
        <v>#VALUE!</v>
      </c>
      <c r="F25" s="105" t="e">
        <f>'RA-10'!W129</f>
        <v>#NUM!</v>
      </c>
      <c r="G25" s="105" t="e">
        <f>'RA-10'!X129</f>
        <v>#NUM!</v>
      </c>
      <c r="H25" s="104" t="e">
        <f>'RA-10'!Y129</f>
        <v>#NUM!</v>
      </c>
      <c r="I25" s="117" t="e">
        <f>'RA-10'!Z129</f>
        <v>#NUM!</v>
      </c>
      <c r="J25" s="41"/>
      <c r="K25" s="121" t="s">
        <v>44</v>
      </c>
      <c r="L25" s="126"/>
      <c r="M25" s="126"/>
    </row>
    <row r="26" spans="2:20" ht="12.75" customHeight="1" x14ac:dyDescent="0.2">
      <c r="B26" s="108" t="str">
        <f>B13</f>
        <v>Class TGM</v>
      </c>
      <c r="C26" s="109" t="e">
        <f>'RA-10'!AB130</f>
        <v>#VALUE!</v>
      </c>
      <c r="D26" s="109" t="e">
        <f>'RA-10'!AC130</f>
        <v>#VALUE!</v>
      </c>
      <c r="E26" s="110" t="e">
        <f>'RA-10'!AD130</f>
        <v>#VALUE!</v>
      </c>
      <c r="F26" s="111" t="e">
        <f>'RA-10'!W130</f>
        <v>#NUM!</v>
      </c>
      <c r="G26" s="111" t="e">
        <f>'RA-10'!X130</f>
        <v>#NUM!</v>
      </c>
      <c r="H26" s="112" t="e">
        <f>'RA-10'!Y130</f>
        <v>#NUM!</v>
      </c>
      <c r="I26" s="120" t="e">
        <f>'RA-10'!Z130</f>
        <v>#NUM!</v>
      </c>
      <c r="L26" s="126"/>
      <c r="M26" s="126"/>
    </row>
    <row r="27" spans="2:20" ht="12.75" customHeight="1" x14ac:dyDescent="0.2">
      <c r="C27" s="102"/>
      <c r="D27" s="102"/>
      <c r="E27" s="102"/>
      <c r="F27" s="113"/>
      <c r="G27" s="113"/>
      <c r="H27" s="113"/>
      <c r="I27" s="113"/>
      <c r="K27" s="114" t="s">
        <v>45</v>
      </c>
      <c r="L27" s="2" t="s">
        <v>46</v>
      </c>
      <c r="M27" s="114"/>
    </row>
    <row r="28" spans="2:20" ht="12.75" customHeight="1" x14ac:dyDescent="0.2">
      <c r="C28" s="139" t="s">
        <v>47</v>
      </c>
      <c r="D28" s="140"/>
      <c r="E28" s="140"/>
      <c r="F28" s="140"/>
      <c r="G28" s="140"/>
      <c r="H28" s="140"/>
      <c r="I28" s="141"/>
    </row>
    <row r="29" spans="2:20" ht="12.75" customHeight="1" x14ac:dyDescent="0.2">
      <c r="C29" s="136" t="str">
        <f>CONCATENATE("Over ",$L$3)</f>
        <v>Over ECM-17,0</v>
      </c>
      <c r="D29" s="137"/>
      <c r="E29" s="137"/>
      <c r="F29" s="137"/>
      <c r="G29" s="137"/>
      <c r="H29" s="137"/>
      <c r="I29" s="138"/>
      <c r="K29" s="114" t="s">
        <v>48</v>
      </c>
      <c r="L29" s="2" t="s">
        <v>46</v>
      </c>
    </row>
    <row r="30" spans="2:20" ht="12.75" customHeight="1" x14ac:dyDescent="0.2">
      <c r="C30" s="90" t="s">
        <v>9</v>
      </c>
      <c r="D30" s="91" t="s">
        <v>10</v>
      </c>
      <c r="E30" s="92" t="s">
        <v>11</v>
      </c>
      <c r="F30" s="93" t="s">
        <v>12</v>
      </c>
      <c r="G30" s="91" t="s">
        <v>13</v>
      </c>
      <c r="H30" s="93" t="s">
        <v>14</v>
      </c>
      <c r="I30" s="115" t="s">
        <v>15</v>
      </c>
      <c r="K30" s="114" t="s">
        <v>49</v>
      </c>
      <c r="L30" s="2" t="s">
        <v>46</v>
      </c>
    </row>
    <row r="31" spans="2:20" ht="12.75" customHeight="1" x14ac:dyDescent="0.2">
      <c r="B31" s="94" t="str">
        <f>B5</f>
        <v>Class A1</v>
      </c>
      <c r="C31" s="95"/>
      <c r="D31" s="96"/>
      <c r="E31" s="97"/>
      <c r="F31" s="98"/>
      <c r="G31" s="99"/>
      <c r="H31" s="98"/>
      <c r="I31" s="117"/>
      <c r="J31" s="41"/>
    </row>
    <row r="32" spans="2:20" ht="12.75" customHeight="1" x14ac:dyDescent="0.2">
      <c r="B32" s="100" t="str">
        <f>B6</f>
        <v>Class A2</v>
      </c>
      <c r="C32" s="101"/>
      <c r="D32" s="102"/>
      <c r="E32" s="103"/>
      <c r="F32" s="104"/>
      <c r="G32" s="105"/>
      <c r="H32" s="104"/>
      <c r="I32" s="117"/>
      <c r="J32" s="41"/>
      <c r="K32" s="114" t="s">
        <v>50</v>
      </c>
      <c r="L32" s="2" t="s">
        <v>51</v>
      </c>
    </row>
    <row r="33" spans="2:12" ht="12.75" customHeight="1" x14ac:dyDescent="0.2">
      <c r="B33" s="100" t="str">
        <f>B7</f>
        <v>Class B</v>
      </c>
      <c r="C33" s="101" t="e">
        <f>'LB-10'!AB125</f>
        <v>#VALUE!</v>
      </c>
      <c r="D33" s="102" t="e">
        <f>'LB-10'!AC125</f>
        <v>#VALUE!</v>
      </c>
      <c r="E33" s="103" t="e">
        <f>'LB-10'!AD125</f>
        <v>#VALUE!</v>
      </c>
      <c r="F33" s="104" t="e">
        <f>'LB-10'!W125</f>
        <v>#NUM!</v>
      </c>
      <c r="G33" s="105" t="e">
        <f>'LB-10'!X125</f>
        <v>#NUM!</v>
      </c>
      <c r="H33" s="104" t="e">
        <f>'LB-10'!Y125</f>
        <v>#NUM!</v>
      </c>
      <c r="I33" s="117" t="e">
        <f>'LB-10'!Z125</f>
        <v>#NUM!</v>
      </c>
      <c r="J33" s="41"/>
      <c r="K33" s="114"/>
    </row>
    <row r="34" spans="2:12" ht="12.75" customHeight="1" x14ac:dyDescent="0.2">
      <c r="B34" s="100" t="str">
        <f>B8</f>
        <v>Class C</v>
      </c>
      <c r="C34" s="101" t="e">
        <f>'LB-10'!AB126</f>
        <v>#VALUE!</v>
      </c>
      <c r="D34" s="102" t="e">
        <f>'LB-10'!AC126</f>
        <v>#VALUE!</v>
      </c>
      <c r="E34" s="103" t="e">
        <f>'LB-10'!AD126</f>
        <v>#VALUE!</v>
      </c>
      <c r="F34" s="104" t="e">
        <f>'LB-10'!W126</f>
        <v>#NUM!</v>
      </c>
      <c r="G34" s="105" t="e">
        <f>'LB-10'!X126</f>
        <v>#NUM!</v>
      </c>
      <c r="H34" s="104" t="e">
        <f>'LB-10'!Y126</f>
        <v>#NUM!</v>
      </c>
      <c r="I34" s="117" t="e">
        <f>'LB-10'!Z126</f>
        <v>#NUM!</v>
      </c>
      <c r="J34" s="41"/>
    </row>
    <row r="35" spans="2:12" ht="12.75" customHeight="1" x14ac:dyDescent="0.2">
      <c r="B35" s="100" t="str">
        <f>B9</f>
        <v>Class E</v>
      </c>
      <c r="C35" s="101" t="e">
        <f>'LB-10'!AB128</f>
        <v>#VALUE!</v>
      </c>
      <c r="D35" s="102" t="e">
        <f>'LB-10'!AC128</f>
        <v>#VALUE!</v>
      </c>
      <c r="E35" s="103" t="e">
        <f>'LB-10'!AD128</f>
        <v>#VALUE!</v>
      </c>
      <c r="F35" s="104" t="e">
        <f>'LB-10'!W128</f>
        <v>#NUM!</v>
      </c>
      <c r="G35" s="105" t="e">
        <f>'LB-10'!X128</f>
        <v>#NUM!</v>
      </c>
      <c r="H35" s="104" t="e">
        <f>'LB-10'!Y128</f>
        <v>#NUM!</v>
      </c>
      <c r="I35" s="117" t="e">
        <f>'LB-10'!Z128</f>
        <v>#NUM!</v>
      </c>
      <c r="J35" s="41"/>
      <c r="K35" s="114"/>
      <c r="L35" s="41"/>
    </row>
    <row r="36" spans="2:12" ht="12.75" customHeight="1" x14ac:dyDescent="0.2">
      <c r="B36" s="106" t="s">
        <v>41</v>
      </c>
      <c r="C36" s="95" t="e">
        <f>'LB-10'!AB131</f>
        <v>#VALUE!</v>
      </c>
      <c r="D36" s="96" t="e">
        <f>'LB-10'!AC131</f>
        <v>#VALUE!</v>
      </c>
      <c r="E36" s="97" t="e">
        <f>'LB-10'!AD131</f>
        <v>#VALUE!</v>
      </c>
      <c r="F36" s="98" t="e">
        <f>'LB-10'!W131</f>
        <v>#NUM!</v>
      </c>
      <c r="G36" s="99" t="e">
        <f>'LB-10'!X131</f>
        <v>#NUM!</v>
      </c>
      <c r="H36" s="107" t="e">
        <f>'LB-10'!Y131</f>
        <v>#NUM!</v>
      </c>
      <c r="I36" s="119" t="e">
        <f>'LB-10'!Z131</f>
        <v>#NUM!</v>
      </c>
      <c r="J36" s="41"/>
    </row>
    <row r="37" spans="2:12" ht="12.75" customHeight="1" x14ac:dyDescent="0.2">
      <c r="B37" s="94" t="str">
        <f>B11</f>
        <v>Class D</v>
      </c>
      <c r="C37" s="96" t="e">
        <f>'LB-10'!AB127</f>
        <v>#VALUE!</v>
      </c>
      <c r="D37" s="96" t="e">
        <f>'LB-10'!AC127</f>
        <v>#VALUE!</v>
      </c>
      <c r="E37" s="97" t="e">
        <f>'LB-10'!AD127</f>
        <v>#VALUE!</v>
      </c>
      <c r="F37" s="99" t="e">
        <f>'LB-10'!W127</f>
        <v>#NUM!</v>
      </c>
      <c r="G37" s="99" t="e">
        <f>'LB-10'!X127</f>
        <v>#NUM!</v>
      </c>
      <c r="H37" s="104" t="e">
        <f>'LB-10'!Y127</f>
        <v>#NUM!</v>
      </c>
      <c r="I37" s="117" t="e">
        <f>'LB-10'!Z127</f>
        <v>#NUM!</v>
      </c>
      <c r="J37" s="41"/>
    </row>
    <row r="38" spans="2:12" ht="12.75" customHeight="1" x14ac:dyDescent="0.2">
      <c r="B38" s="100" t="str">
        <f>B12</f>
        <v>Class F</v>
      </c>
      <c r="C38" s="102" t="e">
        <f>'LB-10'!AB129</f>
        <v>#VALUE!</v>
      </c>
      <c r="D38" s="102" t="e">
        <f>'LB-10'!AC129</f>
        <v>#VALUE!</v>
      </c>
      <c r="E38" s="103" t="e">
        <f>'LB-10'!AD129</f>
        <v>#VALUE!</v>
      </c>
      <c r="F38" s="105" t="e">
        <f>'LB-10'!W129</f>
        <v>#NUM!</v>
      </c>
      <c r="G38" s="105" t="e">
        <f>'LB-10'!X129</f>
        <v>#NUM!</v>
      </c>
      <c r="H38" s="104" t="e">
        <f>'LB-10'!Y129</f>
        <v>#NUM!</v>
      </c>
      <c r="I38" s="117" t="e">
        <f>'LB-10'!Z129</f>
        <v>#NUM!</v>
      </c>
      <c r="J38" s="41"/>
    </row>
    <row r="39" spans="2:12" ht="12.75" customHeight="1" x14ac:dyDescent="0.2">
      <c r="B39" s="108" t="str">
        <f>B13</f>
        <v>Class TGM</v>
      </c>
      <c r="C39" s="109" t="e">
        <f>'LB-10'!AB130</f>
        <v>#VALUE!</v>
      </c>
      <c r="D39" s="109" t="e">
        <f>'LB-10'!AC130</f>
        <v>#VALUE!</v>
      </c>
      <c r="E39" s="110" t="e">
        <f>'LB-10'!AD130</f>
        <v>#VALUE!</v>
      </c>
      <c r="F39" s="111" t="e">
        <f>'LB-10'!W130</f>
        <v>#NUM!</v>
      </c>
      <c r="G39" s="111" t="e">
        <f>'LB-10'!X130</f>
        <v>#NUM!</v>
      </c>
      <c r="H39" s="112" t="e">
        <f>'LB-10'!Y130</f>
        <v>#NUM!</v>
      </c>
      <c r="I39" s="120" t="e">
        <f>'LB-10'!Z130</f>
        <v>#NUM!</v>
      </c>
    </row>
    <row r="40" spans="2:12" ht="12.75" customHeight="1" x14ac:dyDescent="0.2">
      <c r="C40" s="102"/>
      <c r="D40" s="102"/>
      <c r="E40" s="102"/>
      <c r="F40" s="113"/>
      <c r="G40" s="113"/>
      <c r="H40" s="113"/>
      <c r="I40" s="113"/>
    </row>
    <row r="41" spans="2:12" ht="12.75" customHeight="1" x14ac:dyDescent="0.2">
      <c r="C41" s="139" t="s">
        <v>52</v>
      </c>
      <c r="D41" s="140"/>
      <c r="E41" s="140"/>
      <c r="F41" s="140"/>
      <c r="G41" s="140"/>
      <c r="H41" s="140"/>
      <c r="I41" s="141"/>
    </row>
    <row r="42" spans="2:12" ht="12.75" customHeight="1" x14ac:dyDescent="0.2">
      <c r="C42" s="136" t="str">
        <f>CONCATENATE("Over ",$L$3)</f>
        <v>Over ECM-17,0</v>
      </c>
      <c r="D42" s="137"/>
      <c r="E42" s="137"/>
      <c r="F42" s="137"/>
      <c r="G42" s="137"/>
      <c r="H42" s="137"/>
      <c r="I42" s="138"/>
    </row>
    <row r="43" spans="2:12" ht="12.75" customHeight="1" x14ac:dyDescent="0.2">
      <c r="C43" s="90" t="s">
        <v>9</v>
      </c>
      <c r="D43" s="91" t="s">
        <v>10</v>
      </c>
      <c r="E43" s="92" t="s">
        <v>11</v>
      </c>
      <c r="F43" s="93" t="s">
        <v>12</v>
      </c>
      <c r="G43" s="91" t="s">
        <v>13</v>
      </c>
      <c r="H43" s="93" t="s">
        <v>14</v>
      </c>
      <c r="I43" s="115" t="s">
        <v>15</v>
      </c>
      <c r="K43" s="114"/>
      <c r="L43" s="114"/>
    </row>
    <row r="44" spans="2:12" ht="12.75" customHeight="1" x14ac:dyDescent="0.2">
      <c r="B44" s="94" t="str">
        <f>B5</f>
        <v>Class A1</v>
      </c>
      <c r="C44" s="95"/>
      <c r="D44" s="96"/>
      <c r="E44" s="97"/>
      <c r="F44" s="98"/>
      <c r="G44" s="99"/>
      <c r="H44" s="98"/>
      <c r="I44" s="117"/>
    </row>
    <row r="45" spans="2:12" ht="12.75" customHeight="1" x14ac:dyDescent="0.2">
      <c r="B45" s="100" t="str">
        <f>B6</f>
        <v>Class A2</v>
      </c>
      <c r="C45" s="101"/>
      <c r="D45" s="102"/>
      <c r="E45" s="103"/>
      <c r="F45" s="104"/>
      <c r="G45" s="105"/>
      <c r="H45" s="104"/>
      <c r="I45" s="117"/>
    </row>
    <row r="46" spans="2:12" ht="12.75" customHeight="1" x14ac:dyDescent="0.2">
      <c r="B46" s="100" t="str">
        <f>B7</f>
        <v>Class B</v>
      </c>
      <c r="C46" s="101" t="e">
        <f>'LP-10'!AB125</f>
        <v>#VALUE!</v>
      </c>
      <c r="D46" s="102" t="e">
        <f>'LP-10'!AC125</f>
        <v>#VALUE!</v>
      </c>
      <c r="E46" s="103" t="e">
        <f>'LP-10'!AD125</f>
        <v>#VALUE!</v>
      </c>
      <c r="F46" s="104" t="e">
        <f>'LP-10'!W125</f>
        <v>#NUM!</v>
      </c>
      <c r="G46" s="105" t="e">
        <f>'LP-10'!X125</f>
        <v>#NUM!</v>
      </c>
      <c r="H46" s="104" t="e">
        <f>'LP-10'!Y125</f>
        <v>#NUM!</v>
      </c>
      <c r="I46" s="117" t="e">
        <f>'LP-10'!Z125</f>
        <v>#NUM!</v>
      </c>
    </row>
    <row r="47" spans="2:12" ht="12.75" customHeight="1" x14ac:dyDescent="0.2">
      <c r="B47" s="100" t="str">
        <f>B8</f>
        <v>Class C</v>
      </c>
      <c r="C47" s="101" t="e">
        <f>'LP-10'!AB126</f>
        <v>#VALUE!</v>
      </c>
      <c r="D47" s="102" t="e">
        <f>'LP-10'!AC126</f>
        <v>#VALUE!</v>
      </c>
      <c r="E47" s="103" t="e">
        <f>'LP-10'!AD126</f>
        <v>#VALUE!</v>
      </c>
      <c r="F47" s="104" t="e">
        <f>'LP-10'!W126</f>
        <v>#NUM!</v>
      </c>
      <c r="G47" s="105" t="e">
        <f>'LP-10'!X126</f>
        <v>#NUM!</v>
      </c>
      <c r="H47" s="104" t="e">
        <f>'LP-10'!Y126</f>
        <v>#NUM!</v>
      </c>
      <c r="I47" s="117" t="e">
        <f>'LP-10'!Z126</f>
        <v>#NUM!</v>
      </c>
    </row>
    <row r="48" spans="2:12" ht="12.75" customHeight="1" x14ac:dyDescent="0.2">
      <c r="B48" s="100" t="str">
        <f>B9</f>
        <v>Class E</v>
      </c>
      <c r="C48" s="101" t="e">
        <f>'LP-10'!AB128</f>
        <v>#VALUE!</v>
      </c>
      <c r="D48" s="102" t="e">
        <f>'LP-10'!AC128</f>
        <v>#VALUE!</v>
      </c>
      <c r="E48" s="103" t="e">
        <f>'LP-10'!AD128</f>
        <v>#VALUE!</v>
      </c>
      <c r="F48" s="104" t="e">
        <f>'LP-10'!W128</f>
        <v>#NUM!</v>
      </c>
      <c r="G48" s="105" t="e">
        <f>'LP-10'!X128</f>
        <v>#NUM!</v>
      </c>
      <c r="H48" s="104" t="e">
        <f>'LP-10'!Y128</f>
        <v>#NUM!</v>
      </c>
      <c r="I48" s="117" t="e">
        <f>'LP-10'!Z128</f>
        <v>#NUM!</v>
      </c>
    </row>
    <row r="49" spans="2:9" ht="12.75" customHeight="1" x14ac:dyDescent="0.2">
      <c r="B49" s="106" t="s">
        <v>41</v>
      </c>
      <c r="C49" s="95" t="e">
        <f>'LP-10'!AB131</f>
        <v>#VALUE!</v>
      </c>
      <c r="D49" s="96" t="e">
        <f>'LP-10'!AC131</f>
        <v>#VALUE!</v>
      </c>
      <c r="E49" s="97" t="e">
        <f>'LP-10'!AD131</f>
        <v>#VALUE!</v>
      </c>
      <c r="F49" s="98" t="e">
        <f>'LP-10'!W131</f>
        <v>#NUM!</v>
      </c>
      <c r="G49" s="99" t="e">
        <f>'LP-10'!X131</f>
        <v>#NUM!</v>
      </c>
      <c r="H49" s="107" t="e">
        <f>'LP-10'!Y131</f>
        <v>#NUM!</v>
      </c>
      <c r="I49" s="119" t="e">
        <f>'LP-10'!Z131</f>
        <v>#NUM!</v>
      </c>
    </row>
    <row r="50" spans="2:9" ht="12.75" customHeight="1" x14ac:dyDescent="0.2">
      <c r="B50" s="94" t="str">
        <f>B11</f>
        <v>Class D</v>
      </c>
      <c r="C50" s="96" t="e">
        <f>'LP-10'!AB127</f>
        <v>#VALUE!</v>
      </c>
      <c r="D50" s="96" t="e">
        <f>'LP-10'!AC127</f>
        <v>#VALUE!</v>
      </c>
      <c r="E50" s="97" t="e">
        <f>'LP-10'!AD127</f>
        <v>#VALUE!</v>
      </c>
      <c r="F50" s="99" t="e">
        <f>'LP-10'!W127</f>
        <v>#NUM!</v>
      </c>
      <c r="G50" s="99" t="e">
        <f>'LP-10'!X127</f>
        <v>#NUM!</v>
      </c>
      <c r="H50" s="104" t="e">
        <f>'LP-10'!Y127</f>
        <v>#NUM!</v>
      </c>
      <c r="I50" s="117" t="e">
        <f>'LP-10'!Z127</f>
        <v>#NUM!</v>
      </c>
    </row>
    <row r="51" spans="2:9" ht="12.75" customHeight="1" x14ac:dyDescent="0.2">
      <c r="B51" s="100" t="str">
        <f>B12</f>
        <v>Class F</v>
      </c>
      <c r="C51" s="102" t="e">
        <f>'LP-10'!AB129</f>
        <v>#VALUE!</v>
      </c>
      <c r="D51" s="102" t="e">
        <f>'LP-10'!AC129</f>
        <v>#VALUE!</v>
      </c>
      <c r="E51" s="103" t="e">
        <f>'LP-10'!AD129</f>
        <v>#VALUE!</v>
      </c>
      <c r="F51" s="105" t="e">
        <f>'LP-10'!W129</f>
        <v>#NUM!</v>
      </c>
      <c r="G51" s="105" t="e">
        <f>'LP-10'!X129</f>
        <v>#NUM!</v>
      </c>
      <c r="H51" s="104" t="e">
        <f>'LP-10'!Y129</f>
        <v>#NUM!</v>
      </c>
      <c r="I51" s="117" t="e">
        <f>'LP-10'!Z129</f>
        <v>#NUM!</v>
      </c>
    </row>
    <row r="52" spans="2:9" x14ac:dyDescent="0.2">
      <c r="B52" s="108" t="str">
        <f>B26</f>
        <v>Class TGM</v>
      </c>
      <c r="C52" s="109" t="e">
        <f>'LP-10'!AB130</f>
        <v>#VALUE!</v>
      </c>
      <c r="D52" s="109" t="e">
        <f>'LP-10'!AC130</f>
        <v>#VALUE!</v>
      </c>
      <c r="E52" s="110" t="e">
        <f>'LP-10'!AD130</f>
        <v>#VALUE!</v>
      </c>
      <c r="F52" s="111" t="e">
        <f>'LP-10'!W130</f>
        <v>#NUM!</v>
      </c>
      <c r="G52" s="111" t="e">
        <f>'LP-10'!X130</f>
        <v>#NUM!</v>
      </c>
      <c r="H52" s="112" t="e">
        <f>'LP-10'!Y130</f>
        <v>#NUM!</v>
      </c>
      <c r="I52" s="120" t="e">
        <f>'LP-10'!Z130</f>
        <v>#NUM!</v>
      </c>
    </row>
  </sheetData>
  <mergeCells count="8">
    <mergeCell ref="C29:I29"/>
    <mergeCell ref="C41:I41"/>
    <mergeCell ref="C42:I42"/>
    <mergeCell ref="C2:I2"/>
    <mergeCell ref="C3:I3"/>
    <mergeCell ref="C15:I15"/>
    <mergeCell ref="C16:I16"/>
    <mergeCell ref="C28:I28"/>
  </mergeCells>
  <phoneticPr fontId="7" type="noConversion"/>
  <conditionalFormatting sqref="C6:E6">
    <cfRule type="cellIs" dxfId="1231" priority="215" stopIfTrue="1" operator="greaterThan">
      <formula>0.03</formula>
    </cfRule>
    <cfRule type="cellIs" dxfId="1230" priority="216" stopIfTrue="1" operator="lessThan">
      <formula>-0.03</formula>
    </cfRule>
  </conditionalFormatting>
  <conditionalFormatting sqref="C10:E10">
    <cfRule type="cellIs" dxfId="1229" priority="401" stopIfTrue="1" operator="greaterThan">
      <formula>0.03</formula>
    </cfRule>
    <cfRule type="cellIs" dxfId="1228" priority="402" stopIfTrue="1" operator="lessThan">
      <formula>-0.03</formula>
    </cfRule>
  </conditionalFormatting>
  <conditionalFormatting sqref="C11:E11">
    <cfRule type="cellIs" dxfId="1227" priority="151" stopIfTrue="1" operator="greaterThan">
      <formula>0.03</formula>
    </cfRule>
    <cfRule type="cellIs" dxfId="1226" priority="152" stopIfTrue="1" operator="lessThan">
      <formula>-0.03</formula>
    </cfRule>
  </conditionalFormatting>
  <conditionalFormatting sqref="C19:E19">
    <cfRule type="cellIs" dxfId="1225" priority="29" stopIfTrue="1" operator="greaterThan">
      <formula>0.03</formula>
    </cfRule>
    <cfRule type="cellIs" dxfId="1224" priority="30" stopIfTrue="1" operator="lessThan">
      <formula>-0.03</formula>
    </cfRule>
  </conditionalFormatting>
  <conditionalFormatting sqref="C23:E23">
    <cfRule type="cellIs" dxfId="1223" priority="33" stopIfTrue="1" operator="greaterThan">
      <formula>0.03</formula>
    </cfRule>
    <cfRule type="cellIs" dxfId="1222" priority="34" stopIfTrue="1" operator="lessThan">
      <formula>-0.03</formula>
    </cfRule>
  </conditionalFormatting>
  <conditionalFormatting sqref="C24:E24">
    <cfRule type="cellIs" dxfId="1221" priority="27" stopIfTrue="1" operator="greaterThan">
      <formula>0.03</formula>
    </cfRule>
    <cfRule type="cellIs" dxfId="1220" priority="28" stopIfTrue="1" operator="lessThan">
      <formula>-0.03</formula>
    </cfRule>
  </conditionalFormatting>
  <conditionalFormatting sqref="C26:E26">
    <cfRule type="cellIs" dxfId="1219" priority="25" stopIfTrue="1" operator="greaterThan">
      <formula>0.03</formula>
    </cfRule>
    <cfRule type="cellIs" dxfId="1218" priority="26" stopIfTrue="1" operator="lessThan">
      <formula>-0.03</formula>
    </cfRule>
  </conditionalFormatting>
  <conditionalFormatting sqref="C27:E27">
    <cfRule type="cellIs" dxfId="1217" priority="133" stopIfTrue="1" operator="greaterThan">
      <formula>0.03</formula>
    </cfRule>
    <cfRule type="cellIs" dxfId="1216" priority="134" stopIfTrue="1" operator="lessThan">
      <formula>-0.03</formula>
    </cfRule>
  </conditionalFormatting>
  <conditionalFormatting sqref="C32:E32">
    <cfRule type="cellIs" dxfId="1215" priority="17" stopIfTrue="1" operator="greaterThan">
      <formula>0.03</formula>
    </cfRule>
    <cfRule type="cellIs" dxfId="1214" priority="18" stopIfTrue="1" operator="lessThan">
      <formula>-0.03</formula>
    </cfRule>
  </conditionalFormatting>
  <conditionalFormatting sqref="C36:E36">
    <cfRule type="cellIs" dxfId="1213" priority="21" stopIfTrue="1" operator="greaterThan">
      <formula>0.03</formula>
    </cfRule>
    <cfRule type="cellIs" dxfId="1212" priority="22" stopIfTrue="1" operator="lessThan">
      <formula>-0.03</formula>
    </cfRule>
  </conditionalFormatting>
  <conditionalFormatting sqref="C37:E37">
    <cfRule type="cellIs" dxfId="1211" priority="15" stopIfTrue="1" operator="greaterThan">
      <formula>0.03</formula>
    </cfRule>
    <cfRule type="cellIs" dxfId="1210" priority="16" stopIfTrue="1" operator="lessThan">
      <formula>-0.03</formula>
    </cfRule>
  </conditionalFormatting>
  <conditionalFormatting sqref="C39:E39">
    <cfRule type="cellIs" dxfId="1209" priority="13" stopIfTrue="1" operator="greaterThan">
      <formula>0.03</formula>
    </cfRule>
    <cfRule type="cellIs" dxfId="1208" priority="14" stopIfTrue="1" operator="lessThan">
      <formula>-0.03</formula>
    </cfRule>
  </conditionalFormatting>
  <conditionalFormatting sqref="C40:E40">
    <cfRule type="cellIs" dxfId="1207" priority="131" stopIfTrue="1" operator="greaterThan">
      <formula>0.03</formula>
    </cfRule>
    <cfRule type="cellIs" dxfId="1206" priority="132" stopIfTrue="1" operator="lessThan">
      <formula>-0.03</formula>
    </cfRule>
  </conditionalFormatting>
  <conditionalFormatting sqref="C45:E45">
    <cfRule type="cellIs" dxfId="1205" priority="5" stopIfTrue="1" operator="greaterThan">
      <formula>0.03</formula>
    </cfRule>
    <cfRule type="cellIs" dxfId="1204" priority="6" stopIfTrue="1" operator="lessThan">
      <formula>-0.03</formula>
    </cfRule>
  </conditionalFormatting>
  <conditionalFormatting sqref="C49:E49">
    <cfRule type="cellIs" dxfId="1203" priority="9" stopIfTrue="1" operator="greaterThan">
      <formula>0.03</formula>
    </cfRule>
    <cfRule type="cellIs" dxfId="1202" priority="10" stopIfTrue="1" operator="lessThan">
      <formula>-0.03</formula>
    </cfRule>
  </conditionalFormatting>
  <conditionalFormatting sqref="C50:E50">
    <cfRule type="cellIs" dxfId="1201" priority="3" stopIfTrue="1" operator="greaterThan">
      <formula>0.03</formula>
    </cfRule>
    <cfRule type="cellIs" dxfId="1200" priority="4" stopIfTrue="1" operator="lessThan">
      <formula>-0.03</formula>
    </cfRule>
  </conditionalFormatting>
  <conditionalFormatting sqref="C52:E52">
    <cfRule type="cellIs" dxfId="1199" priority="1" stopIfTrue="1" operator="greaterThan">
      <formula>0.03</formula>
    </cfRule>
    <cfRule type="cellIs" dxfId="1198" priority="2" stopIfTrue="1" operator="lessThan">
      <formula>-0.03</formula>
    </cfRule>
  </conditionalFormatting>
  <conditionalFormatting sqref="C5:E5 C7:E8">
    <cfRule type="cellIs" dxfId="1197" priority="399" stopIfTrue="1" operator="greaterThan">
      <formula>0.03</formula>
    </cfRule>
    <cfRule type="cellIs" dxfId="1196" priority="400" stopIfTrue="1" operator="lessThan">
      <formula>-0.03</formula>
    </cfRule>
  </conditionalFormatting>
  <conditionalFormatting sqref="C9:E9 C12:E12">
    <cfRule type="cellIs" dxfId="1195" priority="475" stopIfTrue="1" operator="greaterThan">
      <formula>0.03</formula>
    </cfRule>
    <cfRule type="cellIs" dxfId="1194" priority="476" stopIfTrue="1" operator="lessThan">
      <formula>-0.03</formula>
    </cfRule>
  </conditionalFormatting>
  <conditionalFormatting sqref="C13:E14">
    <cfRule type="cellIs" dxfId="1193" priority="135" stopIfTrue="1" operator="greaterThan">
      <formula>0.03</formula>
    </cfRule>
    <cfRule type="cellIs" dxfId="1192" priority="136" stopIfTrue="1" operator="lessThan">
      <formula>-0.03</formula>
    </cfRule>
  </conditionalFormatting>
  <conditionalFormatting sqref="C18:E18 C20:E21">
    <cfRule type="cellIs" dxfId="1191" priority="31" stopIfTrue="1" operator="greaterThan">
      <formula>0.03</formula>
    </cfRule>
    <cfRule type="cellIs" dxfId="1190" priority="32" stopIfTrue="1" operator="lessThan">
      <formula>-0.03</formula>
    </cfRule>
  </conditionalFormatting>
  <conditionalFormatting sqref="C22:E22 C25:E25">
    <cfRule type="cellIs" dxfId="1189" priority="35" stopIfTrue="1" operator="greaterThan">
      <formula>0.03</formula>
    </cfRule>
    <cfRule type="cellIs" dxfId="1188" priority="36" stopIfTrue="1" operator="lessThan">
      <formula>-0.03</formula>
    </cfRule>
  </conditionalFormatting>
  <conditionalFormatting sqref="C31:E31 C33:E34">
    <cfRule type="cellIs" dxfId="1187" priority="19" stopIfTrue="1" operator="greaterThan">
      <formula>0.03</formula>
    </cfRule>
    <cfRule type="cellIs" dxfId="1186" priority="20" stopIfTrue="1" operator="lessThan">
      <formula>-0.03</formula>
    </cfRule>
  </conditionalFormatting>
  <conditionalFormatting sqref="C35:E35 C38:E38">
    <cfRule type="cellIs" dxfId="1185" priority="23" stopIfTrue="1" operator="greaterThan">
      <formula>0.03</formula>
    </cfRule>
    <cfRule type="cellIs" dxfId="1184" priority="24" stopIfTrue="1" operator="lessThan">
      <formula>-0.03</formula>
    </cfRule>
  </conditionalFormatting>
  <conditionalFormatting sqref="C44:E44 C46:E47">
    <cfRule type="cellIs" dxfId="1183" priority="7" stopIfTrue="1" operator="greaterThan">
      <formula>0.03</formula>
    </cfRule>
    <cfRule type="cellIs" dxfId="1182" priority="8" stopIfTrue="1" operator="lessThan">
      <formula>-0.03</formula>
    </cfRule>
  </conditionalFormatting>
  <conditionalFormatting sqref="C48:E48 C51:E51">
    <cfRule type="cellIs" dxfId="1181" priority="11" stopIfTrue="1" operator="greaterThan">
      <formula>0.03</formula>
    </cfRule>
    <cfRule type="cellIs" dxfId="1180" priority="12" stopIfTrue="1" operator="lessThan">
      <formula>-0.03</formula>
    </cfRule>
  </conditionalFormatting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75" defaultRowHeight="14.25" x14ac:dyDescent="0.15"/>
  <cols>
    <col min="2" max="2" width="21.25" customWidth="1"/>
    <col min="25" max="26" width="9" customWidth="1"/>
    <col min="27" max="27" width="16.25" customWidth="1"/>
    <col min="28" max="39" width="9" customWidth="1"/>
  </cols>
  <sheetData>
    <row r="1" spans="1:43" ht="16.5" customHeight="1" x14ac:dyDescent="0.15">
      <c r="A1" t="s">
        <v>53</v>
      </c>
      <c r="AD1" t="s">
        <v>54</v>
      </c>
      <c r="AI1" t="s">
        <v>55</v>
      </c>
      <c r="AN1" t="s">
        <v>56</v>
      </c>
    </row>
    <row r="2" spans="1:43" ht="16.5" customHeight="1" x14ac:dyDescent="0.2">
      <c r="A2" s="85" t="s">
        <v>57</v>
      </c>
      <c r="B2" s="85" t="s">
        <v>58</v>
      </c>
      <c r="AD2" s="31" t="s">
        <v>59</v>
      </c>
      <c r="AE2" s="18" t="s">
        <v>60</v>
      </c>
      <c r="AF2" s="18" t="s">
        <v>61</v>
      </c>
      <c r="AG2" s="18" t="s">
        <v>62</v>
      </c>
      <c r="AI2" s="31" t="s">
        <v>59</v>
      </c>
      <c r="AJ2" s="18" t="s">
        <v>60</v>
      </c>
      <c r="AK2" s="18" t="s">
        <v>61</v>
      </c>
      <c r="AL2" s="18" t="s">
        <v>62</v>
      </c>
      <c r="AN2" s="31" t="s">
        <v>59</v>
      </c>
      <c r="AO2" s="18" t="s">
        <v>60</v>
      </c>
      <c r="AP2" s="18" t="s">
        <v>61</v>
      </c>
      <c r="AQ2" s="18" t="s">
        <v>62</v>
      </c>
    </row>
    <row r="3" spans="1:43" x14ac:dyDescent="0.15">
      <c r="Z3" t="s">
        <v>63</v>
      </c>
      <c r="AA3" t="s">
        <v>64</v>
      </c>
      <c r="AB3">
        <v>3</v>
      </c>
      <c r="AC3">
        <f>VLOOKUP(B2,AA3:AB43,2,FALSE)</f>
        <v>71</v>
      </c>
      <c r="AD3">
        <f ca="1">INDIRECT("'"&amp;$A$2&amp;"'!"&amp;ADDRESS($AC3,4))</f>
        <v>1265.1568</v>
      </c>
      <c r="AE3">
        <f ca="1">INDIRECT("'"&amp;$A$2&amp;"'!"&amp;ADDRESS($AC3,5))</f>
        <v>38.413699999999999</v>
      </c>
      <c r="AF3">
        <f ca="1">INDIRECT("'"&amp;$A$2&amp;"'!"&amp;ADDRESS($AC3,6))</f>
        <v>40.975900000000003</v>
      </c>
      <c r="AG3">
        <f ca="1">INDIRECT("'"&amp;$A$2&amp;"'!"&amp;ADDRESS($AC3,7))</f>
        <v>41.943800000000003</v>
      </c>
      <c r="AI3">
        <f ca="1">INDIRECT("'"&amp;$A$2&amp;"'!"&amp;ADDRESS($AC3,13))</f>
        <v>0</v>
      </c>
      <c r="AJ3">
        <f ca="1">INDIRECT("'"&amp;$A$2&amp;"'!"&amp;ADDRESS($AC3,14))</f>
        <v>0</v>
      </c>
      <c r="AK3">
        <f ca="1">INDIRECT("'"&amp;$A$2&amp;"'!"&amp;ADDRESS($AC3,15))</f>
        <v>0</v>
      </c>
      <c r="AL3">
        <f ca="1">INDIRECT("'"&amp;$A$2&amp;"'!"&amp;ADDRESS($AC3,16))</f>
        <v>0</v>
      </c>
      <c r="AN3" t="e">
        <f ca="1">INDIRECT("'"&amp;$A$2&amp;"'!"&amp;ADDRESS($AC3,29))</f>
        <v>#VALUE!</v>
      </c>
      <c r="AO3" t="e">
        <f ca="1">INDIRECT("'"&amp;$A$2&amp;"'!"&amp;ADDRESS($AC3,30))</f>
        <v>#VALUE!</v>
      </c>
      <c r="AP3" t="e">
        <f ca="1">INDIRECT("'"&amp;$A$2&amp;"'!"&amp;ADDRESS($AC3,31))</f>
        <v>#VALUE!</v>
      </c>
      <c r="AQ3" t="e">
        <f ca="1">INDIRECT("'"&amp;$A$2&amp;"'!"&amp;ADDRESS($AC3,32))</f>
        <v>#VALUE!</v>
      </c>
    </row>
    <row r="4" spans="1:43" x14ac:dyDescent="0.15">
      <c r="Z4" t="s">
        <v>65</v>
      </c>
      <c r="AA4" t="s">
        <v>66</v>
      </c>
      <c r="AB4">
        <f t="shared" ref="AB4:AB28" si="0">AB3+4</f>
        <v>7</v>
      </c>
      <c r="AC4">
        <f>AC3+1</f>
        <v>72</v>
      </c>
      <c r="AD4">
        <f ca="1">INDIRECT("'"&amp;$A$2&amp;"'!"&amp;ADDRESS($AC4,4))</f>
        <v>499.8032</v>
      </c>
      <c r="AE4">
        <f ca="1">INDIRECT("'"&amp;$A$2&amp;"'!"&amp;ADDRESS($AC4,5))</f>
        <v>34.720500000000001</v>
      </c>
      <c r="AF4">
        <f ca="1">INDIRECT("'"&amp;$A$2&amp;"'!"&amp;ADDRESS($AC4,6))</f>
        <v>38.085999999999999</v>
      </c>
      <c r="AG4">
        <f ca="1">INDIRECT("'"&amp;$A$2&amp;"'!"&amp;ADDRESS($AC4,7))</f>
        <v>38.8611</v>
      </c>
      <c r="AI4">
        <f ca="1">INDIRECT("'"&amp;$A$2&amp;"'!"&amp;ADDRESS($AC4,13))</f>
        <v>0</v>
      </c>
      <c r="AJ4">
        <f ca="1">INDIRECT("'"&amp;$A$2&amp;"'!"&amp;ADDRESS($AC4,14))</f>
        <v>0</v>
      </c>
      <c r="AK4">
        <f ca="1">INDIRECT("'"&amp;$A$2&amp;"'!"&amp;ADDRESS($AC4,15))</f>
        <v>0</v>
      </c>
      <c r="AL4">
        <f ca="1">INDIRECT("'"&amp;$A$2&amp;"'!"&amp;ADDRESS($AC4,16))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15">
      <c r="Z5" t="s">
        <v>57</v>
      </c>
      <c r="AA5" t="s">
        <v>67</v>
      </c>
      <c r="AB5">
        <f t="shared" si="0"/>
        <v>11</v>
      </c>
      <c r="AC5">
        <f>AC4+1</f>
        <v>73</v>
      </c>
      <c r="AD5">
        <f ca="1">INDIRECT("'"&amp;$A$2&amp;"'!"&amp;ADDRESS($AC5,4))</f>
        <v>227.58240000000001</v>
      </c>
      <c r="AE5">
        <f ca="1">INDIRECT("'"&amp;$A$2&amp;"'!"&amp;ADDRESS($AC5,5))</f>
        <v>31.5746</v>
      </c>
      <c r="AF5">
        <f ca="1">INDIRECT("'"&amp;$A$2&amp;"'!"&amp;ADDRESS($AC5,6))</f>
        <v>35.999499999999998</v>
      </c>
      <c r="AG5">
        <f ca="1">INDIRECT("'"&amp;$A$2&amp;"'!"&amp;ADDRESS($AC5,7))</f>
        <v>36.665399999999998</v>
      </c>
      <c r="AI5">
        <f ca="1">INDIRECT("'"&amp;$A$2&amp;"'!"&amp;ADDRESS($AC5,13))</f>
        <v>0</v>
      </c>
      <c r="AJ5">
        <f ca="1">INDIRECT("'"&amp;$A$2&amp;"'!"&amp;ADDRESS($AC5,14))</f>
        <v>0</v>
      </c>
      <c r="AK5">
        <f ca="1">INDIRECT("'"&amp;$A$2&amp;"'!"&amp;ADDRESS($AC5,15))</f>
        <v>0</v>
      </c>
      <c r="AL5">
        <f ca="1">INDIRECT("'"&amp;$A$2&amp;"'!"&amp;ADDRESS($AC5,16))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15">
      <c r="Z6" t="s">
        <v>68</v>
      </c>
      <c r="AA6" t="s">
        <v>69</v>
      </c>
      <c r="AB6">
        <f t="shared" si="0"/>
        <v>15</v>
      </c>
      <c r="AC6">
        <f>AC5+1</f>
        <v>74</v>
      </c>
      <c r="AD6">
        <f ca="1">INDIRECT("'"&amp;$A$2&amp;"'!"&amp;ADDRESS($AC6,4))</f>
        <v>105.46720000000001</v>
      </c>
      <c r="AE6">
        <f ca="1">INDIRECT("'"&amp;$A$2&amp;"'!"&amp;ADDRESS($AC6,5))</f>
        <v>28.816299999999998</v>
      </c>
      <c r="AF6">
        <f ca="1">INDIRECT("'"&amp;$A$2&amp;"'!"&amp;ADDRESS($AC6,6))</f>
        <v>34.699399999999997</v>
      </c>
      <c r="AG6">
        <f ca="1">INDIRECT("'"&amp;$A$2&amp;"'!"&amp;ADDRESS($AC6,7))</f>
        <v>35.283799999999999</v>
      </c>
      <c r="AI6">
        <f ca="1">INDIRECT("'"&amp;$A$2&amp;"'!"&amp;ADDRESS($AC6,13))</f>
        <v>0</v>
      </c>
      <c r="AJ6">
        <f ca="1">INDIRECT("'"&amp;$A$2&amp;"'!"&amp;ADDRESS($AC6,14))</f>
        <v>0</v>
      </c>
      <c r="AK6">
        <f ca="1">INDIRECT("'"&amp;$A$2&amp;"'!"&amp;ADDRESS($AC6,15))</f>
        <v>0</v>
      </c>
      <c r="AL6">
        <f ca="1">INDIRECT("'"&amp;$A$2&amp;"'!"&amp;ADDRESS($AC6,16))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15">
      <c r="AA7" t="s">
        <v>70</v>
      </c>
      <c r="AB7">
        <f t="shared" si="0"/>
        <v>19</v>
      </c>
    </row>
    <row r="8" spans="1:43" x14ac:dyDescent="0.15">
      <c r="AA8" t="s">
        <v>71</v>
      </c>
      <c r="AB8">
        <f t="shared" si="0"/>
        <v>23</v>
      </c>
      <c r="AD8" t="str">
        <f>"Sequence: "&amp;B2&amp;"     Coding Conditions: "&amp;A2</f>
        <v>Sequence: BlowingBubbles     Coding Conditions: LB-10</v>
      </c>
    </row>
    <row r="9" spans="1:43" x14ac:dyDescent="0.15">
      <c r="AA9" t="s">
        <v>72</v>
      </c>
      <c r="AB9">
        <f t="shared" si="0"/>
        <v>27</v>
      </c>
    </row>
    <row r="10" spans="1:43" x14ac:dyDescent="0.15">
      <c r="AA10" t="s">
        <v>73</v>
      </c>
      <c r="AB10">
        <f t="shared" si="0"/>
        <v>31</v>
      </c>
    </row>
    <row r="11" spans="1:43" x14ac:dyDescent="0.15">
      <c r="AA11" t="s">
        <v>74</v>
      </c>
      <c r="AB11">
        <f t="shared" si="0"/>
        <v>35</v>
      </c>
      <c r="AD11" t="s">
        <v>75</v>
      </c>
      <c r="AE11" t="s">
        <v>76</v>
      </c>
      <c r="AF11" t="s">
        <v>77</v>
      </c>
      <c r="AG11" t="s">
        <v>78</v>
      </c>
    </row>
    <row r="12" spans="1:43" ht="15" x14ac:dyDescent="0.2">
      <c r="AA12" t="s">
        <v>79</v>
      </c>
      <c r="AB12">
        <f t="shared" si="0"/>
        <v>39</v>
      </c>
      <c r="AD12" s="86" t="e">
        <f ca="1">MAX(AD3:AD6,AI3:AI6,AN3:AN6)</f>
        <v>#VALUE!</v>
      </c>
      <c r="AE12" s="86" t="e">
        <f ca="1">MAX(AE3:AE6,AJ3:AJ6,AO3:AO6)</f>
        <v>#VALUE!</v>
      </c>
      <c r="AF12" s="86" t="e">
        <f ca="1">MAX(AF3:AF6,AK3:AK6,AP3:AP6)</f>
        <v>#VALUE!</v>
      </c>
      <c r="AG12" s="86" t="e">
        <f ca="1">MAX(AG3:AG6,AL3:AL6,AQ3:AQ6)</f>
        <v>#VALUE!</v>
      </c>
    </row>
    <row r="13" spans="1:43" ht="15" x14ac:dyDescent="0.2">
      <c r="AA13" t="s">
        <v>80</v>
      </c>
      <c r="AB13">
        <f t="shared" si="0"/>
        <v>43</v>
      </c>
      <c r="AD13" s="86" t="e">
        <f ca="1">MIN(AD3:AD6,AI3:AI6,AN3:AN6)</f>
        <v>#VALUE!</v>
      </c>
      <c r="AE13" s="86" t="e">
        <f ca="1">MIN(AE3:AE6,AJ3:AJ6,AO3:AO6)</f>
        <v>#VALUE!</v>
      </c>
      <c r="AF13" s="86" t="e">
        <f ca="1">MIN(AF3:AF6,AK3:AK6,AP3:AP6)</f>
        <v>#VALUE!</v>
      </c>
      <c r="AG13" s="86" t="e">
        <f ca="1">MIN(AG3:AG6,AL3:AL6,AQ3:AQ6)</f>
        <v>#VALUE!</v>
      </c>
    </row>
    <row r="14" spans="1:43" ht="15" x14ac:dyDescent="0.2">
      <c r="AA14" t="s">
        <v>81</v>
      </c>
      <c r="AB14">
        <f t="shared" si="0"/>
        <v>47</v>
      </c>
      <c r="AD14" s="87"/>
      <c r="AE14" s="87"/>
      <c r="AF14" s="87"/>
      <c r="AG14" s="87"/>
    </row>
    <row r="15" spans="1:43" ht="15" x14ac:dyDescent="0.2">
      <c r="AA15" t="s">
        <v>82</v>
      </c>
      <c r="AB15">
        <f t="shared" si="0"/>
        <v>51</v>
      </c>
      <c r="AD15" s="87" t="e">
        <f ca="1">POWER(10,CEILING(LOG(AD12+1),1))</f>
        <v>#VALUE!</v>
      </c>
      <c r="AE15" s="88" t="e">
        <f ca="1">CEILING(AE12+0.25,0.5)</f>
        <v>#VALUE!</v>
      </c>
      <c r="AF15" s="88" t="e">
        <f ca="1">CEILING(AF12+0.25,0.5)</f>
        <v>#VALUE!</v>
      </c>
      <c r="AG15" s="88" t="e">
        <f ca="1">CEILING(AG12+0.25,0.5)</f>
        <v>#VALUE!</v>
      </c>
    </row>
    <row r="16" spans="1:43" ht="15" x14ac:dyDescent="0.2">
      <c r="AA16" t="s">
        <v>83</v>
      </c>
      <c r="AB16">
        <f t="shared" si="0"/>
        <v>55</v>
      </c>
      <c r="AD16" s="87" t="e">
        <f ca="1">POWER(10,FLOOR(LOG(AD13+10),1))</f>
        <v>#VALUE!</v>
      </c>
      <c r="AE16" s="88" t="e">
        <f ca="1">FLOOR(AE13-0.25,0.5)</f>
        <v>#VALUE!</v>
      </c>
      <c r="AF16" s="88" t="e">
        <f ca="1">FLOOR(AF13-0.25,0.5)</f>
        <v>#VALUE!</v>
      </c>
      <c r="AG16" s="88" t="e">
        <f ca="1">FLOOR(AG13-0.25,0.5)</f>
        <v>#VALUE!</v>
      </c>
    </row>
    <row r="17" spans="27:28" x14ac:dyDescent="0.15">
      <c r="AA17" t="s">
        <v>84</v>
      </c>
      <c r="AB17">
        <f t="shared" si="0"/>
        <v>59</v>
      </c>
    </row>
    <row r="18" spans="27:28" x14ac:dyDescent="0.15">
      <c r="AA18" t="s">
        <v>85</v>
      </c>
      <c r="AB18">
        <f t="shared" si="0"/>
        <v>63</v>
      </c>
    </row>
    <row r="19" spans="27:28" x14ac:dyDescent="0.15">
      <c r="AA19" t="s">
        <v>86</v>
      </c>
      <c r="AB19">
        <f t="shared" si="0"/>
        <v>67</v>
      </c>
    </row>
    <row r="20" spans="27:28" x14ac:dyDescent="0.15">
      <c r="AA20" t="s">
        <v>58</v>
      </c>
      <c r="AB20">
        <f t="shared" si="0"/>
        <v>71</v>
      </c>
    </row>
    <row r="21" spans="27:28" x14ac:dyDescent="0.15">
      <c r="AA21" t="s">
        <v>87</v>
      </c>
      <c r="AB21">
        <f t="shared" si="0"/>
        <v>75</v>
      </c>
    </row>
    <row r="22" spans="27:28" x14ac:dyDescent="0.15">
      <c r="AA22" t="s">
        <v>88</v>
      </c>
      <c r="AB22">
        <f t="shared" si="0"/>
        <v>79</v>
      </c>
    </row>
    <row r="23" spans="27:28" x14ac:dyDescent="0.15">
      <c r="AA23" t="s">
        <v>89</v>
      </c>
      <c r="AB23">
        <f t="shared" si="0"/>
        <v>83</v>
      </c>
    </row>
    <row r="24" spans="27:28" x14ac:dyDescent="0.15">
      <c r="AA24" t="s">
        <v>90</v>
      </c>
      <c r="AB24">
        <f t="shared" si="0"/>
        <v>87</v>
      </c>
    </row>
    <row r="25" spans="27:28" x14ac:dyDescent="0.15">
      <c r="AA25" t="s">
        <v>91</v>
      </c>
      <c r="AB25">
        <f t="shared" si="0"/>
        <v>91</v>
      </c>
    </row>
    <row r="26" spans="27:28" x14ac:dyDescent="0.15">
      <c r="AA26" t="s">
        <v>92</v>
      </c>
      <c r="AB26">
        <f t="shared" si="0"/>
        <v>95</v>
      </c>
    </row>
    <row r="27" spans="27:28" x14ac:dyDescent="0.15">
      <c r="AA27" t="s">
        <v>93</v>
      </c>
      <c r="AB27">
        <f t="shared" si="0"/>
        <v>99</v>
      </c>
    </row>
    <row r="28" spans="27:28" x14ac:dyDescent="0.15">
      <c r="AA28" t="s">
        <v>94</v>
      </c>
      <c r="AB28">
        <f t="shared" si="0"/>
        <v>103</v>
      </c>
    </row>
    <row r="33" spans="27:27" ht="15" x14ac:dyDescent="0.2">
      <c r="AA33" s="2"/>
    </row>
    <row r="34" spans="27:27" ht="15" x14ac:dyDescent="0.2">
      <c r="AA34" s="2"/>
    </row>
    <row r="35" spans="27:27" ht="15" x14ac:dyDescent="0.2">
      <c r="AA35" s="2"/>
    </row>
    <row r="36" spans="27:27" ht="15" x14ac:dyDescent="0.2">
      <c r="AA36" s="2"/>
    </row>
    <row r="37" spans="27:27" ht="15" x14ac:dyDescent="0.2">
      <c r="AA37" s="2"/>
    </row>
    <row r="38" spans="27:27" ht="15" x14ac:dyDescent="0.2">
      <c r="AA38" s="2"/>
    </row>
    <row r="39" spans="27:27" ht="15" x14ac:dyDescent="0.2">
      <c r="AA39" s="2"/>
    </row>
    <row r="40" spans="27:27" ht="15" x14ac:dyDescent="0.2">
      <c r="AA40" s="2"/>
    </row>
    <row r="41" spans="27:27" ht="15" x14ac:dyDescent="0.2">
      <c r="AA41" s="2"/>
    </row>
    <row r="42" spans="27:27" ht="15" x14ac:dyDescent="0.2">
      <c r="AA42" s="2"/>
    </row>
    <row r="43" spans="27:27" ht="15" x14ac:dyDescent="0.2">
      <c r="AA43" s="2"/>
    </row>
    <row r="44" spans="27:27" ht="15" x14ac:dyDescent="0.2">
      <c r="AA44" s="2"/>
    </row>
    <row r="45" spans="27:27" ht="15" x14ac:dyDescent="0.2">
      <c r="AA45" s="2"/>
    </row>
    <row r="46" spans="27:27" ht="15" x14ac:dyDescent="0.2">
      <c r="AA46" s="2"/>
    </row>
    <row r="47" spans="27:27" ht="15" x14ac:dyDescent="0.2">
      <c r="AA47" s="2"/>
    </row>
    <row r="48" spans="27:27" ht="15" x14ac:dyDescent="0.2">
      <c r="AA48" s="2"/>
    </row>
    <row r="49" spans="27:27" ht="15" x14ac:dyDescent="0.2">
      <c r="AA49" s="2"/>
    </row>
    <row r="50" spans="27:27" ht="15" x14ac:dyDescent="0.2">
      <c r="AA50" s="2"/>
    </row>
    <row r="51" spans="27:27" ht="15" x14ac:dyDescent="0.2">
      <c r="AA51" s="2"/>
    </row>
    <row r="52" spans="27:27" ht="15" x14ac:dyDescent="0.2">
      <c r="AA52" s="2"/>
    </row>
    <row r="53" spans="27:27" ht="15" x14ac:dyDescent="0.2">
      <c r="AA53" s="2"/>
    </row>
    <row r="54" spans="27:27" ht="15" x14ac:dyDescent="0.2">
      <c r="AA54" s="2"/>
    </row>
    <row r="55" spans="27:27" ht="15" x14ac:dyDescent="0.2">
      <c r="AA55" s="2"/>
    </row>
    <row r="56" spans="27:27" ht="15" x14ac:dyDescent="0.2">
      <c r="AA56" s="2"/>
    </row>
    <row r="57" spans="27:27" ht="15" x14ac:dyDescent="0.2">
      <c r="AA57" s="2"/>
    </row>
    <row r="58" spans="27:27" ht="15" x14ac:dyDescent="0.2">
      <c r="AA58" s="2"/>
    </row>
    <row r="59" spans="27:27" ht="15" x14ac:dyDescent="0.2">
      <c r="AA59" s="2"/>
    </row>
    <row r="60" spans="27:27" ht="15" x14ac:dyDescent="0.2">
      <c r="AA60" s="2"/>
    </row>
    <row r="61" spans="27:27" ht="15" x14ac:dyDescent="0.2">
      <c r="AA61" s="2"/>
    </row>
    <row r="62" spans="27:27" ht="15" x14ac:dyDescent="0.2">
      <c r="AA62" s="2"/>
    </row>
    <row r="63" spans="27:27" ht="15" x14ac:dyDescent="0.2">
      <c r="AA63" s="2"/>
    </row>
    <row r="64" spans="27:27" ht="15" x14ac:dyDescent="0.2">
      <c r="AA64" s="2"/>
    </row>
    <row r="65" spans="27:27" ht="15" x14ac:dyDescent="0.2">
      <c r="AA65" s="2"/>
    </row>
    <row r="66" spans="27:27" ht="15" x14ac:dyDescent="0.2">
      <c r="AA66" s="2"/>
    </row>
    <row r="67" spans="27:27" ht="15" x14ac:dyDescent="0.2">
      <c r="AA67" s="2"/>
    </row>
    <row r="68" spans="27:27" ht="15" x14ac:dyDescent="0.2">
      <c r="AA68" s="2"/>
    </row>
    <row r="69" spans="27:27" ht="15" x14ac:dyDescent="0.2">
      <c r="AA69" s="2"/>
    </row>
    <row r="70" spans="27:27" ht="15" x14ac:dyDescent="0.2">
      <c r="AA70" s="2"/>
    </row>
    <row r="71" spans="27:27" ht="15" x14ac:dyDescent="0.2">
      <c r="AA71" s="2"/>
    </row>
    <row r="72" spans="27:27" ht="15" x14ac:dyDescent="0.2">
      <c r="AA72" s="2"/>
    </row>
    <row r="73" spans="27:27" ht="15" x14ac:dyDescent="0.2">
      <c r="AA73" s="2"/>
    </row>
    <row r="74" spans="27:27" ht="15" x14ac:dyDescent="0.2">
      <c r="AA74" s="2"/>
    </row>
    <row r="75" spans="27:27" ht="15" x14ac:dyDescent="0.2">
      <c r="AA75" s="2"/>
    </row>
    <row r="76" spans="27:27" ht="15" x14ac:dyDescent="0.2">
      <c r="AA76" s="2"/>
    </row>
    <row r="77" spans="27:27" ht="15" x14ac:dyDescent="0.2">
      <c r="AA77" s="2"/>
    </row>
    <row r="78" spans="27:27" ht="15" x14ac:dyDescent="0.2">
      <c r="AA78" s="2"/>
    </row>
    <row r="79" spans="27:27" ht="15" x14ac:dyDescent="0.2">
      <c r="AA79" s="2"/>
    </row>
    <row r="80" spans="27:27" ht="15" x14ac:dyDescent="0.2">
      <c r="AA80" s="2"/>
    </row>
    <row r="81" spans="27:27" ht="15" x14ac:dyDescent="0.2">
      <c r="AA81" s="2"/>
    </row>
    <row r="82" spans="27:27" ht="15" x14ac:dyDescent="0.2">
      <c r="AA82" s="2"/>
    </row>
    <row r="83" spans="27:27" ht="15" x14ac:dyDescent="0.2">
      <c r="AA83" s="2"/>
    </row>
    <row r="84" spans="27:27" ht="15" x14ac:dyDescent="0.2">
      <c r="AA84" s="2"/>
    </row>
    <row r="85" spans="27:27" ht="15" x14ac:dyDescent="0.2">
      <c r="AA85" s="2"/>
    </row>
    <row r="86" spans="27:27" ht="15" x14ac:dyDescent="0.2">
      <c r="AA86" s="2"/>
    </row>
  </sheetData>
  <phoneticPr fontId="7" type="noConversion"/>
  <dataValidations count="2">
    <dataValidation type="list" showInputMessage="1" showErrorMessage="1" sqref="A2" xr:uid="{00000000-0002-0000-0100-000000000000}">
      <formula1>$Z$3:$Z$14</formula1>
    </dataValidation>
    <dataValidation type="list" showInputMessage="1" showErrorMessage="1" sqref="B2" xr:uid="{00000000-0002-0000-0100-000001000000}">
      <formula1>$AA$3:$AA$43</formula1>
    </dataValidation>
  </dataValidations>
  <pageMargins left="0.75" right="0.75" top="1" bottom="1" header="0.5" footer="0.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G156"/>
  <sheetViews>
    <sheetView topLeftCell="L1" workbookViewId="0">
      <selection activeCell="K53" sqref="K53"/>
    </sheetView>
  </sheetViews>
  <sheetFormatPr defaultColWidth="10.75" defaultRowHeight="12" x14ac:dyDescent="0.2"/>
  <cols>
    <col min="1" max="1" width="8.25" style="2" customWidth="1"/>
    <col min="2" max="2" width="14.75" style="2" customWidth="1"/>
    <col min="3" max="3" width="7.75" style="2" customWidth="1"/>
    <col min="4" max="4" width="9.75" style="2" customWidth="1"/>
    <col min="5" max="7" width="6.75" style="2" customWidth="1"/>
    <col min="8" max="10" width="8.75" style="2" customWidth="1"/>
    <col min="11" max="11" width="11.875" style="2" customWidth="1"/>
    <col min="12" max="12" width="11.875" style="3" customWidth="1"/>
    <col min="13" max="13" width="2.75" style="2" customWidth="1"/>
    <col min="14" max="14" width="9.75" style="2" customWidth="1"/>
    <col min="15" max="17" width="6.75" style="2" customWidth="1"/>
    <col min="18" max="19" width="8.75" style="2" customWidth="1"/>
    <col min="20" max="20" width="6.875" style="2" customWidth="1"/>
    <col min="21" max="21" width="11.875" style="2" customWidth="1"/>
    <col min="22" max="22" width="11.875" style="3" customWidth="1"/>
    <col min="23" max="24" width="5.625" style="2" customWidth="1"/>
    <col min="25" max="25" width="9.875" style="2" customWidth="1"/>
    <col min="26" max="26" width="10" style="2" customWidth="1"/>
    <col min="27" max="27" width="2.75" style="2" customWidth="1"/>
    <col min="28" max="33" width="8.75" style="2" customWidth="1"/>
    <col min="34" max="34" width="10.75" style="2" customWidth="1"/>
    <col min="35" max="16384" width="10.75" style="2"/>
  </cols>
  <sheetData>
    <row r="1" spans="1:33" ht="12.75" customHeight="1" x14ac:dyDescent="0.2">
      <c r="D1" s="142" t="s">
        <v>95</v>
      </c>
      <c r="E1" s="143"/>
      <c r="F1" s="143"/>
      <c r="G1" s="143"/>
      <c r="H1" s="143"/>
      <c r="I1" s="143"/>
      <c r="J1" s="143"/>
      <c r="K1" s="143"/>
      <c r="L1" s="144"/>
      <c r="N1" s="142" t="s">
        <v>96</v>
      </c>
      <c r="O1" s="143"/>
      <c r="P1" s="143"/>
      <c r="Q1" s="143"/>
      <c r="R1" s="143"/>
      <c r="S1" s="143"/>
      <c r="T1" s="143"/>
      <c r="U1" s="143"/>
      <c r="V1" s="144"/>
      <c r="W1" s="30"/>
      <c r="X1" s="30"/>
      <c r="Y1" s="30"/>
      <c r="Z1" s="84"/>
      <c r="AA1" s="33"/>
      <c r="AB1" s="142" t="s">
        <v>97</v>
      </c>
      <c r="AC1" s="143"/>
      <c r="AD1" s="144"/>
      <c r="AE1" s="142" t="s">
        <v>98</v>
      </c>
      <c r="AF1" s="143"/>
      <c r="AG1" s="144"/>
    </row>
    <row r="2" spans="1:33" ht="12.75" customHeight="1" x14ac:dyDescent="0.2">
      <c r="A2" s="4"/>
      <c r="B2" s="5"/>
      <c r="C2" s="6" t="s">
        <v>99</v>
      </c>
      <c r="D2" s="7" t="s">
        <v>59</v>
      </c>
      <c r="E2" s="8" t="s">
        <v>60</v>
      </c>
      <c r="F2" s="8" t="s">
        <v>61</v>
      </c>
      <c r="G2" s="8" t="s">
        <v>62</v>
      </c>
      <c r="H2" s="8" t="s">
        <v>100</v>
      </c>
      <c r="I2" s="8" t="s">
        <v>101</v>
      </c>
      <c r="J2" s="8" t="s">
        <v>102</v>
      </c>
      <c r="K2" s="18" t="s">
        <v>103</v>
      </c>
      <c r="L2" s="19" t="s">
        <v>104</v>
      </c>
      <c r="M2" s="20"/>
      <c r="N2" s="7" t="s">
        <v>59</v>
      </c>
      <c r="O2" s="8" t="s">
        <v>60</v>
      </c>
      <c r="P2" s="8" t="s">
        <v>61</v>
      </c>
      <c r="Q2" s="8" t="s">
        <v>62</v>
      </c>
      <c r="R2" s="8" t="s">
        <v>100</v>
      </c>
      <c r="S2" s="8" t="s">
        <v>101</v>
      </c>
      <c r="T2" s="8" t="s">
        <v>102</v>
      </c>
      <c r="U2" s="18" t="s">
        <v>103</v>
      </c>
      <c r="V2" s="19" t="s">
        <v>104</v>
      </c>
      <c r="W2" s="31" t="s">
        <v>105</v>
      </c>
      <c r="X2" s="18" t="s">
        <v>106</v>
      </c>
      <c r="Y2" s="18" t="s">
        <v>107</v>
      </c>
      <c r="Z2" s="34" t="s">
        <v>108</v>
      </c>
      <c r="AA2" s="20"/>
      <c r="AB2" s="7" t="s">
        <v>9</v>
      </c>
      <c r="AC2" s="8" t="s">
        <v>10</v>
      </c>
      <c r="AD2" s="19" t="s">
        <v>11</v>
      </c>
      <c r="AE2" s="7" t="s">
        <v>9</v>
      </c>
      <c r="AF2" s="8" t="s">
        <v>10</v>
      </c>
      <c r="AG2" s="19" t="s">
        <v>11</v>
      </c>
    </row>
    <row r="3" spans="1:33" x14ac:dyDescent="0.2">
      <c r="A3" s="9" t="s">
        <v>19</v>
      </c>
      <c r="B3" s="9" t="s">
        <v>64</v>
      </c>
      <c r="C3" s="9">
        <v>22</v>
      </c>
      <c r="D3" s="10">
        <f>Reference!B1</f>
        <v>19999.8714</v>
      </c>
      <c r="E3" s="11">
        <f>Reference!C1</f>
        <v>42.097700000000003</v>
      </c>
      <c r="F3" s="11">
        <f>Reference!D1</f>
        <v>49.834299999999999</v>
      </c>
      <c r="G3" s="11">
        <f>Reference!E1</f>
        <v>48.776600000000002</v>
      </c>
      <c r="H3" s="11">
        <f>Reference!F1</f>
        <v>104742</v>
      </c>
      <c r="I3" s="11">
        <f>Reference!G1</f>
        <v>55.514000000000003</v>
      </c>
      <c r="J3" s="11">
        <f t="shared" ref="J3:J34" si="0">H3/3600</f>
        <v>29.094999999999999</v>
      </c>
      <c r="K3" s="24">
        <f>Reference!H1</f>
        <v>4980056</v>
      </c>
      <c r="L3" s="25">
        <f>Reference!I1</f>
        <v>999388</v>
      </c>
      <c r="N3" s="10">
        <f>Test!B1</f>
        <v>0</v>
      </c>
      <c r="O3" s="11">
        <f>Test!C1</f>
        <v>0</v>
      </c>
      <c r="P3" s="11">
        <f>Test!D1</f>
        <v>0</v>
      </c>
      <c r="Q3" s="11">
        <f>Test!E1</f>
        <v>0</v>
      </c>
      <c r="R3" s="11">
        <f>Test!F1</f>
        <v>0</v>
      </c>
      <c r="S3" s="11">
        <f>Test!G1</f>
        <v>0</v>
      </c>
      <c r="T3" s="11">
        <f t="shared" ref="T3:T34" si="1">R3/3600</f>
        <v>0</v>
      </c>
      <c r="U3" s="24">
        <f>Test!H1</f>
        <v>0</v>
      </c>
      <c r="V3" s="25">
        <f>Test!I1</f>
        <v>0</v>
      </c>
      <c r="W3" s="11">
        <f t="shared" ref="W3:W34" si="2">R3/H3</f>
        <v>0</v>
      </c>
      <c r="X3" s="11">
        <f t="shared" ref="X3:X34" si="3">S3/I3</f>
        <v>0</v>
      </c>
      <c r="Y3" s="11">
        <f>U3/K3</f>
        <v>0</v>
      </c>
      <c r="Z3" s="21">
        <f>V3/L3</f>
        <v>0</v>
      </c>
      <c r="AA3" s="35"/>
      <c r="AB3" s="36" t="e">
        <f>bdrate($D3:$D6,E3:E6,$N3:$N6,O3:O6)</f>
        <v>#VALUE!</v>
      </c>
      <c r="AC3" s="37" t="e">
        <f>bdrate($D3:$D6,F3:F6,$N3:$N6,P3:P6)</f>
        <v>#VALUE!</v>
      </c>
      <c r="AD3" s="38" t="e">
        <f>bdrate($D3:$D6,G3:G6,$N3:$N6,Q3:Q6)</f>
        <v>#VALUE!</v>
      </c>
      <c r="AE3" s="36" t="e">
        <f>bdrateOld($D3:$D6,E3:E6,$N3:$N6,O3:O6)</f>
        <v>#VALUE!</v>
      </c>
      <c r="AF3" s="37" t="e">
        <f>bdrateOld($D3:$D6,F3:F6,$N3:$N6,P3:P6)</f>
        <v>#VALUE!</v>
      </c>
      <c r="AG3" s="38" t="e">
        <f>bdrateOld($D3:$D6,G3:G6,$N3:$N6,Q3:Q6)</f>
        <v>#VALUE!</v>
      </c>
    </row>
    <row r="4" spans="1:33" x14ac:dyDescent="0.2">
      <c r="A4" s="12" t="s">
        <v>109</v>
      </c>
      <c r="B4" s="12"/>
      <c r="C4" s="12">
        <v>27</v>
      </c>
      <c r="D4" s="13">
        <f>Reference!B2</f>
        <v>4350.0357000000004</v>
      </c>
      <c r="E4" s="14">
        <f>Reference!C2</f>
        <v>40.142600000000002</v>
      </c>
      <c r="F4" s="14">
        <f>Reference!D2</f>
        <v>48.889800000000001</v>
      </c>
      <c r="G4" s="14">
        <f>Reference!E2</f>
        <v>46.987299999999998</v>
      </c>
      <c r="H4" s="14">
        <f>Reference!F2</f>
        <v>33415</v>
      </c>
      <c r="I4" s="14">
        <f>Reference!G2</f>
        <v>38.354999999999997</v>
      </c>
      <c r="J4" s="14">
        <f t="shared" si="0"/>
        <v>9.281944444444445</v>
      </c>
      <c r="K4" s="26">
        <f>Reference!H2</f>
        <v>4901764</v>
      </c>
      <c r="L4" s="27">
        <f>Reference!I2</f>
        <v>1117176</v>
      </c>
      <c r="N4" s="13">
        <f>Test!B2</f>
        <v>0</v>
      </c>
      <c r="O4" s="14">
        <f>Test!C2</f>
        <v>0</v>
      </c>
      <c r="P4" s="14">
        <f>Test!D2</f>
        <v>0</v>
      </c>
      <c r="Q4" s="14">
        <f>Test!E2</f>
        <v>0</v>
      </c>
      <c r="R4" s="14">
        <f>Test!F2</f>
        <v>0</v>
      </c>
      <c r="S4" s="14">
        <f>Test!G2</f>
        <v>0</v>
      </c>
      <c r="T4" s="14">
        <f t="shared" si="1"/>
        <v>0</v>
      </c>
      <c r="U4" s="26">
        <f>Test!H2</f>
        <v>0</v>
      </c>
      <c r="V4" s="27">
        <f>Test!I2</f>
        <v>0</v>
      </c>
      <c r="W4" s="14">
        <f t="shared" si="2"/>
        <v>0</v>
      </c>
      <c r="X4" s="14">
        <f t="shared" si="3"/>
        <v>0</v>
      </c>
      <c r="Y4" s="14">
        <f t="shared" ref="Y4:Z67" si="4">U4/K4</f>
        <v>0</v>
      </c>
      <c r="Z4" s="22">
        <f t="shared" si="4"/>
        <v>0</v>
      </c>
      <c r="AA4" s="39"/>
      <c r="AB4" s="40"/>
      <c r="AC4" s="41"/>
      <c r="AD4" s="42"/>
      <c r="AE4" s="40"/>
      <c r="AF4" s="41"/>
      <c r="AG4" s="42"/>
    </row>
    <row r="5" spans="1:33" x14ac:dyDescent="0.2">
      <c r="A5" s="12"/>
      <c r="B5" s="12"/>
      <c r="C5" s="12">
        <v>32</v>
      </c>
      <c r="D5" s="13">
        <f>Reference!B3</f>
        <v>2444.8377999999998</v>
      </c>
      <c r="E5" s="14">
        <f>Reference!C3</f>
        <v>39.360300000000002</v>
      </c>
      <c r="F5" s="14">
        <f>Reference!D3</f>
        <v>47.590800000000002</v>
      </c>
      <c r="G5" s="14">
        <f>Reference!E3</f>
        <v>45.067399999999999</v>
      </c>
      <c r="H5" s="14">
        <f>Reference!F3</f>
        <v>16750</v>
      </c>
      <c r="I5" s="14">
        <f>Reference!G3</f>
        <v>34.515000000000001</v>
      </c>
      <c r="J5" s="14">
        <f t="shared" si="0"/>
        <v>4.6527777777777777</v>
      </c>
      <c r="K5" s="26">
        <f>Reference!H3</f>
        <v>4892736</v>
      </c>
      <c r="L5" s="27">
        <f>Reference!I3</f>
        <v>1104920</v>
      </c>
      <c r="N5" s="13">
        <f>Test!B3</f>
        <v>0</v>
      </c>
      <c r="O5" s="14">
        <f>Test!C3</f>
        <v>0</v>
      </c>
      <c r="P5" s="14">
        <f>Test!D3</f>
        <v>0</v>
      </c>
      <c r="Q5" s="14">
        <f>Test!E3</f>
        <v>0</v>
      </c>
      <c r="R5" s="14">
        <f>Test!F3</f>
        <v>0</v>
      </c>
      <c r="S5" s="14">
        <f>Test!G3</f>
        <v>0</v>
      </c>
      <c r="T5" s="14">
        <f t="shared" si="1"/>
        <v>0</v>
      </c>
      <c r="U5" s="26">
        <f>Test!H3</f>
        <v>0</v>
      </c>
      <c r="V5" s="27">
        <f>Test!I3</f>
        <v>0</v>
      </c>
      <c r="W5" s="14">
        <f t="shared" si="2"/>
        <v>0</v>
      </c>
      <c r="X5" s="14">
        <f t="shared" si="3"/>
        <v>0</v>
      </c>
      <c r="Y5" s="14">
        <f t="shared" si="4"/>
        <v>0</v>
      </c>
      <c r="Z5" s="22">
        <f t="shared" si="4"/>
        <v>0</v>
      </c>
      <c r="AA5" s="39"/>
      <c r="AB5" s="40"/>
      <c r="AC5" s="41"/>
      <c r="AD5" s="42"/>
      <c r="AE5" s="40"/>
      <c r="AF5" s="41"/>
      <c r="AG5" s="42"/>
    </row>
    <row r="6" spans="1:33" ht="12.75" customHeight="1" x14ac:dyDescent="0.2">
      <c r="A6" s="12"/>
      <c r="B6" s="15"/>
      <c r="C6" s="15">
        <v>37</v>
      </c>
      <c r="D6" s="16">
        <f>Reference!B4</f>
        <v>1513.3751</v>
      </c>
      <c r="E6" s="17">
        <f>Reference!C4</f>
        <v>38.3459</v>
      </c>
      <c r="F6" s="17">
        <f>Reference!D4</f>
        <v>46.817399999999999</v>
      </c>
      <c r="G6" s="17">
        <f>Reference!E4</f>
        <v>43.887999999999998</v>
      </c>
      <c r="H6" s="17">
        <f>Reference!F4</f>
        <v>9218</v>
      </c>
      <c r="I6" s="17">
        <f>Reference!G4</f>
        <v>25.577999999999999</v>
      </c>
      <c r="J6" s="17">
        <f t="shared" si="0"/>
        <v>2.5605555555555557</v>
      </c>
      <c r="K6" s="26">
        <f>Reference!H4</f>
        <v>3577428</v>
      </c>
      <c r="L6" s="27">
        <f>Reference!I4</f>
        <v>728020</v>
      </c>
      <c r="N6" s="16">
        <f>Test!B4</f>
        <v>0</v>
      </c>
      <c r="O6" s="17">
        <f>Test!C4</f>
        <v>0</v>
      </c>
      <c r="P6" s="17">
        <f>Test!D4</f>
        <v>0</v>
      </c>
      <c r="Q6" s="17">
        <f>Test!E4</f>
        <v>0</v>
      </c>
      <c r="R6" s="17">
        <f>Test!F4</f>
        <v>0</v>
      </c>
      <c r="S6" s="17">
        <f>Test!G4</f>
        <v>0</v>
      </c>
      <c r="T6" s="17">
        <f t="shared" si="1"/>
        <v>0</v>
      </c>
      <c r="U6" s="26">
        <f>Test!H4</f>
        <v>0</v>
      </c>
      <c r="V6" s="27">
        <f>Test!I4</f>
        <v>0</v>
      </c>
      <c r="W6" s="14">
        <f t="shared" si="2"/>
        <v>0</v>
      </c>
      <c r="X6" s="14">
        <f t="shared" si="3"/>
        <v>0</v>
      </c>
      <c r="Y6" s="14">
        <f t="shared" si="4"/>
        <v>0</v>
      </c>
      <c r="Z6" s="22">
        <f t="shared" si="4"/>
        <v>0</v>
      </c>
      <c r="AA6" s="39"/>
      <c r="AB6" s="43"/>
      <c r="AC6" s="44"/>
      <c r="AD6" s="45"/>
      <c r="AE6" s="43"/>
      <c r="AF6" s="44"/>
      <c r="AG6" s="45"/>
    </row>
    <row r="7" spans="1:33" x14ac:dyDescent="0.2">
      <c r="A7" s="12"/>
      <c r="B7" s="9" t="s">
        <v>66</v>
      </c>
      <c r="C7" s="9">
        <v>22</v>
      </c>
      <c r="D7" s="10">
        <f>Reference!B5</f>
        <v>13540.981599999999</v>
      </c>
      <c r="E7" s="11">
        <f>Reference!C5</f>
        <v>45.315600000000003</v>
      </c>
      <c r="F7" s="11">
        <f>Reference!D5</f>
        <v>50.308700000000002</v>
      </c>
      <c r="G7" s="11">
        <f>Reference!E5</f>
        <v>51.082500000000003</v>
      </c>
      <c r="H7" s="11">
        <f>Reference!F5</f>
        <v>63981</v>
      </c>
      <c r="I7" s="11">
        <f>Reference!G5</f>
        <v>46.531999999999996</v>
      </c>
      <c r="J7" s="11">
        <f t="shared" si="0"/>
        <v>17.772500000000001</v>
      </c>
      <c r="K7" s="24">
        <f>Reference!H5</f>
        <v>4996280</v>
      </c>
      <c r="L7" s="25">
        <f>Reference!I5</f>
        <v>1092780</v>
      </c>
      <c r="N7" s="10">
        <f>Test!B5</f>
        <v>0</v>
      </c>
      <c r="O7" s="11">
        <f>Test!C5</f>
        <v>0</v>
      </c>
      <c r="P7" s="11">
        <f>Test!D5</f>
        <v>0</v>
      </c>
      <c r="Q7" s="11">
        <f>Test!E5</f>
        <v>0</v>
      </c>
      <c r="R7" s="11">
        <f>Test!F5</f>
        <v>0</v>
      </c>
      <c r="S7" s="11">
        <f>Test!G5</f>
        <v>0</v>
      </c>
      <c r="T7" s="11">
        <f t="shared" si="1"/>
        <v>0</v>
      </c>
      <c r="U7" s="24">
        <f>Test!H5</f>
        <v>0</v>
      </c>
      <c r="V7" s="25">
        <f>Test!I5</f>
        <v>0</v>
      </c>
      <c r="W7" s="14">
        <f t="shared" si="2"/>
        <v>0</v>
      </c>
      <c r="X7" s="14">
        <f t="shared" si="3"/>
        <v>0</v>
      </c>
      <c r="Y7" s="14">
        <f t="shared" si="4"/>
        <v>0</v>
      </c>
      <c r="Z7" s="22">
        <f t="shared" si="4"/>
        <v>0</v>
      </c>
      <c r="AA7" s="39"/>
      <c r="AB7" s="36" t="e">
        <f>bdrate($D7:$D10,E7:E10,$N7:$N10,O7:O10)</f>
        <v>#VALUE!</v>
      </c>
      <c r="AC7" s="37" t="e">
        <f>bdrate($D7:$D10,F7:F10,$N7:$N10,P7:P10)</f>
        <v>#VALUE!</v>
      </c>
      <c r="AD7" s="37" t="e">
        <f>bdrate($D7:$D10,G7:G10,$N7:$N10,Q7:Q10)</f>
        <v>#VALUE!</v>
      </c>
      <c r="AE7" s="46" t="e">
        <f>bdrateOld($D7:$D10,E7:E10,$N7:$N10,O7:O10)</f>
        <v>#VALUE!</v>
      </c>
      <c r="AF7" s="47" t="e">
        <f>bdrateOld($D7:$D10,F7:F10,$N7:$N10,P7:P10)</f>
        <v>#VALUE!</v>
      </c>
      <c r="AG7" s="49" t="e">
        <f>bdrateOld($D7:$D10,G7:G10,$N7:$N10,Q7:Q10)</f>
        <v>#VALUE!</v>
      </c>
    </row>
    <row r="8" spans="1:33" x14ac:dyDescent="0.2">
      <c r="A8" s="12"/>
      <c r="B8" s="12"/>
      <c r="C8" s="12">
        <v>27</v>
      </c>
      <c r="D8" s="13">
        <f>Reference!B6</f>
        <v>7273.7462999999998</v>
      </c>
      <c r="E8" s="14">
        <f>Reference!C6</f>
        <v>43.751399999999997</v>
      </c>
      <c r="F8" s="14">
        <f>Reference!D6</f>
        <v>48.1569</v>
      </c>
      <c r="G8" s="14">
        <f>Reference!E6</f>
        <v>48.683300000000003</v>
      </c>
      <c r="H8" s="14">
        <f>Reference!F6</f>
        <v>37549</v>
      </c>
      <c r="I8" s="14">
        <f>Reference!G6</f>
        <v>48.161999999999999</v>
      </c>
      <c r="J8" s="14">
        <f t="shared" si="0"/>
        <v>10.430277777777778</v>
      </c>
      <c r="K8" s="26">
        <f>Reference!H6</f>
        <v>4961704</v>
      </c>
      <c r="L8" s="27">
        <f>Reference!I6</f>
        <v>1104388</v>
      </c>
      <c r="N8" s="13">
        <f>Test!B6</f>
        <v>0</v>
      </c>
      <c r="O8" s="14">
        <f>Test!C6</f>
        <v>0</v>
      </c>
      <c r="P8" s="14">
        <f>Test!D6</f>
        <v>0</v>
      </c>
      <c r="Q8" s="14">
        <f>Test!E6</f>
        <v>0</v>
      </c>
      <c r="R8" s="14">
        <f>Test!F6</f>
        <v>0</v>
      </c>
      <c r="S8" s="14">
        <f>Test!G6</f>
        <v>0</v>
      </c>
      <c r="T8" s="14">
        <f t="shared" si="1"/>
        <v>0</v>
      </c>
      <c r="U8" s="26">
        <f>Test!H6</f>
        <v>0</v>
      </c>
      <c r="V8" s="27">
        <f>Test!I6</f>
        <v>0</v>
      </c>
      <c r="W8" s="14">
        <f t="shared" si="2"/>
        <v>0</v>
      </c>
      <c r="X8" s="14">
        <f t="shared" si="3"/>
        <v>0</v>
      </c>
      <c r="Y8" s="14">
        <f t="shared" si="4"/>
        <v>0</v>
      </c>
      <c r="Z8" s="22">
        <f t="shared" si="4"/>
        <v>0</v>
      </c>
      <c r="AA8" s="39"/>
      <c r="AB8" s="40"/>
      <c r="AC8" s="41"/>
      <c r="AD8" s="41"/>
      <c r="AE8" s="40"/>
      <c r="AF8" s="41"/>
      <c r="AG8" s="42"/>
    </row>
    <row r="9" spans="1:33" x14ac:dyDescent="0.2">
      <c r="A9" s="12"/>
      <c r="B9" s="12"/>
      <c r="C9" s="12">
        <v>32</v>
      </c>
      <c r="D9" s="13">
        <f>Reference!B7</f>
        <v>4398.5541999999996</v>
      </c>
      <c r="E9" s="14">
        <f>Reference!C7</f>
        <v>42.213000000000001</v>
      </c>
      <c r="F9" s="14">
        <f>Reference!D7</f>
        <v>45.9574</v>
      </c>
      <c r="G9" s="14">
        <f>Reference!E7</f>
        <v>46.234000000000002</v>
      </c>
      <c r="H9" s="14">
        <f>Reference!F7</f>
        <v>20311</v>
      </c>
      <c r="I9" s="14">
        <f>Reference!G7</f>
        <v>28.641999999999999</v>
      </c>
      <c r="J9" s="14">
        <f t="shared" si="0"/>
        <v>5.6419444444444444</v>
      </c>
      <c r="K9" s="26">
        <f>Reference!H7</f>
        <v>4937060</v>
      </c>
      <c r="L9" s="27">
        <f>Reference!I7</f>
        <v>918772</v>
      </c>
      <c r="N9" s="13">
        <f>Test!B7</f>
        <v>0</v>
      </c>
      <c r="O9" s="14">
        <f>Test!C7</f>
        <v>0</v>
      </c>
      <c r="P9" s="14">
        <f>Test!D7</f>
        <v>0</v>
      </c>
      <c r="Q9" s="14">
        <f>Test!E7</f>
        <v>0</v>
      </c>
      <c r="R9" s="14">
        <f>Test!F7</f>
        <v>0</v>
      </c>
      <c r="S9" s="14">
        <f>Test!G7</f>
        <v>0</v>
      </c>
      <c r="T9" s="14">
        <f t="shared" si="1"/>
        <v>0</v>
      </c>
      <c r="U9" s="26">
        <f>Test!H7</f>
        <v>0</v>
      </c>
      <c r="V9" s="27">
        <f>Test!I7</f>
        <v>0</v>
      </c>
      <c r="W9" s="14">
        <f t="shared" si="2"/>
        <v>0</v>
      </c>
      <c r="X9" s="14">
        <f t="shared" si="3"/>
        <v>0</v>
      </c>
      <c r="Y9" s="14">
        <f t="shared" si="4"/>
        <v>0</v>
      </c>
      <c r="Z9" s="22">
        <f t="shared" si="4"/>
        <v>0</v>
      </c>
      <c r="AA9" s="39"/>
      <c r="AB9" s="40"/>
      <c r="AC9" s="41"/>
      <c r="AD9" s="41"/>
      <c r="AE9" s="40"/>
      <c r="AF9" s="41"/>
      <c r="AG9" s="42"/>
    </row>
    <row r="10" spans="1:33" ht="12.75" customHeight="1" x14ac:dyDescent="0.2">
      <c r="A10" s="12"/>
      <c r="B10" s="15"/>
      <c r="C10" s="15">
        <v>37</v>
      </c>
      <c r="D10" s="16">
        <f>Reference!B8</f>
        <v>2742.75</v>
      </c>
      <c r="E10" s="17">
        <f>Reference!C8</f>
        <v>40.373600000000003</v>
      </c>
      <c r="F10" s="17">
        <f>Reference!D8</f>
        <v>44.603700000000003</v>
      </c>
      <c r="G10" s="17">
        <f>Reference!E8</f>
        <v>44.775700000000001</v>
      </c>
      <c r="H10" s="17">
        <f>Reference!F8</f>
        <v>15544</v>
      </c>
      <c r="I10" s="17">
        <f>Reference!G8</f>
        <v>20.608000000000001</v>
      </c>
      <c r="J10" s="17">
        <f t="shared" si="0"/>
        <v>4.3177777777777777</v>
      </c>
      <c r="K10" s="26">
        <f>Reference!H8</f>
        <v>3604092</v>
      </c>
      <c r="L10" s="27">
        <f>Reference!I8</f>
        <v>688632</v>
      </c>
      <c r="N10" s="16">
        <f>Test!B8</f>
        <v>0</v>
      </c>
      <c r="O10" s="17">
        <f>Test!C8</f>
        <v>0</v>
      </c>
      <c r="P10" s="17">
        <f>Test!D8</f>
        <v>0</v>
      </c>
      <c r="Q10" s="17">
        <f>Test!E8</f>
        <v>0</v>
      </c>
      <c r="R10" s="17">
        <f>Test!F8</f>
        <v>0</v>
      </c>
      <c r="S10" s="17">
        <f>Test!G8</f>
        <v>0</v>
      </c>
      <c r="T10" s="17">
        <f t="shared" si="1"/>
        <v>0</v>
      </c>
      <c r="U10" s="26">
        <f>Test!H8</f>
        <v>0</v>
      </c>
      <c r="V10" s="27">
        <f>Test!I8</f>
        <v>0</v>
      </c>
      <c r="W10" s="14">
        <f t="shared" si="2"/>
        <v>0</v>
      </c>
      <c r="X10" s="14">
        <f t="shared" si="3"/>
        <v>0</v>
      </c>
      <c r="Y10" s="14">
        <f t="shared" si="4"/>
        <v>0</v>
      </c>
      <c r="Z10" s="22">
        <f t="shared" si="4"/>
        <v>0</v>
      </c>
      <c r="AA10" s="39"/>
      <c r="AB10" s="43"/>
      <c r="AC10" s="44"/>
      <c r="AD10" s="44"/>
      <c r="AE10" s="43"/>
      <c r="AF10" s="44"/>
      <c r="AG10" s="45"/>
    </row>
    <row r="11" spans="1:33" x14ac:dyDescent="0.2">
      <c r="A11" s="12"/>
      <c r="B11" s="9" t="s">
        <v>67</v>
      </c>
      <c r="C11" s="9">
        <v>22</v>
      </c>
      <c r="D11" s="10">
        <f>Reference!B9</f>
        <v>20972.817599999998</v>
      </c>
      <c r="E11" s="11">
        <f>Reference!C9</f>
        <v>44.061</v>
      </c>
      <c r="F11" s="11">
        <f>Reference!D9</f>
        <v>46.5291</v>
      </c>
      <c r="G11" s="11">
        <f>Reference!E9</f>
        <v>44.490900000000003</v>
      </c>
      <c r="H11" s="11">
        <f>Reference!F9</f>
        <v>89003</v>
      </c>
      <c r="I11" s="11">
        <f>Reference!G9</f>
        <v>67.393000000000001</v>
      </c>
      <c r="J11" s="11">
        <f t="shared" si="0"/>
        <v>24.723055555555554</v>
      </c>
      <c r="K11" s="24">
        <f>Reference!H9</f>
        <v>4948148</v>
      </c>
      <c r="L11" s="25">
        <f>Reference!I9</f>
        <v>1163968</v>
      </c>
      <c r="N11" s="10">
        <f>Test!B9</f>
        <v>0</v>
      </c>
      <c r="O11" s="11">
        <f>Test!C9</f>
        <v>0</v>
      </c>
      <c r="P11" s="11">
        <f>Test!D9</f>
        <v>0</v>
      </c>
      <c r="Q11" s="11">
        <f>Test!E9</f>
        <v>0</v>
      </c>
      <c r="R11" s="11">
        <f>Test!F9</f>
        <v>0</v>
      </c>
      <c r="S11" s="11">
        <f>Test!G9</f>
        <v>0</v>
      </c>
      <c r="T11" s="11">
        <f t="shared" si="1"/>
        <v>0</v>
      </c>
      <c r="U11" s="24">
        <f>Test!H9</f>
        <v>0</v>
      </c>
      <c r="V11" s="25">
        <f>Test!I9</f>
        <v>0</v>
      </c>
      <c r="W11" s="14">
        <f t="shared" si="2"/>
        <v>0</v>
      </c>
      <c r="X11" s="14">
        <f t="shared" si="3"/>
        <v>0</v>
      </c>
      <c r="Y11" s="14">
        <f t="shared" si="4"/>
        <v>0</v>
      </c>
      <c r="Z11" s="22">
        <f t="shared" si="4"/>
        <v>0</v>
      </c>
      <c r="AA11" s="39"/>
      <c r="AB11" s="36" t="e">
        <f>bdrate($D11:$D14,E11:E14,$N11:$N14,O11:O14)</f>
        <v>#VALUE!</v>
      </c>
      <c r="AC11" s="37" t="e">
        <f>bdrate($D11:$D14,F11:F14,$N11:$N14,P11:P14)</f>
        <v>#VALUE!</v>
      </c>
      <c r="AD11" s="37" t="e">
        <f>bdrate($D11:$D14,G11:G14,$N11:$N14,Q11:Q14)</f>
        <v>#VALUE!</v>
      </c>
      <c r="AE11" s="46" t="e">
        <f>bdrateOld($D11:$D14,E11:E14,$N11:$N14,O11:O14)</f>
        <v>#VALUE!</v>
      </c>
      <c r="AF11" s="47" t="e">
        <f>bdrateOld($D11:$D14,F11:F14,$N11:$N14,P11:P14)</f>
        <v>#VALUE!</v>
      </c>
      <c r="AG11" s="49" t="e">
        <f>bdrateOld($D11:$D14,G11:G14,$N11:$N14,Q11:Q14)</f>
        <v>#VALUE!</v>
      </c>
    </row>
    <row r="12" spans="1:33" x14ac:dyDescent="0.2">
      <c r="A12" s="12"/>
      <c r="B12" s="12"/>
      <c r="C12" s="12">
        <v>27</v>
      </c>
      <c r="D12" s="13">
        <f>Reference!B10</f>
        <v>8951.7576000000008</v>
      </c>
      <c r="E12" s="14">
        <f>Reference!C10</f>
        <v>40.301400000000001</v>
      </c>
      <c r="F12" s="14">
        <f>Reference!D10</f>
        <v>41.903399999999998</v>
      </c>
      <c r="G12" s="14">
        <f>Reference!E10</f>
        <v>42.793599999999998</v>
      </c>
      <c r="H12" s="14">
        <f>Reference!F10</f>
        <v>72954</v>
      </c>
      <c r="I12" s="14">
        <f>Reference!G10</f>
        <v>55.466999999999999</v>
      </c>
      <c r="J12" s="14">
        <f t="shared" si="0"/>
        <v>20.265000000000001</v>
      </c>
      <c r="K12" s="26">
        <f>Reference!H10</f>
        <v>4888464</v>
      </c>
      <c r="L12" s="27">
        <f>Reference!I10</f>
        <v>1121428</v>
      </c>
      <c r="N12" s="13">
        <f>Test!B10</f>
        <v>0</v>
      </c>
      <c r="O12" s="14">
        <f>Test!C10</f>
        <v>0</v>
      </c>
      <c r="P12" s="14">
        <f>Test!D10</f>
        <v>0</v>
      </c>
      <c r="Q12" s="14">
        <f>Test!E10</f>
        <v>0</v>
      </c>
      <c r="R12" s="14">
        <f>Test!F10</f>
        <v>0</v>
      </c>
      <c r="S12" s="14">
        <f>Test!G10</f>
        <v>0</v>
      </c>
      <c r="T12" s="14">
        <f t="shared" si="1"/>
        <v>0</v>
      </c>
      <c r="U12" s="26">
        <f>Test!H10</f>
        <v>0</v>
      </c>
      <c r="V12" s="27">
        <f>Test!I10</f>
        <v>0</v>
      </c>
      <c r="W12" s="14">
        <f t="shared" si="2"/>
        <v>0</v>
      </c>
      <c r="X12" s="14">
        <f t="shared" si="3"/>
        <v>0</v>
      </c>
      <c r="Y12" s="14">
        <f t="shared" si="4"/>
        <v>0</v>
      </c>
      <c r="Z12" s="22">
        <f t="shared" si="4"/>
        <v>0</v>
      </c>
      <c r="AA12" s="39"/>
      <c r="AB12" s="40"/>
      <c r="AC12" s="41"/>
      <c r="AD12" s="41"/>
      <c r="AE12" s="40"/>
      <c r="AF12" s="41"/>
      <c r="AG12" s="42"/>
    </row>
    <row r="13" spans="1:33" x14ac:dyDescent="0.2">
      <c r="A13" s="12"/>
      <c r="B13" s="12"/>
      <c r="C13" s="12">
        <v>32</v>
      </c>
      <c r="D13" s="13">
        <f>Reference!B11</f>
        <v>2700.42</v>
      </c>
      <c r="E13" s="14">
        <f>Reference!C11</f>
        <v>37.637099999999997</v>
      </c>
      <c r="F13" s="14">
        <f>Reference!D11</f>
        <v>38.269799999999996</v>
      </c>
      <c r="G13" s="14">
        <f>Reference!E11</f>
        <v>41.393500000000003</v>
      </c>
      <c r="H13" s="14">
        <f>Reference!F11</f>
        <v>43912</v>
      </c>
      <c r="I13" s="14">
        <f>Reference!G11</f>
        <v>47.484000000000002</v>
      </c>
      <c r="J13" s="14">
        <f t="shared" si="0"/>
        <v>12.197777777777778</v>
      </c>
      <c r="K13" s="26">
        <f>Reference!H11</f>
        <v>4821612</v>
      </c>
      <c r="L13" s="27">
        <f>Reference!I11</f>
        <v>979456</v>
      </c>
      <c r="N13" s="13">
        <f>Test!B11</f>
        <v>0</v>
      </c>
      <c r="O13" s="14">
        <f>Test!C11</f>
        <v>0</v>
      </c>
      <c r="P13" s="14">
        <f>Test!D11</f>
        <v>0</v>
      </c>
      <c r="Q13" s="14">
        <f>Test!E11</f>
        <v>0</v>
      </c>
      <c r="R13" s="14">
        <f>Test!F11</f>
        <v>0</v>
      </c>
      <c r="S13" s="14">
        <f>Test!G11</f>
        <v>0</v>
      </c>
      <c r="T13" s="14">
        <f t="shared" si="1"/>
        <v>0</v>
      </c>
      <c r="U13" s="26">
        <f>Test!H11</f>
        <v>0</v>
      </c>
      <c r="V13" s="27">
        <f>Test!I11</f>
        <v>0</v>
      </c>
      <c r="W13" s="14">
        <f t="shared" si="2"/>
        <v>0</v>
      </c>
      <c r="X13" s="14">
        <f t="shared" si="3"/>
        <v>0</v>
      </c>
      <c r="Y13" s="14">
        <f t="shared" si="4"/>
        <v>0</v>
      </c>
      <c r="Z13" s="22">
        <f t="shared" si="4"/>
        <v>0</v>
      </c>
      <c r="AA13" s="39"/>
      <c r="AB13" s="40"/>
      <c r="AC13" s="41"/>
      <c r="AD13" s="41"/>
      <c r="AE13" s="40"/>
      <c r="AF13" s="41"/>
      <c r="AG13" s="42"/>
    </row>
    <row r="14" spans="1:33" ht="12.75" customHeight="1" x14ac:dyDescent="0.2">
      <c r="A14" s="12"/>
      <c r="B14" s="15"/>
      <c r="C14" s="15">
        <v>37</v>
      </c>
      <c r="D14" s="16">
        <f>Reference!B12</f>
        <v>1367.6076</v>
      </c>
      <c r="E14" s="17">
        <f>Reference!C12</f>
        <v>36.341500000000003</v>
      </c>
      <c r="F14" s="17">
        <f>Reference!D12</f>
        <v>36.413899999999998</v>
      </c>
      <c r="G14" s="17">
        <f>Reference!E12</f>
        <v>39.9236</v>
      </c>
      <c r="H14" s="17">
        <f>Reference!F12</f>
        <v>22089</v>
      </c>
      <c r="I14" s="17">
        <f>Reference!G12</f>
        <v>37.664999999999999</v>
      </c>
      <c r="J14" s="17">
        <f t="shared" si="0"/>
        <v>6.1358333333333333</v>
      </c>
      <c r="K14" s="26">
        <f>Reference!H12</f>
        <v>4802996</v>
      </c>
      <c r="L14" s="27">
        <f>Reference!I12</f>
        <v>1105164</v>
      </c>
      <c r="N14" s="16">
        <f>Test!B12</f>
        <v>0</v>
      </c>
      <c r="O14" s="17">
        <f>Test!C12</f>
        <v>0</v>
      </c>
      <c r="P14" s="17">
        <f>Test!D12</f>
        <v>0</v>
      </c>
      <c r="Q14" s="17">
        <f>Test!E12</f>
        <v>0</v>
      </c>
      <c r="R14" s="17">
        <f>Test!F12</f>
        <v>0</v>
      </c>
      <c r="S14" s="17">
        <f>Test!G12</f>
        <v>0</v>
      </c>
      <c r="T14" s="17">
        <f t="shared" si="1"/>
        <v>0</v>
      </c>
      <c r="U14" s="26">
        <f>Test!H12</f>
        <v>0</v>
      </c>
      <c r="V14" s="27">
        <f>Test!I12</f>
        <v>0</v>
      </c>
      <c r="W14" s="14">
        <f t="shared" si="2"/>
        <v>0</v>
      </c>
      <c r="X14" s="14">
        <f t="shared" si="3"/>
        <v>0</v>
      </c>
      <c r="Y14" s="14">
        <f t="shared" si="4"/>
        <v>0</v>
      </c>
      <c r="Z14" s="22">
        <f t="shared" si="4"/>
        <v>0</v>
      </c>
      <c r="AA14" s="39"/>
      <c r="AB14" s="43"/>
      <c r="AC14" s="44"/>
      <c r="AD14" s="44"/>
      <c r="AE14" s="43"/>
      <c r="AF14" s="44"/>
      <c r="AG14" s="45"/>
    </row>
    <row r="15" spans="1:33" x14ac:dyDescent="0.2">
      <c r="A15" s="9" t="s">
        <v>21</v>
      </c>
      <c r="B15" s="9" t="s">
        <v>110</v>
      </c>
      <c r="C15" s="9">
        <v>22</v>
      </c>
      <c r="D15" s="10">
        <f>Reference!B13</f>
        <v>34092.221100000002</v>
      </c>
      <c r="E15" s="11">
        <f>Reference!C13</f>
        <v>42.8504</v>
      </c>
      <c r="F15" s="11">
        <f>Reference!D13</f>
        <v>42.748699999999999</v>
      </c>
      <c r="G15" s="11">
        <f>Reference!E13</f>
        <v>44.586199999999998</v>
      </c>
      <c r="H15" s="11">
        <f>Reference!F13</f>
        <v>102965</v>
      </c>
      <c r="I15" s="11">
        <f>Reference!G13</f>
        <v>67.242000000000004</v>
      </c>
      <c r="J15" s="11">
        <f t="shared" si="0"/>
        <v>28.601388888888888</v>
      </c>
      <c r="K15" s="24">
        <f>Reference!H13</f>
        <v>5020032</v>
      </c>
      <c r="L15" s="25">
        <f>Reference!I13</f>
        <v>1282888</v>
      </c>
      <c r="N15" s="10">
        <f>Test!B13</f>
        <v>0</v>
      </c>
      <c r="O15" s="11">
        <f>Test!C13</f>
        <v>0</v>
      </c>
      <c r="P15" s="11">
        <f>Test!D13</f>
        <v>0</v>
      </c>
      <c r="Q15" s="11">
        <f>Test!E13</f>
        <v>0</v>
      </c>
      <c r="R15" s="11">
        <f>Test!F13</f>
        <v>0</v>
      </c>
      <c r="S15" s="11">
        <f>Test!G13</f>
        <v>0</v>
      </c>
      <c r="T15" s="11">
        <f t="shared" si="1"/>
        <v>0</v>
      </c>
      <c r="U15" s="24">
        <f>Test!H13</f>
        <v>0</v>
      </c>
      <c r="V15" s="25">
        <f>Test!I13</f>
        <v>0</v>
      </c>
      <c r="W15" s="11">
        <f t="shared" si="2"/>
        <v>0</v>
      </c>
      <c r="X15" s="11">
        <f t="shared" si="3"/>
        <v>0</v>
      </c>
      <c r="Y15" s="11">
        <f t="shared" si="4"/>
        <v>0</v>
      </c>
      <c r="Z15" s="21">
        <f t="shared" si="4"/>
        <v>0</v>
      </c>
      <c r="AA15" s="35"/>
      <c r="AB15" s="36" t="e">
        <f>bdrate($D15:$D18,E15:E18,$N15:$N18,O15:O18)</f>
        <v>#VALUE!</v>
      </c>
      <c r="AC15" s="37" t="e">
        <f>bdrate($D15:$D18,F15:F18,$N15:$N18,P15:P18)</f>
        <v>#VALUE!</v>
      </c>
      <c r="AD15" s="38" t="e">
        <f>bdrate($D15:$D18,G15:G18,$N15:$N18,Q15:Q18)</f>
        <v>#VALUE!</v>
      </c>
      <c r="AE15" s="36" t="e">
        <f>bdrateOld($D15:$D18,E15:E18,$N15:$N18,O15:O18)</f>
        <v>#VALUE!</v>
      </c>
      <c r="AF15" s="37" t="e">
        <f>bdrateOld($D15:$D18,F15:F18,$N15:$N18,P15:P18)</f>
        <v>#VALUE!</v>
      </c>
      <c r="AG15" s="38" t="e">
        <f>bdrateOld($D15:$D18,G15:G18,$N15:$N18,Q15:Q18)</f>
        <v>#VALUE!</v>
      </c>
    </row>
    <row r="16" spans="1:33" x14ac:dyDescent="0.2">
      <c r="A16" s="12" t="s">
        <v>109</v>
      </c>
      <c r="B16" s="12"/>
      <c r="C16" s="12">
        <v>27</v>
      </c>
      <c r="D16" s="13">
        <f>Reference!B14</f>
        <v>9246.1879000000008</v>
      </c>
      <c r="E16" s="14">
        <f>Reference!C14</f>
        <v>39.8735</v>
      </c>
      <c r="F16" s="14">
        <f>Reference!D14</f>
        <v>41.625700000000002</v>
      </c>
      <c r="G16" s="14">
        <f>Reference!E14</f>
        <v>43.007599999999996</v>
      </c>
      <c r="H16" s="14">
        <f>Reference!F14</f>
        <v>50292</v>
      </c>
      <c r="I16" s="14">
        <f>Reference!G14</f>
        <v>44.908999999999999</v>
      </c>
      <c r="J16" s="14">
        <f t="shared" si="0"/>
        <v>13.97</v>
      </c>
      <c r="K16" s="26">
        <f>Reference!H14</f>
        <v>4936232</v>
      </c>
      <c r="L16" s="27">
        <f>Reference!I14</f>
        <v>1200916</v>
      </c>
      <c r="N16" s="13">
        <f>Test!B14</f>
        <v>0</v>
      </c>
      <c r="O16" s="14">
        <f>Test!C14</f>
        <v>0</v>
      </c>
      <c r="P16" s="14">
        <f>Test!D14</f>
        <v>0</v>
      </c>
      <c r="Q16" s="14">
        <f>Test!E14</f>
        <v>0</v>
      </c>
      <c r="R16" s="14">
        <f>Test!F14</f>
        <v>0</v>
      </c>
      <c r="S16" s="14">
        <f>Test!G14</f>
        <v>0</v>
      </c>
      <c r="T16" s="14">
        <f t="shared" si="1"/>
        <v>0</v>
      </c>
      <c r="U16" s="26">
        <f>Test!H14</f>
        <v>0</v>
      </c>
      <c r="V16" s="27">
        <f>Test!I14</f>
        <v>0</v>
      </c>
      <c r="W16" s="14">
        <f t="shared" si="2"/>
        <v>0</v>
      </c>
      <c r="X16" s="14">
        <f t="shared" si="3"/>
        <v>0</v>
      </c>
      <c r="Y16" s="14">
        <f t="shared" si="4"/>
        <v>0</v>
      </c>
      <c r="Z16" s="22">
        <f t="shared" si="4"/>
        <v>0</v>
      </c>
      <c r="AA16" s="39"/>
      <c r="AB16" s="40"/>
      <c r="AC16" s="41"/>
      <c r="AD16" s="42"/>
      <c r="AE16" s="40"/>
      <c r="AF16" s="41"/>
      <c r="AG16" s="42"/>
    </row>
    <row r="17" spans="1:33" x14ac:dyDescent="0.2">
      <c r="A17" s="12"/>
      <c r="B17" s="12"/>
      <c r="C17" s="12">
        <v>32</v>
      </c>
      <c r="D17" s="13">
        <f>Reference!B15</f>
        <v>5298.3095000000003</v>
      </c>
      <c r="E17" s="14">
        <f>Reference!C15</f>
        <v>38.583599999999997</v>
      </c>
      <c r="F17" s="14">
        <f>Reference!D15</f>
        <v>40.648699999999998</v>
      </c>
      <c r="G17" s="14">
        <f>Reference!E15</f>
        <v>41.115299999999998</v>
      </c>
      <c r="H17" s="14">
        <f>Reference!F15</f>
        <v>34563</v>
      </c>
      <c r="I17" s="14">
        <f>Reference!G15</f>
        <v>44.680999999999997</v>
      </c>
      <c r="J17" s="14">
        <f t="shared" si="0"/>
        <v>9.600833333333334</v>
      </c>
      <c r="K17" s="26">
        <f>Reference!H15</f>
        <v>4906748</v>
      </c>
      <c r="L17" s="27">
        <f>Reference!I15</f>
        <v>1165496</v>
      </c>
      <c r="N17" s="13">
        <f>Test!B15</f>
        <v>0</v>
      </c>
      <c r="O17" s="14">
        <f>Test!C15</f>
        <v>0</v>
      </c>
      <c r="P17" s="14">
        <f>Test!D15</f>
        <v>0</v>
      </c>
      <c r="Q17" s="14">
        <f>Test!E15</f>
        <v>0</v>
      </c>
      <c r="R17" s="14">
        <f>Test!F15</f>
        <v>0</v>
      </c>
      <c r="S17" s="14">
        <f>Test!G15</f>
        <v>0</v>
      </c>
      <c r="T17" s="14">
        <f t="shared" si="1"/>
        <v>0</v>
      </c>
      <c r="U17" s="26">
        <f>Test!H15</f>
        <v>0</v>
      </c>
      <c r="V17" s="27">
        <f>Test!I15</f>
        <v>0</v>
      </c>
      <c r="W17" s="14">
        <f t="shared" si="2"/>
        <v>0</v>
      </c>
      <c r="X17" s="14">
        <f t="shared" si="3"/>
        <v>0</v>
      </c>
      <c r="Y17" s="14">
        <f t="shared" si="4"/>
        <v>0</v>
      </c>
      <c r="Z17" s="22">
        <f t="shared" si="4"/>
        <v>0</v>
      </c>
      <c r="AA17" s="39"/>
      <c r="AB17" s="40"/>
      <c r="AC17" s="41"/>
      <c r="AD17" s="42"/>
      <c r="AE17" s="40"/>
      <c r="AF17" s="41"/>
      <c r="AG17" s="42"/>
    </row>
    <row r="18" spans="1:33" ht="12.75" customHeight="1" x14ac:dyDescent="0.2">
      <c r="A18" s="12"/>
      <c r="B18" s="15"/>
      <c r="C18" s="15">
        <v>37</v>
      </c>
      <c r="D18" s="16">
        <f>Reference!B16</f>
        <v>3174.4737</v>
      </c>
      <c r="E18" s="17">
        <f>Reference!C16</f>
        <v>36.786200000000001</v>
      </c>
      <c r="F18" s="17">
        <f>Reference!D16</f>
        <v>39.875399999999999</v>
      </c>
      <c r="G18" s="17">
        <f>Reference!E16</f>
        <v>39.740699999999997</v>
      </c>
      <c r="H18" s="17">
        <f>Reference!F16</f>
        <v>21635</v>
      </c>
      <c r="I18" s="17">
        <f>Reference!G16</f>
        <v>41.393000000000001</v>
      </c>
      <c r="J18" s="17">
        <f t="shared" si="0"/>
        <v>6.009722222222222</v>
      </c>
      <c r="K18" s="26">
        <f>Reference!H16</f>
        <v>4884984</v>
      </c>
      <c r="L18" s="27">
        <f>Reference!I16</f>
        <v>1121180</v>
      </c>
      <c r="N18" s="16">
        <f>Test!B16</f>
        <v>0</v>
      </c>
      <c r="O18" s="17">
        <f>Test!C16</f>
        <v>0</v>
      </c>
      <c r="P18" s="17">
        <f>Test!D16</f>
        <v>0</v>
      </c>
      <c r="Q18" s="17">
        <f>Test!E16</f>
        <v>0</v>
      </c>
      <c r="R18" s="17">
        <f>Test!F16</f>
        <v>0</v>
      </c>
      <c r="S18" s="17">
        <f>Test!G16</f>
        <v>0</v>
      </c>
      <c r="T18" s="17">
        <f t="shared" si="1"/>
        <v>0</v>
      </c>
      <c r="U18" s="26">
        <f>Test!H16</f>
        <v>0</v>
      </c>
      <c r="V18" s="27">
        <f>Test!I16</f>
        <v>0</v>
      </c>
      <c r="W18" s="14">
        <f t="shared" si="2"/>
        <v>0</v>
      </c>
      <c r="X18" s="14">
        <f t="shared" si="3"/>
        <v>0</v>
      </c>
      <c r="Y18" s="14">
        <f t="shared" si="4"/>
        <v>0</v>
      </c>
      <c r="Z18" s="22">
        <f t="shared" si="4"/>
        <v>0</v>
      </c>
      <c r="AA18" s="39"/>
      <c r="AB18" s="43"/>
      <c r="AC18" s="44"/>
      <c r="AD18" s="45"/>
      <c r="AE18" s="43"/>
      <c r="AF18" s="44"/>
      <c r="AG18" s="45"/>
    </row>
    <row r="19" spans="1:33" x14ac:dyDescent="0.2">
      <c r="A19" s="12"/>
      <c r="B19" s="12" t="s">
        <v>70</v>
      </c>
      <c r="C19" s="9">
        <v>22</v>
      </c>
      <c r="D19" s="10">
        <f>Reference!B17</f>
        <v>58224.66</v>
      </c>
      <c r="E19" s="11">
        <f>Reference!C17</f>
        <v>41.939900000000002</v>
      </c>
      <c r="F19" s="11">
        <f>Reference!D17</f>
        <v>46.526299999999999</v>
      </c>
      <c r="G19" s="11">
        <f>Reference!E17</f>
        <v>44.4771</v>
      </c>
      <c r="H19" s="11">
        <f>Reference!F17</f>
        <v>129590</v>
      </c>
      <c r="I19" s="11">
        <f>Reference!G17</f>
        <v>80.703000000000003</v>
      </c>
      <c r="J19" s="11">
        <f t="shared" si="0"/>
        <v>35.99722222222222</v>
      </c>
      <c r="K19" s="24">
        <f>Reference!H17</f>
        <v>5105736</v>
      </c>
      <c r="L19" s="25">
        <f>Reference!I17</f>
        <v>1038020</v>
      </c>
      <c r="N19" s="10">
        <f>Test!B17</f>
        <v>0</v>
      </c>
      <c r="O19" s="11">
        <f>Test!C17</f>
        <v>0</v>
      </c>
      <c r="P19" s="11">
        <f>Test!D17</f>
        <v>0</v>
      </c>
      <c r="Q19" s="11">
        <f>Test!E17</f>
        <v>0</v>
      </c>
      <c r="R19" s="11">
        <f>Test!F17</f>
        <v>0</v>
      </c>
      <c r="S19" s="11">
        <f>Test!G17</f>
        <v>0</v>
      </c>
      <c r="T19" s="11">
        <f t="shared" si="1"/>
        <v>0</v>
      </c>
      <c r="U19" s="24">
        <f>Test!H17</f>
        <v>0</v>
      </c>
      <c r="V19" s="25">
        <f>Test!I17</f>
        <v>0</v>
      </c>
      <c r="W19" s="14">
        <f t="shared" si="2"/>
        <v>0</v>
      </c>
      <c r="X19" s="14">
        <f t="shared" si="3"/>
        <v>0</v>
      </c>
      <c r="Y19" s="14">
        <f t="shared" si="4"/>
        <v>0</v>
      </c>
      <c r="Z19" s="22">
        <f t="shared" si="4"/>
        <v>0</v>
      </c>
      <c r="AA19" s="39"/>
      <c r="AB19" s="36" t="e">
        <f>bdrate($D19:$D22,E19:E22,$N19:$N22,O19:O22)</f>
        <v>#VALUE!</v>
      </c>
      <c r="AC19" s="37" t="e">
        <f>bdrate($D19:$D22,F19:F22,$N19:$N22,P19:P22)</f>
        <v>#VALUE!</v>
      </c>
      <c r="AD19" s="37" t="e">
        <f>bdrate($D19:$D22,G19:G22,$N19:$N22,Q19:Q22)</f>
        <v>#VALUE!</v>
      </c>
      <c r="AE19" s="46" t="e">
        <f>bdrateOld($D19:$D22,E19:E22,$N19:$N22,O19:O22)</f>
        <v>#VALUE!</v>
      </c>
      <c r="AF19" s="47" t="e">
        <f>bdrateOld($D19:$D22,F19:F22,$N19:$N22,P19:P22)</f>
        <v>#VALUE!</v>
      </c>
      <c r="AG19" s="49" t="e">
        <f>bdrateOld($D19:$D22,G19:G22,$N19:$N22,Q19:Q22)</f>
        <v>#VALUE!</v>
      </c>
    </row>
    <row r="20" spans="1:33" x14ac:dyDescent="0.2">
      <c r="A20" s="12"/>
      <c r="B20" s="12"/>
      <c r="C20" s="12">
        <v>27</v>
      </c>
      <c r="D20" s="13">
        <f>Reference!B18</f>
        <v>9069.4357999999993</v>
      </c>
      <c r="E20" s="14">
        <f>Reference!C18</f>
        <v>37.72</v>
      </c>
      <c r="F20" s="14">
        <f>Reference!D18</f>
        <v>45.259500000000003</v>
      </c>
      <c r="G20" s="14">
        <f>Reference!E18</f>
        <v>43.126800000000003</v>
      </c>
      <c r="H20" s="14">
        <f>Reference!F18</f>
        <v>62870</v>
      </c>
      <c r="I20" s="14">
        <f>Reference!G18</f>
        <v>52.677</v>
      </c>
      <c r="J20" s="14">
        <f t="shared" si="0"/>
        <v>17.463888888888889</v>
      </c>
      <c r="K20" s="26">
        <f>Reference!H18</f>
        <v>4973440</v>
      </c>
      <c r="L20" s="27">
        <f>Reference!I18</f>
        <v>964752</v>
      </c>
      <c r="N20" s="13">
        <f>Test!B18</f>
        <v>0</v>
      </c>
      <c r="O20" s="14">
        <f>Test!C18</f>
        <v>0</v>
      </c>
      <c r="P20" s="14">
        <f>Test!D18</f>
        <v>0</v>
      </c>
      <c r="Q20" s="14">
        <f>Test!E18</f>
        <v>0</v>
      </c>
      <c r="R20" s="14">
        <f>Test!F18</f>
        <v>0</v>
      </c>
      <c r="S20" s="14">
        <f>Test!G18</f>
        <v>0</v>
      </c>
      <c r="T20" s="14">
        <f t="shared" si="1"/>
        <v>0</v>
      </c>
      <c r="U20" s="26">
        <f>Test!H18</f>
        <v>0</v>
      </c>
      <c r="V20" s="27">
        <f>Test!I18</f>
        <v>0</v>
      </c>
      <c r="W20" s="14">
        <f t="shared" si="2"/>
        <v>0</v>
      </c>
      <c r="X20" s="14">
        <f t="shared" si="3"/>
        <v>0</v>
      </c>
      <c r="Y20" s="14">
        <f t="shared" si="4"/>
        <v>0</v>
      </c>
      <c r="Z20" s="22">
        <f t="shared" si="4"/>
        <v>0</v>
      </c>
      <c r="AA20" s="39"/>
      <c r="AB20" s="40"/>
      <c r="AC20" s="41"/>
      <c r="AD20" s="41"/>
      <c r="AE20" s="40"/>
      <c r="AF20" s="41"/>
      <c r="AG20" s="42"/>
    </row>
    <row r="21" spans="1:33" x14ac:dyDescent="0.2">
      <c r="A21" s="12"/>
      <c r="B21" s="12"/>
      <c r="C21" s="12">
        <v>32</v>
      </c>
      <c r="D21" s="13">
        <f>Reference!B19</f>
        <v>4894.3437000000004</v>
      </c>
      <c r="E21" s="14">
        <f>Reference!C19</f>
        <v>36.746600000000001</v>
      </c>
      <c r="F21" s="14">
        <f>Reference!D19</f>
        <v>43.861400000000003</v>
      </c>
      <c r="G21" s="14">
        <f>Reference!E19</f>
        <v>41.692300000000003</v>
      </c>
      <c r="H21" s="14">
        <f>Reference!F19</f>
        <v>34718</v>
      </c>
      <c r="I21" s="14">
        <f>Reference!G19</f>
        <v>45.164999999999999</v>
      </c>
      <c r="J21" s="14">
        <f t="shared" si="0"/>
        <v>9.6438888888888883</v>
      </c>
      <c r="K21" s="26">
        <f>Reference!H19</f>
        <v>4934068</v>
      </c>
      <c r="L21" s="27">
        <f>Reference!I19</f>
        <v>915036</v>
      </c>
      <c r="N21" s="13">
        <f>Test!B19</f>
        <v>0</v>
      </c>
      <c r="O21" s="14">
        <f>Test!C19</f>
        <v>0</v>
      </c>
      <c r="P21" s="14">
        <f>Test!D19</f>
        <v>0</v>
      </c>
      <c r="Q21" s="14">
        <f>Test!E19</f>
        <v>0</v>
      </c>
      <c r="R21" s="14">
        <f>Test!F19</f>
        <v>0</v>
      </c>
      <c r="S21" s="14">
        <f>Test!G19</f>
        <v>0</v>
      </c>
      <c r="T21" s="14">
        <f t="shared" si="1"/>
        <v>0</v>
      </c>
      <c r="U21" s="26">
        <f>Test!H19</f>
        <v>0</v>
      </c>
      <c r="V21" s="27">
        <f>Test!I19</f>
        <v>0</v>
      </c>
      <c r="W21" s="14">
        <f t="shared" si="2"/>
        <v>0</v>
      </c>
      <c r="X21" s="14">
        <f t="shared" si="3"/>
        <v>0</v>
      </c>
      <c r="Y21" s="14">
        <f t="shared" si="4"/>
        <v>0</v>
      </c>
      <c r="Z21" s="22">
        <f t="shared" si="4"/>
        <v>0</v>
      </c>
      <c r="AA21" s="39"/>
      <c r="AB21" s="40"/>
      <c r="AC21" s="41"/>
      <c r="AD21" s="41"/>
      <c r="AE21" s="40"/>
      <c r="AF21" s="41"/>
      <c r="AG21" s="42"/>
    </row>
    <row r="22" spans="1:33" ht="12.75" customHeight="1" x14ac:dyDescent="0.2">
      <c r="A22" s="12"/>
      <c r="B22" s="15"/>
      <c r="C22" s="15">
        <v>37</v>
      </c>
      <c r="D22" s="16">
        <f>Reference!B20</f>
        <v>2743.6532000000002</v>
      </c>
      <c r="E22" s="17">
        <f>Reference!C20</f>
        <v>35.330199999999998</v>
      </c>
      <c r="F22" s="17">
        <f>Reference!D20</f>
        <v>42.838700000000003</v>
      </c>
      <c r="G22" s="17">
        <f>Reference!E20</f>
        <v>40.527099999999997</v>
      </c>
      <c r="H22" s="17">
        <f>Reference!F20</f>
        <v>20871</v>
      </c>
      <c r="I22" s="17">
        <f>Reference!G20</f>
        <v>42.347000000000001</v>
      </c>
      <c r="J22" s="17">
        <f t="shared" si="0"/>
        <v>5.7975000000000003</v>
      </c>
      <c r="K22" s="26">
        <f>Reference!H20</f>
        <v>4910224</v>
      </c>
      <c r="L22" s="27">
        <f>Reference!I20</f>
        <v>905568</v>
      </c>
      <c r="N22" s="16">
        <f>Test!B20</f>
        <v>0</v>
      </c>
      <c r="O22" s="17">
        <f>Test!C20</f>
        <v>0</v>
      </c>
      <c r="P22" s="17">
        <f>Test!D20</f>
        <v>0</v>
      </c>
      <c r="Q22" s="17">
        <f>Test!E20</f>
        <v>0</v>
      </c>
      <c r="R22" s="17">
        <f>Test!F20</f>
        <v>0</v>
      </c>
      <c r="S22" s="17">
        <f>Test!G20</f>
        <v>0</v>
      </c>
      <c r="T22" s="17">
        <f t="shared" si="1"/>
        <v>0</v>
      </c>
      <c r="U22" s="26">
        <f>Test!H20</f>
        <v>0</v>
      </c>
      <c r="V22" s="27">
        <f>Test!I20</f>
        <v>0</v>
      </c>
      <c r="W22" s="14">
        <f t="shared" si="2"/>
        <v>0</v>
      </c>
      <c r="X22" s="14">
        <f t="shared" si="3"/>
        <v>0</v>
      </c>
      <c r="Y22" s="14">
        <f t="shared" si="4"/>
        <v>0</v>
      </c>
      <c r="Z22" s="22">
        <f t="shared" si="4"/>
        <v>0</v>
      </c>
      <c r="AA22" s="39"/>
      <c r="AB22" s="43"/>
      <c r="AC22" s="44"/>
      <c r="AD22" s="44"/>
      <c r="AE22" s="43"/>
      <c r="AF22" s="44"/>
      <c r="AG22" s="45"/>
    </row>
    <row r="23" spans="1:33" x14ac:dyDescent="0.2">
      <c r="A23" s="12"/>
      <c r="B23" s="12" t="s">
        <v>71</v>
      </c>
      <c r="C23" s="9">
        <v>22</v>
      </c>
      <c r="D23" s="10">
        <f>Reference!B21</f>
        <v>40549.1158</v>
      </c>
      <c r="E23" s="11">
        <f>Reference!C21</f>
        <v>47.415199999999999</v>
      </c>
      <c r="F23" s="11">
        <f>Reference!D21</f>
        <v>40.777099999999997</v>
      </c>
      <c r="G23" s="11">
        <f>Reference!E21</f>
        <v>41.339799999999997</v>
      </c>
      <c r="H23" s="11">
        <f>Reference!F21</f>
        <v>101790</v>
      </c>
      <c r="I23" s="11">
        <f>Reference!G21</f>
        <v>66.34</v>
      </c>
      <c r="J23" s="11">
        <f t="shared" si="0"/>
        <v>28.274999999999999</v>
      </c>
      <c r="K23" s="24">
        <f>Reference!H21</f>
        <v>5026356</v>
      </c>
      <c r="L23" s="25">
        <f>Reference!I21</f>
        <v>1010972</v>
      </c>
      <c r="N23" s="10">
        <f>Test!B21</f>
        <v>0</v>
      </c>
      <c r="O23" s="11">
        <f>Test!C21</f>
        <v>0</v>
      </c>
      <c r="P23" s="11">
        <f>Test!D21</f>
        <v>0</v>
      </c>
      <c r="Q23" s="11">
        <f>Test!E21</f>
        <v>0</v>
      </c>
      <c r="R23" s="11">
        <f>Test!F21</f>
        <v>0</v>
      </c>
      <c r="S23" s="11">
        <f>Test!G21</f>
        <v>0</v>
      </c>
      <c r="T23" s="11">
        <f t="shared" si="1"/>
        <v>0</v>
      </c>
      <c r="U23" s="24">
        <f>Test!H21</f>
        <v>0</v>
      </c>
      <c r="V23" s="25">
        <f>Test!I21</f>
        <v>0</v>
      </c>
      <c r="W23" s="14">
        <f t="shared" si="2"/>
        <v>0</v>
      </c>
      <c r="X23" s="14">
        <f t="shared" si="3"/>
        <v>0</v>
      </c>
      <c r="Y23" s="14">
        <f t="shared" si="4"/>
        <v>0</v>
      </c>
      <c r="Z23" s="22">
        <f t="shared" si="4"/>
        <v>0</v>
      </c>
      <c r="AA23" s="39"/>
      <c r="AB23" s="36" t="e">
        <f>bdrate($D23:$D26,E23:E26,$N23:$N26,O23:O26)</f>
        <v>#VALUE!</v>
      </c>
      <c r="AC23" s="37" t="e">
        <f>bdrate($D23:$D26,F23:F26,$N23:$N26,P23:P26)</f>
        <v>#VALUE!</v>
      </c>
      <c r="AD23" s="37" t="e">
        <f>bdrate($D23:$D26,G23:G26,$N23:$N26,Q23:Q26)</f>
        <v>#VALUE!</v>
      </c>
      <c r="AE23" s="46" t="e">
        <f>bdrateOld($D23:$D26,E23:E26,$N23:$N26,O23:O26)</f>
        <v>#VALUE!</v>
      </c>
      <c r="AF23" s="47" t="e">
        <f>bdrateOld($D23:$D26,F23:F26,$N23:$N26,P23:P26)</f>
        <v>#VALUE!</v>
      </c>
      <c r="AG23" s="49" t="e">
        <f>bdrateOld($D23:$D26,G23:G26,$N23:$N26,Q23:Q26)</f>
        <v>#VALUE!</v>
      </c>
    </row>
    <row r="24" spans="1:33" x14ac:dyDescent="0.2">
      <c r="A24" s="12"/>
      <c r="B24" s="12"/>
      <c r="C24" s="12">
        <v>27</v>
      </c>
      <c r="D24" s="13">
        <f>Reference!B22</f>
        <v>21537.9882</v>
      </c>
      <c r="E24" s="14">
        <f>Reference!C22</f>
        <v>43.629899999999999</v>
      </c>
      <c r="F24" s="14">
        <f>Reference!D22</f>
        <v>37.061700000000002</v>
      </c>
      <c r="G24" s="14">
        <f>Reference!E22</f>
        <v>38.051499999999997</v>
      </c>
      <c r="H24" s="14">
        <f>Reference!F22</f>
        <v>83367</v>
      </c>
      <c r="I24" s="14">
        <f>Reference!G22</f>
        <v>63.372999999999998</v>
      </c>
      <c r="J24" s="14">
        <f t="shared" si="0"/>
        <v>23.157499999999999</v>
      </c>
      <c r="K24" s="26">
        <f>Reference!H22</f>
        <v>4995336</v>
      </c>
      <c r="L24" s="27">
        <f>Reference!I22</f>
        <v>993000</v>
      </c>
      <c r="N24" s="13">
        <f>Test!B22</f>
        <v>0</v>
      </c>
      <c r="O24" s="14">
        <f>Test!C22</f>
        <v>0</v>
      </c>
      <c r="P24" s="14">
        <f>Test!D22</f>
        <v>0</v>
      </c>
      <c r="Q24" s="14">
        <f>Test!E22</f>
        <v>0</v>
      </c>
      <c r="R24" s="14">
        <f>Test!F22</f>
        <v>0</v>
      </c>
      <c r="S24" s="14">
        <f>Test!G22</f>
        <v>0</v>
      </c>
      <c r="T24" s="14">
        <f t="shared" si="1"/>
        <v>0</v>
      </c>
      <c r="U24" s="26">
        <f>Test!H22</f>
        <v>0</v>
      </c>
      <c r="V24" s="27">
        <f>Test!I22</f>
        <v>0</v>
      </c>
      <c r="W24" s="14">
        <f t="shared" si="2"/>
        <v>0</v>
      </c>
      <c r="X24" s="14">
        <f t="shared" si="3"/>
        <v>0</v>
      </c>
      <c r="Y24" s="14">
        <f t="shared" si="4"/>
        <v>0</v>
      </c>
      <c r="Z24" s="22">
        <f t="shared" si="4"/>
        <v>0</v>
      </c>
      <c r="AA24" s="39"/>
      <c r="AB24" s="40"/>
      <c r="AC24" s="41"/>
      <c r="AD24" s="41"/>
      <c r="AE24" s="40"/>
      <c r="AF24" s="41"/>
      <c r="AG24" s="42"/>
    </row>
    <row r="25" spans="1:33" x14ac:dyDescent="0.2">
      <c r="A25" s="12"/>
      <c r="B25" s="12"/>
      <c r="C25" s="12">
        <v>32</v>
      </c>
      <c r="D25" s="13">
        <f>Reference!B23</f>
        <v>11310.9105</v>
      </c>
      <c r="E25" s="14">
        <f>Reference!C23</f>
        <v>39.950000000000003</v>
      </c>
      <c r="F25" s="14">
        <f>Reference!D23</f>
        <v>33.9071</v>
      </c>
      <c r="G25" s="14">
        <f>Reference!E23</f>
        <v>35.927599999999998</v>
      </c>
      <c r="H25" s="14">
        <f>Reference!F23</f>
        <v>61054</v>
      </c>
      <c r="I25" s="14">
        <f>Reference!G23</f>
        <v>52.997999999999998</v>
      </c>
      <c r="J25" s="14">
        <f t="shared" si="0"/>
        <v>16.959444444444443</v>
      </c>
      <c r="K25" s="26">
        <f>Reference!H23</f>
        <v>4962052</v>
      </c>
      <c r="L25" s="27">
        <f>Reference!I23</f>
        <v>934568</v>
      </c>
      <c r="N25" s="13">
        <f>Test!B23</f>
        <v>0</v>
      </c>
      <c r="O25" s="14">
        <f>Test!C23</f>
        <v>0</v>
      </c>
      <c r="P25" s="14">
        <f>Test!D23</f>
        <v>0</v>
      </c>
      <c r="Q25" s="14">
        <f>Test!E23</f>
        <v>0</v>
      </c>
      <c r="R25" s="14">
        <f>Test!F23</f>
        <v>0</v>
      </c>
      <c r="S25" s="14">
        <f>Test!G23</f>
        <v>0</v>
      </c>
      <c r="T25" s="14">
        <f t="shared" si="1"/>
        <v>0</v>
      </c>
      <c r="U25" s="26">
        <f>Test!H23</f>
        <v>0</v>
      </c>
      <c r="V25" s="27">
        <f>Test!I23</f>
        <v>0</v>
      </c>
      <c r="W25" s="14">
        <f t="shared" si="2"/>
        <v>0</v>
      </c>
      <c r="X25" s="14">
        <f t="shared" si="3"/>
        <v>0</v>
      </c>
      <c r="Y25" s="14">
        <f t="shared" si="4"/>
        <v>0</v>
      </c>
      <c r="Z25" s="22">
        <f t="shared" si="4"/>
        <v>0</v>
      </c>
      <c r="AA25" s="39"/>
      <c r="AB25" s="40"/>
      <c r="AC25" s="41"/>
      <c r="AD25" s="41"/>
      <c r="AE25" s="40"/>
      <c r="AF25" s="41"/>
      <c r="AG25" s="42"/>
    </row>
    <row r="26" spans="1:33" ht="12.75" customHeight="1" x14ac:dyDescent="0.2">
      <c r="A26" s="12"/>
      <c r="B26" s="15"/>
      <c r="C26" s="15">
        <v>37</v>
      </c>
      <c r="D26" s="16">
        <f>Reference!B24</f>
        <v>6158.6566000000003</v>
      </c>
      <c r="E26" s="17">
        <f>Reference!C24</f>
        <v>36.447699999999998</v>
      </c>
      <c r="F26" s="17">
        <f>Reference!D24</f>
        <v>32.1982</v>
      </c>
      <c r="G26" s="17">
        <f>Reference!E24</f>
        <v>34.514499999999998</v>
      </c>
      <c r="H26" s="17">
        <f>Reference!F24</f>
        <v>44941</v>
      </c>
      <c r="I26" s="17">
        <f>Reference!G24</f>
        <v>48.226999999999997</v>
      </c>
      <c r="J26" s="17">
        <f t="shared" si="0"/>
        <v>12.483611111111111</v>
      </c>
      <c r="K26" s="26">
        <f>Reference!H24</f>
        <v>4938416</v>
      </c>
      <c r="L26" s="27">
        <f>Reference!I24</f>
        <v>919788</v>
      </c>
      <c r="N26" s="16">
        <f>Test!B24</f>
        <v>0</v>
      </c>
      <c r="O26" s="17">
        <f>Test!C24</f>
        <v>0</v>
      </c>
      <c r="P26" s="17">
        <f>Test!D24</f>
        <v>0</v>
      </c>
      <c r="Q26" s="17">
        <f>Test!E24</f>
        <v>0</v>
      </c>
      <c r="R26" s="17">
        <f>Test!F24</f>
        <v>0</v>
      </c>
      <c r="S26" s="17">
        <f>Test!G24</f>
        <v>0</v>
      </c>
      <c r="T26" s="17">
        <f t="shared" si="1"/>
        <v>0</v>
      </c>
      <c r="U26" s="26">
        <f>Test!H24</f>
        <v>0</v>
      </c>
      <c r="V26" s="27">
        <f>Test!I24</f>
        <v>0</v>
      </c>
      <c r="W26" s="14">
        <f t="shared" si="2"/>
        <v>0</v>
      </c>
      <c r="X26" s="14">
        <f t="shared" si="3"/>
        <v>0</v>
      </c>
      <c r="Y26" s="14">
        <f t="shared" si="4"/>
        <v>0</v>
      </c>
      <c r="Z26" s="22">
        <f t="shared" si="4"/>
        <v>0</v>
      </c>
      <c r="AA26" s="39"/>
      <c r="AB26" s="43"/>
      <c r="AC26" s="44"/>
      <c r="AD26" s="44"/>
      <c r="AE26" s="43"/>
      <c r="AF26" s="44"/>
      <c r="AG26" s="45"/>
    </row>
    <row r="27" spans="1:33" x14ac:dyDescent="0.2">
      <c r="A27" s="9" t="s">
        <v>22</v>
      </c>
      <c r="B27" s="9" t="s">
        <v>72</v>
      </c>
      <c r="C27" s="9">
        <v>22</v>
      </c>
      <c r="D27" s="10">
        <f>Reference!B25</f>
        <v>9979.9896000000008</v>
      </c>
      <c r="E27" s="11">
        <f>Reference!C25</f>
        <v>43.266399999999997</v>
      </c>
      <c r="F27" s="11">
        <f>Reference!D25</f>
        <v>45.755499999999998</v>
      </c>
      <c r="G27" s="11">
        <f>Reference!E25</f>
        <v>46.387099999999997</v>
      </c>
      <c r="H27" s="11">
        <f>Reference!F25</f>
        <v>61865</v>
      </c>
      <c r="I27" s="11">
        <f>Reference!G25</f>
        <v>37.024000000000001</v>
      </c>
      <c r="J27" s="11">
        <f t="shared" si="0"/>
        <v>17.184722222222224</v>
      </c>
      <c r="K27" s="24">
        <f>Reference!H25</f>
        <v>3146248</v>
      </c>
      <c r="L27" s="25">
        <f>Reference!I25</f>
        <v>446880</v>
      </c>
      <c r="N27" s="10">
        <f>Test!B25</f>
        <v>0</v>
      </c>
      <c r="O27" s="11">
        <f>Test!C25</f>
        <v>0</v>
      </c>
      <c r="P27" s="11">
        <f>Test!D25</f>
        <v>0</v>
      </c>
      <c r="Q27" s="11">
        <f>Test!E25</f>
        <v>0</v>
      </c>
      <c r="R27" s="11">
        <f>Test!F25</f>
        <v>0</v>
      </c>
      <c r="S27" s="11">
        <f>Test!G25</f>
        <v>0</v>
      </c>
      <c r="T27" s="11">
        <f t="shared" si="1"/>
        <v>0</v>
      </c>
      <c r="U27" s="24">
        <f>Test!H25</f>
        <v>0</v>
      </c>
      <c r="V27" s="25">
        <f>Test!I25</f>
        <v>0</v>
      </c>
      <c r="W27" s="11">
        <f t="shared" si="2"/>
        <v>0</v>
      </c>
      <c r="X27" s="11">
        <f t="shared" si="3"/>
        <v>0</v>
      </c>
      <c r="Y27" s="11">
        <f t="shared" si="4"/>
        <v>0</v>
      </c>
      <c r="Z27" s="21">
        <f t="shared" si="4"/>
        <v>0</v>
      </c>
      <c r="AA27" s="35"/>
      <c r="AB27" s="36" t="e">
        <f>bdrate($D27:$D30,E27:E30,$N27:$N30,O27:O30)</f>
        <v>#VALUE!</v>
      </c>
      <c r="AC27" s="37" t="e">
        <f>bdrate($D27:$D30,F27:F30,$N27:$N30,P27:P30)</f>
        <v>#VALUE!</v>
      </c>
      <c r="AD27" s="38" t="e">
        <f>bdrate($D27:$D30,G27:G30,$N27:$N30,Q27:Q30)</f>
        <v>#VALUE!</v>
      </c>
      <c r="AE27" s="36" t="e">
        <f>bdrateOld($D27:$D30,E27:E30,$N27:$N30,O27:O30)</f>
        <v>#VALUE!</v>
      </c>
      <c r="AF27" s="37" t="e">
        <f>bdrateOld($D27:$D30,F27:F30,$N27:$N30,P27:P30)</f>
        <v>#VALUE!</v>
      </c>
      <c r="AG27" s="38" t="e">
        <f>bdrateOld($D27:$D30,G27:G30,$N27:$N30,Q27:Q30)</f>
        <v>#VALUE!</v>
      </c>
    </row>
    <row r="28" spans="1:33" x14ac:dyDescent="0.2">
      <c r="A28" s="12" t="s">
        <v>111</v>
      </c>
      <c r="B28" s="12"/>
      <c r="C28" s="12">
        <v>27</v>
      </c>
      <c r="D28" s="13">
        <f>Reference!B26</f>
        <v>5165.1863999999996</v>
      </c>
      <c r="E28" s="14">
        <f>Reference!C26</f>
        <v>40.529600000000002</v>
      </c>
      <c r="F28" s="14">
        <f>Reference!D26</f>
        <v>43.753999999999998</v>
      </c>
      <c r="G28" s="14">
        <f>Reference!E26</f>
        <v>44.529800000000002</v>
      </c>
      <c r="H28" s="14">
        <f>Reference!F26</f>
        <v>42574</v>
      </c>
      <c r="I28" s="14">
        <f>Reference!G26</f>
        <v>32.176000000000002</v>
      </c>
      <c r="J28" s="14">
        <f t="shared" si="0"/>
        <v>11.826111111111111</v>
      </c>
      <c r="K28" s="26">
        <f>Reference!H26</f>
        <v>3137232</v>
      </c>
      <c r="L28" s="27">
        <f>Reference!I26</f>
        <v>439516</v>
      </c>
      <c r="N28" s="13">
        <f>Test!B26</f>
        <v>0</v>
      </c>
      <c r="O28" s="14">
        <f>Test!C26</f>
        <v>0</v>
      </c>
      <c r="P28" s="14">
        <f>Test!D26</f>
        <v>0</v>
      </c>
      <c r="Q28" s="14">
        <f>Test!E26</f>
        <v>0</v>
      </c>
      <c r="R28" s="14">
        <f>Test!F26</f>
        <v>0</v>
      </c>
      <c r="S28" s="14">
        <f>Test!G26</f>
        <v>0</v>
      </c>
      <c r="T28" s="14">
        <f t="shared" si="1"/>
        <v>0</v>
      </c>
      <c r="U28" s="26">
        <f>Test!H26</f>
        <v>0</v>
      </c>
      <c r="V28" s="27">
        <f>Test!I26</f>
        <v>0</v>
      </c>
      <c r="W28" s="14">
        <f t="shared" si="2"/>
        <v>0</v>
      </c>
      <c r="X28" s="14">
        <f t="shared" si="3"/>
        <v>0</v>
      </c>
      <c r="Y28" s="14">
        <f t="shared" si="4"/>
        <v>0</v>
      </c>
      <c r="Z28" s="22">
        <f t="shared" si="4"/>
        <v>0</v>
      </c>
      <c r="AA28" s="39"/>
      <c r="AB28" s="40"/>
      <c r="AC28" s="41"/>
      <c r="AD28" s="42"/>
      <c r="AE28" s="40"/>
      <c r="AF28" s="41"/>
      <c r="AG28" s="42"/>
    </row>
    <row r="29" spans="1:33" x14ac:dyDescent="0.2">
      <c r="A29" s="12"/>
      <c r="B29" s="12"/>
      <c r="C29" s="12">
        <v>32</v>
      </c>
      <c r="D29" s="13">
        <f>Reference!B27</f>
        <v>2861.0792000000001</v>
      </c>
      <c r="E29" s="14">
        <f>Reference!C27</f>
        <v>38.1432</v>
      </c>
      <c r="F29" s="14">
        <f>Reference!D27</f>
        <v>41.984000000000002</v>
      </c>
      <c r="G29" s="14">
        <f>Reference!E27</f>
        <v>42.522500000000001</v>
      </c>
      <c r="H29" s="14">
        <f>Reference!F27</f>
        <v>27258</v>
      </c>
      <c r="I29" s="14">
        <f>Reference!G27</f>
        <v>25.73</v>
      </c>
      <c r="J29" s="14">
        <f t="shared" si="0"/>
        <v>7.5716666666666663</v>
      </c>
      <c r="K29" s="26">
        <f>Reference!H27</f>
        <v>3126840</v>
      </c>
      <c r="L29" s="27">
        <f>Reference!I27</f>
        <v>445296</v>
      </c>
      <c r="N29" s="13">
        <f>Test!B27</f>
        <v>0</v>
      </c>
      <c r="O29" s="14">
        <f>Test!C27</f>
        <v>0</v>
      </c>
      <c r="P29" s="14">
        <f>Test!D27</f>
        <v>0</v>
      </c>
      <c r="Q29" s="14">
        <f>Test!E27</f>
        <v>0</v>
      </c>
      <c r="R29" s="14">
        <f>Test!F27</f>
        <v>0</v>
      </c>
      <c r="S29" s="14">
        <f>Test!G27</f>
        <v>0</v>
      </c>
      <c r="T29" s="14">
        <f t="shared" si="1"/>
        <v>0</v>
      </c>
      <c r="U29" s="26">
        <f>Test!H27</f>
        <v>0</v>
      </c>
      <c r="V29" s="27">
        <f>Test!I27</f>
        <v>0</v>
      </c>
      <c r="W29" s="14">
        <f t="shared" si="2"/>
        <v>0</v>
      </c>
      <c r="X29" s="14">
        <f t="shared" si="3"/>
        <v>0</v>
      </c>
      <c r="Y29" s="14">
        <f t="shared" si="4"/>
        <v>0</v>
      </c>
      <c r="Z29" s="22">
        <f t="shared" si="4"/>
        <v>0</v>
      </c>
      <c r="AA29" s="39"/>
      <c r="AB29" s="40"/>
      <c r="AC29" s="41"/>
      <c r="AD29" s="42"/>
      <c r="AE29" s="40"/>
      <c r="AF29" s="41"/>
      <c r="AG29" s="42"/>
    </row>
    <row r="30" spans="1:33" ht="12.75" customHeight="1" x14ac:dyDescent="0.2">
      <c r="A30" s="12"/>
      <c r="B30" s="15"/>
      <c r="C30" s="15">
        <v>37</v>
      </c>
      <c r="D30" s="16">
        <f>Reference!B28</f>
        <v>1538.1672000000001</v>
      </c>
      <c r="E30" s="17">
        <f>Reference!C28</f>
        <v>35.652299999999997</v>
      </c>
      <c r="F30" s="17">
        <f>Reference!D28</f>
        <v>40.794899999999998</v>
      </c>
      <c r="G30" s="17">
        <f>Reference!E28</f>
        <v>41.341000000000001</v>
      </c>
      <c r="H30" s="17">
        <f>Reference!F28</f>
        <v>15992</v>
      </c>
      <c r="I30" s="17">
        <f>Reference!G28</f>
        <v>18.324000000000002</v>
      </c>
      <c r="J30" s="17">
        <f t="shared" si="0"/>
        <v>4.4422222222222221</v>
      </c>
      <c r="K30" s="26">
        <f>Reference!H28</f>
        <v>3118896</v>
      </c>
      <c r="L30" s="27">
        <f>Reference!I28</f>
        <v>424376</v>
      </c>
      <c r="N30" s="16">
        <f>Test!B28</f>
        <v>0</v>
      </c>
      <c r="O30" s="17">
        <f>Test!C28</f>
        <v>0</v>
      </c>
      <c r="P30" s="17">
        <f>Test!D28</f>
        <v>0</v>
      </c>
      <c r="Q30" s="17">
        <f>Test!E28</f>
        <v>0</v>
      </c>
      <c r="R30" s="17">
        <f>Test!F28</f>
        <v>0</v>
      </c>
      <c r="S30" s="17">
        <f>Test!G28</f>
        <v>0</v>
      </c>
      <c r="T30" s="17">
        <f t="shared" si="1"/>
        <v>0</v>
      </c>
      <c r="U30" s="26">
        <f>Test!H28</f>
        <v>0</v>
      </c>
      <c r="V30" s="27">
        <f>Test!I28</f>
        <v>0</v>
      </c>
      <c r="W30" s="14">
        <f t="shared" si="2"/>
        <v>0</v>
      </c>
      <c r="X30" s="14">
        <f t="shared" si="3"/>
        <v>0</v>
      </c>
      <c r="Y30" s="14">
        <f t="shared" si="4"/>
        <v>0</v>
      </c>
      <c r="Z30" s="22">
        <f t="shared" si="4"/>
        <v>0</v>
      </c>
      <c r="AA30" s="39"/>
      <c r="AB30" s="43"/>
      <c r="AC30" s="44"/>
      <c r="AD30" s="45"/>
      <c r="AE30" s="43"/>
      <c r="AF30" s="44"/>
      <c r="AG30" s="45"/>
    </row>
    <row r="31" spans="1:33" x14ac:dyDescent="0.2">
      <c r="A31" s="12"/>
      <c r="B31" s="9" t="s">
        <v>73</v>
      </c>
      <c r="C31" s="9">
        <v>22</v>
      </c>
      <c r="D31" s="10">
        <f>Reference!B29</f>
        <v>5740.5847999999996</v>
      </c>
      <c r="E31" s="11">
        <f>Reference!C29</f>
        <v>46.583399999999997</v>
      </c>
      <c r="F31" s="11">
        <f>Reference!D29</f>
        <v>49.686599999999999</v>
      </c>
      <c r="G31" s="11">
        <f>Reference!E29</f>
        <v>50.546900000000001</v>
      </c>
      <c r="H31" s="11">
        <f>Reference!F29</f>
        <v>46960</v>
      </c>
      <c r="I31" s="11">
        <f>Reference!G29</f>
        <v>38.656999999999996</v>
      </c>
      <c r="J31" s="11">
        <f t="shared" si="0"/>
        <v>13.044444444444444</v>
      </c>
      <c r="K31" s="24">
        <f>Reference!H29</f>
        <v>3142100</v>
      </c>
      <c r="L31" s="25">
        <f>Reference!I29</f>
        <v>448276</v>
      </c>
      <c r="N31" s="10">
        <f>Test!B29</f>
        <v>0</v>
      </c>
      <c r="O31" s="11">
        <f>Test!C29</f>
        <v>0</v>
      </c>
      <c r="P31" s="11">
        <f>Test!D29</f>
        <v>0</v>
      </c>
      <c r="Q31" s="11">
        <f>Test!E29</f>
        <v>0</v>
      </c>
      <c r="R31" s="11">
        <f>Test!F29</f>
        <v>0</v>
      </c>
      <c r="S31" s="11">
        <f>Test!G29</f>
        <v>0</v>
      </c>
      <c r="T31" s="11">
        <f t="shared" si="1"/>
        <v>0</v>
      </c>
      <c r="U31" s="24">
        <f>Test!H29</f>
        <v>0</v>
      </c>
      <c r="V31" s="25">
        <f>Test!I29</f>
        <v>0</v>
      </c>
      <c r="W31" s="14">
        <f t="shared" si="2"/>
        <v>0</v>
      </c>
      <c r="X31" s="14">
        <f t="shared" si="3"/>
        <v>0</v>
      </c>
      <c r="Y31" s="14">
        <f t="shared" si="4"/>
        <v>0</v>
      </c>
      <c r="Z31" s="22">
        <f t="shared" si="4"/>
        <v>0</v>
      </c>
      <c r="AA31" s="39"/>
      <c r="AB31" s="36" t="e">
        <f>bdrate($D31:$D34,E31:E34,$N31:$N34,O31:O34)</f>
        <v>#VALUE!</v>
      </c>
      <c r="AC31" s="37" t="e">
        <f>bdrate($D31:$D34,F31:F34,$N31:$N34,P31:P34)</f>
        <v>#VALUE!</v>
      </c>
      <c r="AD31" s="37" t="e">
        <f>bdrate($D31:$D34,G31:G34,$N31:$N34,Q31:Q34)</f>
        <v>#VALUE!</v>
      </c>
      <c r="AE31" s="46" t="e">
        <f>bdrateOld($D31:$D34,E31:E34,$N31:$N34,O31:O34)</f>
        <v>#VALUE!</v>
      </c>
      <c r="AF31" s="47" t="e">
        <f>bdrateOld($D31:$D34,F31:F34,$N31:$N34,P31:P34)</f>
        <v>#VALUE!</v>
      </c>
      <c r="AG31" s="49" t="e">
        <f>bdrateOld($D31:$D34,G31:G34,$N31:$N34,Q31:Q34)</f>
        <v>#VALUE!</v>
      </c>
    </row>
    <row r="32" spans="1:33" x14ac:dyDescent="0.2">
      <c r="A32" s="12"/>
      <c r="B32" s="12"/>
      <c r="C32" s="12">
        <v>27</v>
      </c>
      <c r="D32" s="13">
        <f>Reference!B30</f>
        <v>3363.3616000000002</v>
      </c>
      <c r="E32" s="14">
        <f>Reference!C30</f>
        <v>43.845100000000002</v>
      </c>
      <c r="F32" s="14">
        <f>Reference!D30</f>
        <v>47.3626</v>
      </c>
      <c r="G32" s="14">
        <f>Reference!E30</f>
        <v>47.735100000000003</v>
      </c>
      <c r="H32" s="14">
        <f>Reference!F30</f>
        <v>32655</v>
      </c>
      <c r="I32" s="14">
        <f>Reference!G30</f>
        <v>34.082000000000001</v>
      </c>
      <c r="J32" s="14">
        <f t="shared" si="0"/>
        <v>9.0708333333333329</v>
      </c>
      <c r="K32" s="26">
        <f>Reference!H30</f>
        <v>3129664</v>
      </c>
      <c r="L32" s="27">
        <f>Reference!I30</f>
        <v>434984</v>
      </c>
      <c r="N32" s="13">
        <f>Test!B30</f>
        <v>0</v>
      </c>
      <c r="O32" s="14">
        <f>Test!C30</f>
        <v>0</v>
      </c>
      <c r="P32" s="14">
        <f>Test!D30</f>
        <v>0</v>
      </c>
      <c r="Q32" s="14">
        <f>Test!E30</f>
        <v>0</v>
      </c>
      <c r="R32" s="14">
        <f>Test!F30</f>
        <v>0</v>
      </c>
      <c r="S32" s="14">
        <f>Test!G30</f>
        <v>0</v>
      </c>
      <c r="T32" s="14">
        <f t="shared" si="1"/>
        <v>0</v>
      </c>
      <c r="U32" s="26">
        <f>Test!H30</f>
        <v>0</v>
      </c>
      <c r="V32" s="27">
        <f>Test!I30</f>
        <v>0</v>
      </c>
      <c r="W32" s="14">
        <f t="shared" si="2"/>
        <v>0</v>
      </c>
      <c r="X32" s="14">
        <f t="shared" si="3"/>
        <v>0</v>
      </c>
      <c r="Y32" s="14">
        <f t="shared" si="4"/>
        <v>0</v>
      </c>
      <c r="Z32" s="22">
        <f t="shared" si="4"/>
        <v>0</v>
      </c>
      <c r="AA32" s="39"/>
      <c r="AB32" s="40"/>
      <c r="AC32" s="41"/>
      <c r="AD32" s="41"/>
      <c r="AE32" s="40"/>
      <c r="AF32" s="41"/>
      <c r="AG32" s="42"/>
    </row>
    <row r="33" spans="1:33" x14ac:dyDescent="0.2">
      <c r="A33" s="12"/>
      <c r="B33" s="12"/>
      <c r="C33" s="12">
        <v>32</v>
      </c>
      <c r="D33" s="13">
        <f>Reference!B31</f>
        <v>1894.5319999999999</v>
      </c>
      <c r="E33" s="14">
        <f>Reference!C31</f>
        <v>40.830599999999997</v>
      </c>
      <c r="F33" s="14">
        <f>Reference!D31</f>
        <v>44.850099999999998</v>
      </c>
      <c r="G33" s="14">
        <f>Reference!E31</f>
        <v>44.7468</v>
      </c>
      <c r="H33" s="14">
        <f>Reference!F31</f>
        <v>18073</v>
      </c>
      <c r="I33" s="14">
        <f>Reference!G31</f>
        <v>23.058</v>
      </c>
      <c r="J33" s="14">
        <f t="shared" si="0"/>
        <v>5.0202777777777774</v>
      </c>
      <c r="K33" s="26">
        <f>Reference!H31</f>
        <v>3118780</v>
      </c>
      <c r="L33" s="27">
        <f>Reference!I31</f>
        <v>456880</v>
      </c>
      <c r="N33" s="13">
        <f>Test!B31</f>
        <v>0</v>
      </c>
      <c r="O33" s="14">
        <f>Test!C31</f>
        <v>0</v>
      </c>
      <c r="P33" s="14">
        <f>Test!D31</f>
        <v>0</v>
      </c>
      <c r="Q33" s="14">
        <f>Test!E31</f>
        <v>0</v>
      </c>
      <c r="R33" s="14">
        <f>Test!F31</f>
        <v>0</v>
      </c>
      <c r="S33" s="14">
        <f>Test!G31</f>
        <v>0</v>
      </c>
      <c r="T33" s="14">
        <f t="shared" si="1"/>
        <v>0</v>
      </c>
      <c r="U33" s="26">
        <f>Test!H31</f>
        <v>0</v>
      </c>
      <c r="V33" s="27">
        <f>Test!I31</f>
        <v>0</v>
      </c>
      <c r="W33" s="14">
        <f t="shared" si="2"/>
        <v>0</v>
      </c>
      <c r="X33" s="14">
        <f t="shared" si="3"/>
        <v>0</v>
      </c>
      <c r="Y33" s="14">
        <f t="shared" si="4"/>
        <v>0</v>
      </c>
      <c r="Z33" s="22">
        <f t="shared" si="4"/>
        <v>0</v>
      </c>
      <c r="AA33" s="39"/>
      <c r="AB33" s="40"/>
      <c r="AC33" s="41"/>
      <c r="AD33" s="41"/>
      <c r="AE33" s="40"/>
      <c r="AF33" s="41"/>
      <c r="AG33" s="42"/>
    </row>
    <row r="34" spans="1:33" ht="12.75" customHeight="1" x14ac:dyDescent="0.2">
      <c r="A34" s="12"/>
      <c r="B34" s="15"/>
      <c r="C34" s="15">
        <v>37</v>
      </c>
      <c r="D34" s="16">
        <f>Reference!B32</f>
        <v>1057.8504</v>
      </c>
      <c r="E34" s="17">
        <f>Reference!C32</f>
        <v>37.968899999999998</v>
      </c>
      <c r="F34" s="17">
        <f>Reference!D32</f>
        <v>43.266100000000002</v>
      </c>
      <c r="G34" s="17">
        <f>Reference!E32</f>
        <v>43.226300000000002</v>
      </c>
      <c r="H34" s="17">
        <f>Reference!F32</f>
        <v>10801</v>
      </c>
      <c r="I34" s="17">
        <f>Reference!G32</f>
        <v>15.715999999999999</v>
      </c>
      <c r="J34" s="17">
        <f t="shared" si="0"/>
        <v>3.0002777777777778</v>
      </c>
      <c r="K34" s="26">
        <f>Reference!H32</f>
        <v>3091716</v>
      </c>
      <c r="L34" s="27">
        <f>Reference!I32</f>
        <v>422944</v>
      </c>
      <c r="N34" s="16">
        <f>Test!B32</f>
        <v>0</v>
      </c>
      <c r="O34" s="17">
        <f>Test!C32</f>
        <v>0</v>
      </c>
      <c r="P34" s="17">
        <f>Test!D32</f>
        <v>0</v>
      </c>
      <c r="Q34" s="17">
        <f>Test!E32</f>
        <v>0</v>
      </c>
      <c r="R34" s="17">
        <f>Test!F32</f>
        <v>0</v>
      </c>
      <c r="S34" s="17">
        <f>Test!G32</f>
        <v>0</v>
      </c>
      <c r="T34" s="17">
        <f t="shared" si="1"/>
        <v>0</v>
      </c>
      <c r="U34" s="26">
        <f>Test!H32</f>
        <v>0</v>
      </c>
      <c r="V34" s="27">
        <f>Test!I32</f>
        <v>0</v>
      </c>
      <c r="W34" s="14">
        <f t="shared" si="2"/>
        <v>0</v>
      </c>
      <c r="X34" s="14">
        <f t="shared" si="3"/>
        <v>0</v>
      </c>
      <c r="Y34" s="14">
        <f t="shared" si="4"/>
        <v>0</v>
      </c>
      <c r="Z34" s="22">
        <f t="shared" si="4"/>
        <v>0</v>
      </c>
      <c r="AA34" s="39"/>
      <c r="AB34" s="43"/>
      <c r="AC34" s="44"/>
      <c r="AD34" s="44"/>
      <c r="AE34" s="43"/>
      <c r="AF34" s="44"/>
      <c r="AG34" s="45"/>
    </row>
    <row r="35" spans="1:33" x14ac:dyDescent="0.2">
      <c r="A35" s="12"/>
      <c r="B35" s="9" t="s">
        <v>74</v>
      </c>
      <c r="C35" s="9">
        <v>22</v>
      </c>
      <c r="D35" s="10">
        <f>Reference!B33</f>
        <v>11835.9611</v>
      </c>
      <c r="E35" s="11">
        <f>Reference!C33</f>
        <v>41.352899999999998</v>
      </c>
      <c r="F35" s="11">
        <f>Reference!D33</f>
        <v>41.7943</v>
      </c>
      <c r="G35" s="11">
        <f>Reference!E33</f>
        <v>45.130899999999997</v>
      </c>
      <c r="H35" s="11">
        <f>Reference!F33</f>
        <v>62131</v>
      </c>
      <c r="I35" s="11">
        <f>Reference!G33</f>
        <v>43.872</v>
      </c>
      <c r="J35" s="11">
        <f t="shared" ref="J35:J66" si="5">H35/3600</f>
        <v>17.258611111111112</v>
      </c>
      <c r="K35" s="24">
        <f>Reference!H33</f>
        <v>3160576</v>
      </c>
      <c r="L35" s="25">
        <f>Reference!I33</f>
        <v>463164</v>
      </c>
      <c r="N35" s="10">
        <f>Test!B33</f>
        <v>0</v>
      </c>
      <c r="O35" s="11">
        <f>Test!C33</f>
        <v>0</v>
      </c>
      <c r="P35" s="11">
        <f>Test!D33</f>
        <v>0</v>
      </c>
      <c r="Q35" s="11">
        <f>Test!E33</f>
        <v>0</v>
      </c>
      <c r="R35" s="11">
        <f>Test!F33</f>
        <v>0</v>
      </c>
      <c r="S35" s="11">
        <f>Test!G33</f>
        <v>0</v>
      </c>
      <c r="T35" s="11">
        <f t="shared" ref="T35:T66" si="6">R35/3600</f>
        <v>0</v>
      </c>
      <c r="U35" s="24">
        <f>Test!H33</f>
        <v>0</v>
      </c>
      <c r="V35" s="25">
        <f>Test!I33</f>
        <v>0</v>
      </c>
      <c r="W35" s="14">
        <f t="shared" ref="W35:W66" si="7">R35/H35</f>
        <v>0</v>
      </c>
      <c r="X35" s="14">
        <f t="shared" ref="X35:X66" si="8">S35/I35</f>
        <v>0</v>
      </c>
      <c r="Y35" s="14">
        <f t="shared" si="4"/>
        <v>0</v>
      </c>
      <c r="Z35" s="22">
        <f t="shared" si="4"/>
        <v>0</v>
      </c>
      <c r="AA35" s="39"/>
      <c r="AB35" s="36" t="e">
        <f>bdrate($D35:$D38,E35:E38,$N35:$N38,O35:O38)</f>
        <v>#VALUE!</v>
      </c>
      <c r="AC35" s="37" t="e">
        <f>bdrate($D35:$D38,F35:F38,$N35:$N38,P35:P38)</f>
        <v>#VALUE!</v>
      </c>
      <c r="AD35" s="37" t="e">
        <f>bdrate($D35:$D38,G35:G38,$N35:$N38,Q35:Q38)</f>
        <v>#VALUE!</v>
      </c>
      <c r="AE35" s="46" t="e">
        <f>bdrateOld($D35:$D38,E35:E38,$N35:$N38,O35:O38)</f>
        <v>#VALUE!</v>
      </c>
      <c r="AF35" s="47" t="e">
        <f>bdrateOld($D35:$D38,F35:F38,$N35:$N38,P35:P38)</f>
        <v>#VALUE!</v>
      </c>
      <c r="AG35" s="49" t="e">
        <f>bdrateOld($D35:$D38,G35:G38,$N35:$N38,Q35:Q38)</f>
        <v>#VALUE!</v>
      </c>
    </row>
    <row r="36" spans="1:33" x14ac:dyDescent="0.2">
      <c r="A36" s="12"/>
      <c r="B36" s="12"/>
      <c r="C36" s="12">
        <v>27</v>
      </c>
      <c r="D36" s="13">
        <f>Reference!B34</f>
        <v>4836.1126999999997</v>
      </c>
      <c r="E36" s="14">
        <f>Reference!C34</f>
        <v>38.387099999999997</v>
      </c>
      <c r="F36" s="14">
        <f>Reference!D34</f>
        <v>39.958199999999998</v>
      </c>
      <c r="G36" s="14">
        <f>Reference!E34</f>
        <v>43.220199999999998</v>
      </c>
      <c r="H36" s="14">
        <f>Reference!F34</f>
        <v>44290</v>
      </c>
      <c r="I36" s="14">
        <f>Reference!G34</f>
        <v>33.231000000000002</v>
      </c>
      <c r="J36" s="14">
        <f t="shared" si="5"/>
        <v>12.302777777777777</v>
      </c>
      <c r="K36" s="26">
        <f>Reference!H34</f>
        <v>3136964</v>
      </c>
      <c r="L36" s="27">
        <f>Reference!I34</f>
        <v>451772</v>
      </c>
      <c r="N36" s="13">
        <f>Test!B34</f>
        <v>0</v>
      </c>
      <c r="O36" s="14">
        <f>Test!C34</f>
        <v>0</v>
      </c>
      <c r="P36" s="14">
        <f>Test!D34</f>
        <v>0</v>
      </c>
      <c r="Q36" s="14">
        <f>Test!E34</f>
        <v>0</v>
      </c>
      <c r="R36" s="14">
        <f>Test!F34</f>
        <v>0</v>
      </c>
      <c r="S36" s="14">
        <f>Test!G34</f>
        <v>0</v>
      </c>
      <c r="T36" s="14">
        <f t="shared" si="6"/>
        <v>0</v>
      </c>
      <c r="U36" s="26">
        <f>Test!H34</f>
        <v>0</v>
      </c>
      <c r="V36" s="27">
        <f>Test!I34</f>
        <v>0</v>
      </c>
      <c r="W36" s="14">
        <f t="shared" si="7"/>
        <v>0</v>
      </c>
      <c r="X36" s="14">
        <f t="shared" si="8"/>
        <v>0</v>
      </c>
      <c r="Y36" s="14">
        <f t="shared" si="4"/>
        <v>0</v>
      </c>
      <c r="Z36" s="22">
        <f t="shared" si="4"/>
        <v>0</v>
      </c>
      <c r="AA36" s="39"/>
      <c r="AB36" s="40"/>
      <c r="AC36" s="41"/>
      <c r="AD36" s="41"/>
      <c r="AE36" s="40"/>
      <c r="AF36" s="41"/>
      <c r="AG36" s="42"/>
    </row>
    <row r="37" spans="1:33" x14ac:dyDescent="0.2">
      <c r="A37" s="12"/>
      <c r="B37" s="12"/>
      <c r="C37" s="12">
        <v>32</v>
      </c>
      <c r="D37" s="13">
        <f>Reference!B35</f>
        <v>2576.4476</v>
      </c>
      <c r="E37" s="14">
        <f>Reference!C35</f>
        <v>36.386600000000001</v>
      </c>
      <c r="F37" s="14">
        <f>Reference!D35</f>
        <v>38.850099999999998</v>
      </c>
      <c r="G37" s="14">
        <f>Reference!E35</f>
        <v>40.909100000000002</v>
      </c>
      <c r="H37" s="14">
        <f>Reference!F35</f>
        <v>27260</v>
      </c>
      <c r="I37" s="14">
        <f>Reference!G35</f>
        <v>25.856000000000002</v>
      </c>
      <c r="J37" s="14">
        <f t="shared" si="5"/>
        <v>7.572222222222222</v>
      </c>
      <c r="K37" s="26">
        <f>Reference!H35</f>
        <v>3123304</v>
      </c>
      <c r="L37" s="27">
        <f>Reference!I35</f>
        <v>435676</v>
      </c>
      <c r="N37" s="13">
        <f>Test!B35</f>
        <v>0</v>
      </c>
      <c r="O37" s="14">
        <f>Test!C35</f>
        <v>0</v>
      </c>
      <c r="P37" s="14">
        <f>Test!D35</f>
        <v>0</v>
      </c>
      <c r="Q37" s="14">
        <f>Test!E35</f>
        <v>0</v>
      </c>
      <c r="R37" s="14">
        <f>Test!F35</f>
        <v>0</v>
      </c>
      <c r="S37" s="14">
        <f>Test!G35</f>
        <v>0</v>
      </c>
      <c r="T37" s="14">
        <f t="shared" si="6"/>
        <v>0</v>
      </c>
      <c r="U37" s="26">
        <f>Test!H35</f>
        <v>0</v>
      </c>
      <c r="V37" s="27">
        <f>Test!I35</f>
        <v>0</v>
      </c>
      <c r="W37" s="14">
        <f t="shared" si="7"/>
        <v>0</v>
      </c>
      <c r="X37" s="14">
        <f t="shared" si="8"/>
        <v>0</v>
      </c>
      <c r="Y37" s="14">
        <f t="shared" si="4"/>
        <v>0</v>
      </c>
      <c r="Z37" s="22">
        <f t="shared" si="4"/>
        <v>0</v>
      </c>
      <c r="AA37" s="39"/>
      <c r="AB37" s="40"/>
      <c r="AC37" s="41"/>
      <c r="AD37" s="41"/>
      <c r="AE37" s="40"/>
      <c r="AF37" s="41"/>
      <c r="AG37" s="42"/>
    </row>
    <row r="38" spans="1:33" ht="12.75" customHeight="1" x14ac:dyDescent="0.2">
      <c r="A38" s="12"/>
      <c r="B38" s="15"/>
      <c r="C38" s="15">
        <v>37</v>
      </c>
      <c r="D38" s="16">
        <f>Reference!B36</f>
        <v>1399.4571000000001</v>
      </c>
      <c r="E38" s="17">
        <f>Reference!C36</f>
        <v>34.120899999999999</v>
      </c>
      <c r="F38" s="17">
        <f>Reference!D36</f>
        <v>37.891599999999997</v>
      </c>
      <c r="G38" s="17">
        <f>Reference!E36</f>
        <v>39.329700000000003</v>
      </c>
      <c r="H38" s="17">
        <f>Reference!F36</f>
        <v>15997</v>
      </c>
      <c r="I38" s="17">
        <f>Reference!G36</f>
        <v>20.663</v>
      </c>
      <c r="J38" s="17">
        <f t="shared" si="5"/>
        <v>4.4436111111111112</v>
      </c>
      <c r="K38" s="26">
        <f>Reference!H36</f>
        <v>3112872</v>
      </c>
      <c r="L38" s="27">
        <f>Reference!I36</f>
        <v>430428</v>
      </c>
      <c r="N38" s="16">
        <f>Test!B36</f>
        <v>0</v>
      </c>
      <c r="O38" s="17">
        <f>Test!C36</f>
        <v>0</v>
      </c>
      <c r="P38" s="17">
        <f>Test!D36</f>
        <v>0</v>
      </c>
      <c r="Q38" s="17">
        <f>Test!E36</f>
        <v>0</v>
      </c>
      <c r="R38" s="17">
        <f>Test!F36</f>
        <v>0</v>
      </c>
      <c r="S38" s="17">
        <f>Test!G36</f>
        <v>0</v>
      </c>
      <c r="T38" s="17">
        <f t="shared" si="6"/>
        <v>0</v>
      </c>
      <c r="U38" s="26">
        <f>Test!H36</f>
        <v>0</v>
      </c>
      <c r="V38" s="27">
        <f>Test!I36</f>
        <v>0</v>
      </c>
      <c r="W38" s="14">
        <f t="shared" si="7"/>
        <v>0</v>
      </c>
      <c r="X38" s="14">
        <f t="shared" si="8"/>
        <v>0</v>
      </c>
      <c r="Y38" s="14">
        <f t="shared" si="4"/>
        <v>0</v>
      </c>
      <c r="Z38" s="22">
        <f t="shared" si="4"/>
        <v>0</v>
      </c>
      <c r="AA38" s="39"/>
      <c r="AB38" s="43"/>
      <c r="AC38" s="44"/>
      <c r="AD38" s="44"/>
      <c r="AE38" s="43"/>
      <c r="AF38" s="44"/>
      <c r="AG38" s="45"/>
    </row>
    <row r="39" spans="1:33" x14ac:dyDescent="0.2">
      <c r="A39" s="12"/>
      <c r="B39" s="9" t="s">
        <v>79</v>
      </c>
      <c r="C39" s="9">
        <v>22</v>
      </c>
      <c r="D39" s="10">
        <f>Reference!B37</f>
        <v>8467.5095000000001</v>
      </c>
      <c r="E39" s="11">
        <f>Reference!C37</f>
        <v>41.970199999999998</v>
      </c>
      <c r="F39" s="11">
        <f>Reference!D37</f>
        <v>45.093499999999999</v>
      </c>
      <c r="G39" s="11">
        <f>Reference!E37</f>
        <v>47.32</v>
      </c>
      <c r="H39" s="11">
        <f>Reference!F37</f>
        <v>48830</v>
      </c>
      <c r="I39" s="11">
        <f>Reference!G37</f>
        <v>39.106999999999999</v>
      </c>
      <c r="J39" s="11">
        <f t="shared" si="5"/>
        <v>13.563888888888888</v>
      </c>
      <c r="K39" s="24">
        <f>Reference!H37</f>
        <v>3170180</v>
      </c>
      <c r="L39" s="25">
        <f>Reference!I37</f>
        <v>464588</v>
      </c>
      <c r="N39" s="10">
        <f>Test!B37</f>
        <v>0</v>
      </c>
      <c r="O39" s="11">
        <f>Test!C37</f>
        <v>0</v>
      </c>
      <c r="P39" s="11">
        <f>Test!D37</f>
        <v>0</v>
      </c>
      <c r="Q39" s="11">
        <f>Test!E37</f>
        <v>0</v>
      </c>
      <c r="R39" s="11">
        <f>Test!F37</f>
        <v>0</v>
      </c>
      <c r="S39" s="11">
        <f>Test!G37</f>
        <v>0</v>
      </c>
      <c r="T39" s="11">
        <f t="shared" si="6"/>
        <v>0</v>
      </c>
      <c r="U39" s="24">
        <f>Test!H37</f>
        <v>0</v>
      </c>
      <c r="V39" s="25">
        <f>Test!I37</f>
        <v>0</v>
      </c>
      <c r="W39" s="14">
        <f t="shared" si="7"/>
        <v>0</v>
      </c>
      <c r="X39" s="14">
        <f t="shared" si="8"/>
        <v>0</v>
      </c>
      <c r="Y39" s="14">
        <f t="shared" si="4"/>
        <v>0</v>
      </c>
      <c r="Z39" s="22">
        <f t="shared" si="4"/>
        <v>0</v>
      </c>
      <c r="AA39" s="39"/>
      <c r="AB39" s="36" t="e">
        <f>bdrate($D39:$D42,E39:E42,$N39:$N42,O39:O42)</f>
        <v>#VALUE!</v>
      </c>
      <c r="AC39" s="37" t="e">
        <f>bdrate($D39:$D42,F39:F42,$N39:$N42,P39:P42)</f>
        <v>#VALUE!</v>
      </c>
      <c r="AD39" s="37" t="e">
        <f>bdrate($D39:$D42,G39:G42,$N39:$N42,Q39:Q42)</f>
        <v>#VALUE!</v>
      </c>
      <c r="AE39" s="46" t="e">
        <f>bdrateOld($D39:$D42,E39:E42,$N39:$N42,O39:O42)</f>
        <v>#VALUE!</v>
      </c>
      <c r="AF39" s="47" t="e">
        <f>bdrateOld($D39:$D42,F39:F42,$N39:$N42,P39:P42)</f>
        <v>#VALUE!</v>
      </c>
      <c r="AG39" s="49" t="e">
        <f>bdrateOld($D39:$D42,G39:G42,$N39:$N42,Q39:Q42)</f>
        <v>#VALUE!</v>
      </c>
    </row>
    <row r="40" spans="1:33" x14ac:dyDescent="0.2">
      <c r="A40" s="12"/>
      <c r="B40" s="12"/>
      <c r="C40" s="12">
        <v>27</v>
      </c>
      <c r="D40" s="13">
        <f>Reference!B38</f>
        <v>3041.8087</v>
      </c>
      <c r="E40" s="14">
        <f>Reference!C38</f>
        <v>39.2943</v>
      </c>
      <c r="F40" s="14">
        <f>Reference!D38</f>
        <v>43.886000000000003</v>
      </c>
      <c r="G40" s="14">
        <f>Reference!E38</f>
        <v>45.3429</v>
      </c>
      <c r="H40" s="14">
        <f>Reference!F38</f>
        <v>30252</v>
      </c>
      <c r="I40" s="14">
        <f>Reference!G38</f>
        <v>27.696000000000002</v>
      </c>
      <c r="J40" s="14">
        <f t="shared" si="5"/>
        <v>8.4033333333333342</v>
      </c>
      <c r="K40" s="26">
        <f>Reference!H38</f>
        <v>3136940</v>
      </c>
      <c r="L40" s="27">
        <f>Reference!I38</f>
        <v>440700</v>
      </c>
      <c r="N40" s="13">
        <f>Test!B38</f>
        <v>0</v>
      </c>
      <c r="O40" s="14">
        <f>Test!C38</f>
        <v>0</v>
      </c>
      <c r="P40" s="14">
        <f>Test!D38</f>
        <v>0</v>
      </c>
      <c r="Q40" s="14">
        <f>Test!E38</f>
        <v>0</v>
      </c>
      <c r="R40" s="14">
        <f>Test!F38</f>
        <v>0</v>
      </c>
      <c r="S40" s="14">
        <f>Test!G38</f>
        <v>0</v>
      </c>
      <c r="T40" s="14">
        <f t="shared" si="6"/>
        <v>0</v>
      </c>
      <c r="U40" s="26">
        <f>Test!H38</f>
        <v>0</v>
      </c>
      <c r="V40" s="27">
        <f>Test!I38</f>
        <v>0</v>
      </c>
      <c r="W40" s="14">
        <f t="shared" si="7"/>
        <v>0</v>
      </c>
      <c r="X40" s="14">
        <f t="shared" si="8"/>
        <v>0</v>
      </c>
      <c r="Y40" s="14">
        <f t="shared" si="4"/>
        <v>0</v>
      </c>
      <c r="Z40" s="22">
        <f t="shared" si="4"/>
        <v>0</v>
      </c>
      <c r="AA40" s="39"/>
      <c r="AB40" s="40"/>
      <c r="AC40" s="41"/>
      <c r="AD40" s="41"/>
      <c r="AE40" s="40"/>
      <c r="AF40" s="41"/>
      <c r="AG40" s="42"/>
    </row>
    <row r="41" spans="1:33" x14ac:dyDescent="0.2">
      <c r="A41" s="12"/>
      <c r="B41" s="12"/>
      <c r="C41" s="12">
        <v>32</v>
      </c>
      <c r="D41" s="13">
        <f>Reference!B39</f>
        <v>1501.0968</v>
      </c>
      <c r="E41" s="14">
        <f>Reference!C39</f>
        <v>37.6982</v>
      </c>
      <c r="F41" s="14">
        <f>Reference!D39</f>
        <v>42.311599999999999</v>
      </c>
      <c r="G41" s="14">
        <f>Reference!E39</f>
        <v>42.897599999999997</v>
      </c>
      <c r="H41" s="14">
        <f>Reference!F39</f>
        <v>18198</v>
      </c>
      <c r="I41" s="14">
        <f>Reference!G39</f>
        <v>23.943999999999999</v>
      </c>
      <c r="J41" s="14">
        <f t="shared" si="5"/>
        <v>5.0549999999999997</v>
      </c>
      <c r="K41" s="26">
        <f>Reference!H39</f>
        <v>3119288</v>
      </c>
      <c r="L41" s="27">
        <f>Reference!I39</f>
        <v>430424</v>
      </c>
      <c r="N41" s="13">
        <f>Test!B39</f>
        <v>0</v>
      </c>
      <c r="O41" s="14">
        <f>Test!C39</f>
        <v>0</v>
      </c>
      <c r="P41" s="14">
        <f>Test!D39</f>
        <v>0</v>
      </c>
      <c r="Q41" s="14">
        <f>Test!E39</f>
        <v>0</v>
      </c>
      <c r="R41" s="14">
        <f>Test!F39</f>
        <v>0</v>
      </c>
      <c r="S41" s="14">
        <f>Test!G39</f>
        <v>0</v>
      </c>
      <c r="T41" s="14">
        <f t="shared" si="6"/>
        <v>0</v>
      </c>
      <c r="U41" s="26">
        <f>Test!H39</f>
        <v>0</v>
      </c>
      <c r="V41" s="27">
        <f>Test!I39</f>
        <v>0</v>
      </c>
      <c r="W41" s="14">
        <f t="shared" si="7"/>
        <v>0</v>
      </c>
      <c r="X41" s="14">
        <f t="shared" si="8"/>
        <v>0</v>
      </c>
      <c r="Y41" s="14">
        <f t="shared" si="4"/>
        <v>0</v>
      </c>
      <c r="Z41" s="22">
        <f t="shared" si="4"/>
        <v>0</v>
      </c>
      <c r="AA41" s="39"/>
      <c r="AB41" s="40"/>
      <c r="AC41" s="41"/>
      <c r="AD41" s="41"/>
      <c r="AE41" s="40"/>
      <c r="AF41" s="41"/>
      <c r="AG41" s="42"/>
    </row>
    <row r="42" spans="1:33" ht="12.75" customHeight="1" x14ac:dyDescent="0.2">
      <c r="A42" s="12"/>
      <c r="B42" s="15"/>
      <c r="C42" s="15">
        <v>37</v>
      </c>
      <c r="D42" s="16">
        <f>Reference!B40</f>
        <v>847.62139999999999</v>
      </c>
      <c r="E42" s="17">
        <f>Reference!C40</f>
        <v>35.988399999999999</v>
      </c>
      <c r="F42" s="17">
        <f>Reference!D40</f>
        <v>41.192</v>
      </c>
      <c r="G42" s="17">
        <f>Reference!E40</f>
        <v>41.254899999999999</v>
      </c>
      <c r="H42" s="17">
        <f>Reference!F40</f>
        <v>11076</v>
      </c>
      <c r="I42" s="17">
        <f>Reference!G40</f>
        <v>21.402000000000001</v>
      </c>
      <c r="J42" s="17">
        <f t="shared" si="5"/>
        <v>3.0766666666666667</v>
      </c>
      <c r="K42" s="26">
        <f>Reference!H40</f>
        <v>3109568</v>
      </c>
      <c r="L42" s="27">
        <f>Reference!I40</f>
        <v>425196</v>
      </c>
      <c r="N42" s="16">
        <f>Test!B40</f>
        <v>0</v>
      </c>
      <c r="O42" s="17">
        <f>Test!C40</f>
        <v>0</v>
      </c>
      <c r="P42" s="17">
        <f>Test!D40</f>
        <v>0</v>
      </c>
      <c r="Q42" s="17">
        <f>Test!E40</f>
        <v>0</v>
      </c>
      <c r="R42" s="17">
        <f>Test!F40</f>
        <v>0</v>
      </c>
      <c r="S42" s="17">
        <f>Test!G40</f>
        <v>0</v>
      </c>
      <c r="T42" s="17">
        <f t="shared" si="6"/>
        <v>0</v>
      </c>
      <c r="U42" s="26">
        <f>Test!H40</f>
        <v>0</v>
      </c>
      <c r="V42" s="27">
        <f>Test!I40</f>
        <v>0</v>
      </c>
      <c r="W42" s="14">
        <f t="shared" si="7"/>
        <v>0</v>
      </c>
      <c r="X42" s="14">
        <f t="shared" si="8"/>
        <v>0</v>
      </c>
      <c r="Y42" s="14">
        <f t="shared" si="4"/>
        <v>0</v>
      </c>
      <c r="Z42" s="22">
        <f t="shared" si="4"/>
        <v>0</v>
      </c>
      <c r="AA42" s="39"/>
      <c r="AB42" s="43"/>
      <c r="AC42" s="44"/>
      <c r="AD42" s="44"/>
      <c r="AE42" s="43"/>
      <c r="AF42" s="44"/>
      <c r="AG42" s="45"/>
    </row>
    <row r="43" spans="1:33" x14ac:dyDescent="0.2">
      <c r="A43" s="12"/>
      <c r="B43" s="9" t="s">
        <v>80</v>
      </c>
      <c r="C43" s="9">
        <v>22</v>
      </c>
      <c r="D43" s="10">
        <f>Reference!B41</f>
        <v>20481.191200000001</v>
      </c>
      <c r="E43" s="11">
        <f>Reference!C41</f>
        <v>42.842300000000002</v>
      </c>
      <c r="F43" s="11">
        <f>Reference!D41</f>
        <v>43.319800000000001</v>
      </c>
      <c r="G43" s="11">
        <f>Reference!E41</f>
        <v>45.372999999999998</v>
      </c>
      <c r="H43" s="11">
        <f>Reference!F41</f>
        <v>55221</v>
      </c>
      <c r="I43" s="11">
        <f>Reference!G41</f>
        <v>60.439</v>
      </c>
      <c r="J43" s="11">
        <f t="shared" si="5"/>
        <v>15.339166666666667</v>
      </c>
      <c r="K43" s="24">
        <f>Reference!H41</f>
        <v>3192788</v>
      </c>
      <c r="L43" s="25">
        <f>Reference!I41</f>
        <v>478124</v>
      </c>
      <c r="N43" s="10">
        <f>Test!B41</f>
        <v>0</v>
      </c>
      <c r="O43" s="11">
        <f>Test!C41</f>
        <v>0</v>
      </c>
      <c r="P43" s="11">
        <f>Test!D41</f>
        <v>0</v>
      </c>
      <c r="Q43" s="11">
        <f>Test!E41</f>
        <v>0</v>
      </c>
      <c r="R43" s="11">
        <f>Test!F41</f>
        <v>0</v>
      </c>
      <c r="S43" s="11">
        <f>Test!G41</f>
        <v>0</v>
      </c>
      <c r="T43" s="11">
        <f t="shared" si="6"/>
        <v>0</v>
      </c>
      <c r="U43" s="24">
        <f>Test!H41</f>
        <v>0</v>
      </c>
      <c r="V43" s="25">
        <f>Test!I41</f>
        <v>0</v>
      </c>
      <c r="W43" s="14">
        <f t="shared" si="7"/>
        <v>0</v>
      </c>
      <c r="X43" s="14">
        <f t="shared" si="8"/>
        <v>0</v>
      </c>
      <c r="Y43" s="14">
        <f t="shared" si="4"/>
        <v>0</v>
      </c>
      <c r="Z43" s="22">
        <f t="shared" si="4"/>
        <v>0</v>
      </c>
      <c r="AA43" s="39"/>
      <c r="AB43" s="36" t="e">
        <f>bdrate($D43:$D46,E43:E46,$N43:$N46,O43:O46)</f>
        <v>#VALUE!</v>
      </c>
      <c r="AC43" s="37" t="e">
        <f>bdrate($D43:$D46,F43:F46,$N43:$N46,P43:P46)</f>
        <v>#VALUE!</v>
      </c>
      <c r="AD43" s="37" t="e">
        <f>bdrate($D43:$D46,G43:G46,$N43:$N46,Q43:Q46)</f>
        <v>#VALUE!</v>
      </c>
      <c r="AE43" s="46" t="e">
        <f>bdrateOld($D43:$D46,E43:E46,$N43:$N46,O43:O46)</f>
        <v>#VALUE!</v>
      </c>
      <c r="AF43" s="47" t="e">
        <f>bdrateOld($D43:$D46,F43:F46,$N43:$N46,P43:P46)</f>
        <v>#VALUE!</v>
      </c>
      <c r="AG43" s="49" t="e">
        <f>bdrateOld($D43:$D46,G43:G46,$N43:$N46,Q43:Q46)</f>
        <v>#VALUE!</v>
      </c>
    </row>
    <row r="44" spans="1:33" x14ac:dyDescent="0.2">
      <c r="A44" s="12"/>
      <c r="B44" s="12"/>
      <c r="C44" s="12">
        <v>27</v>
      </c>
      <c r="D44" s="13">
        <f>Reference!B42</f>
        <v>7290.9759999999997</v>
      </c>
      <c r="E44" s="14">
        <f>Reference!C42</f>
        <v>37.144300000000001</v>
      </c>
      <c r="F44" s="14">
        <f>Reference!D42</f>
        <v>41.900300000000001</v>
      </c>
      <c r="G44" s="14">
        <f>Reference!E42</f>
        <v>44.219900000000003</v>
      </c>
      <c r="H44" s="14">
        <f>Reference!F42</f>
        <v>53370</v>
      </c>
      <c r="I44" s="14">
        <f>Reference!G42</f>
        <v>40.741999999999997</v>
      </c>
      <c r="J44" s="14">
        <f t="shared" si="5"/>
        <v>14.824999999999999</v>
      </c>
      <c r="K44" s="26">
        <f>Reference!H42</f>
        <v>3155980</v>
      </c>
      <c r="L44" s="27">
        <f>Reference!I42</f>
        <v>450596</v>
      </c>
      <c r="N44" s="13">
        <f>Test!B42</f>
        <v>0</v>
      </c>
      <c r="O44" s="14">
        <f>Test!C42</f>
        <v>0</v>
      </c>
      <c r="P44" s="14">
        <f>Test!D42</f>
        <v>0</v>
      </c>
      <c r="Q44" s="14">
        <f>Test!E42</f>
        <v>0</v>
      </c>
      <c r="R44" s="14">
        <f>Test!F42</f>
        <v>0</v>
      </c>
      <c r="S44" s="14">
        <f>Test!G42</f>
        <v>0</v>
      </c>
      <c r="T44" s="14">
        <f t="shared" si="6"/>
        <v>0</v>
      </c>
      <c r="U44" s="26">
        <f>Test!H42</f>
        <v>0</v>
      </c>
      <c r="V44" s="27">
        <f>Test!I42</f>
        <v>0</v>
      </c>
      <c r="W44" s="14">
        <f t="shared" si="7"/>
        <v>0</v>
      </c>
      <c r="X44" s="14">
        <f t="shared" si="8"/>
        <v>0</v>
      </c>
      <c r="Y44" s="14">
        <f t="shared" si="4"/>
        <v>0</v>
      </c>
      <c r="Z44" s="22">
        <f t="shared" si="4"/>
        <v>0</v>
      </c>
      <c r="AA44" s="39"/>
      <c r="AB44" s="40"/>
      <c r="AC44" s="41"/>
      <c r="AD44" s="41"/>
      <c r="AE44" s="40"/>
      <c r="AF44" s="41"/>
      <c r="AG44" s="42"/>
    </row>
    <row r="45" spans="1:33" x14ac:dyDescent="0.2">
      <c r="A45" s="12"/>
      <c r="B45" s="12"/>
      <c r="C45" s="12">
        <v>32</v>
      </c>
      <c r="D45" s="13">
        <f>Reference!B43</f>
        <v>3569.0551999999998</v>
      </c>
      <c r="E45" s="14">
        <f>Reference!C43</f>
        <v>34.919600000000003</v>
      </c>
      <c r="F45" s="14">
        <f>Reference!D43</f>
        <v>40.416899999999998</v>
      </c>
      <c r="G45" s="14">
        <f>Reference!E43</f>
        <v>42.877299999999998</v>
      </c>
      <c r="H45" s="14">
        <f>Reference!F43</f>
        <v>36437</v>
      </c>
      <c r="I45" s="14">
        <f>Reference!G43</f>
        <v>33.064</v>
      </c>
      <c r="J45" s="14">
        <f t="shared" si="5"/>
        <v>10.121388888888889</v>
      </c>
      <c r="K45" s="26">
        <f>Reference!H43</f>
        <v>3140704</v>
      </c>
      <c r="L45" s="27">
        <f>Reference!I43</f>
        <v>444080</v>
      </c>
      <c r="N45" s="13">
        <f>Test!B43</f>
        <v>0</v>
      </c>
      <c r="O45" s="14">
        <f>Test!C43</f>
        <v>0</v>
      </c>
      <c r="P45" s="14">
        <f>Test!D43</f>
        <v>0</v>
      </c>
      <c r="Q45" s="14">
        <f>Test!E43</f>
        <v>0</v>
      </c>
      <c r="R45" s="14">
        <f>Test!F43</f>
        <v>0</v>
      </c>
      <c r="S45" s="14">
        <f>Test!G43</f>
        <v>0</v>
      </c>
      <c r="T45" s="14">
        <f t="shared" si="6"/>
        <v>0</v>
      </c>
      <c r="U45" s="26">
        <f>Test!H43</f>
        <v>0</v>
      </c>
      <c r="V45" s="27">
        <f>Test!I43</f>
        <v>0</v>
      </c>
      <c r="W45" s="14">
        <f t="shared" si="7"/>
        <v>0</v>
      </c>
      <c r="X45" s="14">
        <f t="shared" si="8"/>
        <v>0</v>
      </c>
      <c r="Y45" s="14">
        <f t="shared" si="4"/>
        <v>0</v>
      </c>
      <c r="Z45" s="22">
        <f t="shared" si="4"/>
        <v>0</v>
      </c>
      <c r="AA45" s="39"/>
      <c r="AB45" s="40"/>
      <c r="AC45" s="41"/>
      <c r="AD45" s="41"/>
      <c r="AE45" s="40"/>
      <c r="AF45" s="41"/>
      <c r="AG45" s="42"/>
    </row>
    <row r="46" spans="1:33" ht="12.75" customHeight="1" x14ac:dyDescent="0.2">
      <c r="A46" s="15"/>
      <c r="B46" s="15"/>
      <c r="C46" s="15">
        <v>37</v>
      </c>
      <c r="D46" s="16">
        <f>Reference!B44</f>
        <v>1893.9376</v>
      </c>
      <c r="E46" s="17">
        <f>Reference!C44</f>
        <v>32.777500000000003</v>
      </c>
      <c r="F46" s="17">
        <f>Reference!D44</f>
        <v>39.311999999999998</v>
      </c>
      <c r="G46" s="17">
        <f>Reference!E44</f>
        <v>41.813099999999999</v>
      </c>
      <c r="H46" s="17">
        <f>Reference!F44</f>
        <v>21536</v>
      </c>
      <c r="I46" s="17">
        <f>Reference!G44</f>
        <v>25.222000000000001</v>
      </c>
      <c r="J46" s="17">
        <f t="shared" si="5"/>
        <v>5.9822222222222221</v>
      </c>
      <c r="K46" s="26">
        <f>Reference!H44</f>
        <v>3123272</v>
      </c>
      <c r="L46" s="27">
        <f>Reference!I44</f>
        <v>428868</v>
      </c>
      <c r="N46" s="16">
        <f>Test!B44</f>
        <v>0</v>
      </c>
      <c r="O46" s="17">
        <f>Test!C44</f>
        <v>0</v>
      </c>
      <c r="P46" s="17">
        <f>Test!D44</f>
        <v>0</v>
      </c>
      <c r="Q46" s="17">
        <f>Test!E44</f>
        <v>0</v>
      </c>
      <c r="R46" s="17">
        <f>Test!F44</f>
        <v>0</v>
      </c>
      <c r="S46" s="17">
        <f>Test!G44</f>
        <v>0</v>
      </c>
      <c r="T46" s="17">
        <f t="shared" si="6"/>
        <v>0</v>
      </c>
      <c r="U46" s="26">
        <f>Test!H44</f>
        <v>0</v>
      </c>
      <c r="V46" s="27">
        <f>Test!I44</f>
        <v>0</v>
      </c>
      <c r="W46" s="14">
        <f t="shared" si="7"/>
        <v>0</v>
      </c>
      <c r="X46" s="14">
        <f t="shared" si="8"/>
        <v>0</v>
      </c>
      <c r="Y46" s="14">
        <f t="shared" si="4"/>
        <v>0</v>
      </c>
      <c r="Z46" s="22">
        <f t="shared" si="4"/>
        <v>0</v>
      </c>
      <c r="AA46" s="39"/>
      <c r="AB46" s="43"/>
      <c r="AC46" s="44"/>
      <c r="AD46" s="44"/>
      <c r="AE46" s="43"/>
      <c r="AF46" s="44"/>
      <c r="AG46" s="45"/>
    </row>
    <row r="47" spans="1:33" x14ac:dyDescent="0.2">
      <c r="A47" s="9" t="s">
        <v>23</v>
      </c>
      <c r="B47" s="9" t="s">
        <v>81</v>
      </c>
      <c r="C47" s="9">
        <v>22</v>
      </c>
      <c r="D47" s="10">
        <f>Reference!B45</f>
        <v>2067.0365000000002</v>
      </c>
      <c r="E47" s="11">
        <f>Reference!C45</f>
        <v>43.181800000000003</v>
      </c>
      <c r="F47" s="11">
        <f>Reference!D45</f>
        <v>45.192700000000002</v>
      </c>
      <c r="G47" s="11">
        <f>Reference!E45</f>
        <v>46.5623</v>
      </c>
      <c r="H47" s="11">
        <f>Reference!F45</f>
        <v>9375</v>
      </c>
      <c r="I47" s="11">
        <f>Reference!G45</f>
        <v>9.3800000000000008</v>
      </c>
      <c r="J47" s="11">
        <f t="shared" si="5"/>
        <v>2.6041666666666665</v>
      </c>
      <c r="K47" s="24">
        <f>Reference!H45</f>
        <v>1349168</v>
      </c>
      <c r="L47" s="25">
        <f>Reference!I45</f>
        <v>303280</v>
      </c>
      <c r="N47" s="10">
        <f>Test!B45</f>
        <v>0</v>
      </c>
      <c r="O47" s="11">
        <f>Test!C45</f>
        <v>0</v>
      </c>
      <c r="P47" s="11">
        <f>Test!D45</f>
        <v>0</v>
      </c>
      <c r="Q47" s="11">
        <f>Test!E45</f>
        <v>0</v>
      </c>
      <c r="R47" s="11">
        <f>Test!F45</f>
        <v>0</v>
      </c>
      <c r="S47" s="11">
        <f>Test!G45</f>
        <v>0</v>
      </c>
      <c r="T47" s="11">
        <f t="shared" si="6"/>
        <v>0</v>
      </c>
      <c r="U47" s="24">
        <f>Test!H45</f>
        <v>0</v>
      </c>
      <c r="V47" s="25">
        <f>Test!I45</f>
        <v>0</v>
      </c>
      <c r="W47" s="11">
        <f t="shared" si="7"/>
        <v>0</v>
      </c>
      <c r="X47" s="11">
        <f t="shared" si="8"/>
        <v>0</v>
      </c>
      <c r="Y47" s="11">
        <f t="shared" si="4"/>
        <v>0</v>
      </c>
      <c r="Z47" s="21">
        <f t="shared" si="4"/>
        <v>0</v>
      </c>
      <c r="AA47" s="35"/>
      <c r="AB47" s="36" t="e">
        <f>bdrate($D47:$D50,E47:E50,$N47:$N50,O47:O50)</f>
        <v>#VALUE!</v>
      </c>
      <c r="AC47" s="37" t="e">
        <f>bdrate($D47:$D50,F47:F50,$N47:$N50,P47:P50)</f>
        <v>#VALUE!</v>
      </c>
      <c r="AD47" s="38" t="e">
        <f>bdrate($D47:$D50,G47:G50,$N47:$N50,Q47:Q50)</f>
        <v>#VALUE!</v>
      </c>
      <c r="AE47" s="36" t="e">
        <f>bdrateOld($D47:$D50,E47:E50,$N47:$N50,O47:O50)</f>
        <v>#VALUE!</v>
      </c>
      <c r="AF47" s="37" t="e">
        <f>bdrateOld($D47:$D50,F47:F50,$N47:$N50,P47:P50)</f>
        <v>#VALUE!</v>
      </c>
      <c r="AG47" s="38" t="e">
        <f>bdrateOld($D47:$D50,G47:G50,$N47:$N50,Q47:Q50)</f>
        <v>#VALUE!</v>
      </c>
    </row>
    <row r="48" spans="1:33" x14ac:dyDescent="0.2">
      <c r="A48" s="12" t="s">
        <v>112</v>
      </c>
      <c r="B48" s="12"/>
      <c r="C48" s="12">
        <v>27</v>
      </c>
      <c r="D48" s="13">
        <f>Reference!B46</f>
        <v>1117.2023999999999</v>
      </c>
      <c r="E48" s="14">
        <f>Reference!C46</f>
        <v>40.073500000000003</v>
      </c>
      <c r="F48" s="14">
        <f>Reference!D46</f>
        <v>42.772599999999997</v>
      </c>
      <c r="G48" s="14">
        <f>Reference!E46</f>
        <v>43.733699999999999</v>
      </c>
      <c r="H48" s="14">
        <f>Reference!F46</f>
        <v>7964</v>
      </c>
      <c r="I48" s="14">
        <f>Reference!G46</f>
        <v>7.4589999999999996</v>
      </c>
      <c r="J48" s="14">
        <f t="shared" si="5"/>
        <v>2.2122222222222221</v>
      </c>
      <c r="K48" s="26">
        <f>Reference!H46</f>
        <v>1341592</v>
      </c>
      <c r="L48" s="27">
        <f>Reference!I46</f>
        <v>297468</v>
      </c>
      <c r="N48" s="13">
        <f>Test!B46</f>
        <v>0</v>
      </c>
      <c r="O48" s="14">
        <f>Test!C46</f>
        <v>0</v>
      </c>
      <c r="P48" s="14">
        <f>Test!D46</f>
        <v>0</v>
      </c>
      <c r="Q48" s="14">
        <f>Test!E46</f>
        <v>0</v>
      </c>
      <c r="R48" s="14">
        <f>Test!F46</f>
        <v>0</v>
      </c>
      <c r="S48" s="14">
        <f>Test!G46</f>
        <v>0</v>
      </c>
      <c r="T48" s="14">
        <f t="shared" si="6"/>
        <v>0</v>
      </c>
      <c r="U48" s="26">
        <f>Test!H46</f>
        <v>0</v>
      </c>
      <c r="V48" s="27">
        <f>Test!I46</f>
        <v>0</v>
      </c>
      <c r="W48" s="14">
        <f t="shared" si="7"/>
        <v>0</v>
      </c>
      <c r="X48" s="14">
        <f t="shared" si="8"/>
        <v>0</v>
      </c>
      <c r="Y48" s="14">
        <f t="shared" si="4"/>
        <v>0</v>
      </c>
      <c r="Z48" s="22">
        <f t="shared" si="4"/>
        <v>0</v>
      </c>
      <c r="AA48" s="39"/>
      <c r="AB48" s="40"/>
      <c r="AC48" s="41"/>
      <c r="AD48" s="42"/>
      <c r="AE48" s="40"/>
      <c r="AF48" s="41"/>
      <c r="AG48" s="42"/>
    </row>
    <row r="49" spans="1:33" x14ac:dyDescent="0.2">
      <c r="A49" s="12"/>
      <c r="B49" s="12"/>
      <c r="C49" s="12">
        <v>32</v>
      </c>
      <c r="D49" s="13">
        <f>Reference!B47</f>
        <v>598.54049999999995</v>
      </c>
      <c r="E49" s="14">
        <f>Reference!C47</f>
        <v>37.136899999999997</v>
      </c>
      <c r="F49" s="14">
        <f>Reference!D47</f>
        <v>40.1526</v>
      </c>
      <c r="G49" s="14">
        <f>Reference!E47</f>
        <v>40.733899999999998</v>
      </c>
      <c r="H49" s="14">
        <f>Reference!F47</f>
        <v>5640</v>
      </c>
      <c r="I49" s="14">
        <f>Reference!G47</f>
        <v>5.9880000000000004</v>
      </c>
      <c r="J49" s="14">
        <f t="shared" si="5"/>
        <v>1.5666666666666667</v>
      </c>
      <c r="K49" s="26">
        <f>Reference!H47</f>
        <v>1335432</v>
      </c>
      <c r="L49" s="27">
        <f>Reference!I47</f>
        <v>293576</v>
      </c>
      <c r="N49" s="13">
        <f>Test!B47</f>
        <v>0</v>
      </c>
      <c r="O49" s="14">
        <f>Test!C47</f>
        <v>0</v>
      </c>
      <c r="P49" s="14">
        <f>Test!D47</f>
        <v>0</v>
      </c>
      <c r="Q49" s="14">
        <f>Test!E47</f>
        <v>0</v>
      </c>
      <c r="R49" s="14">
        <f>Test!F47</f>
        <v>0</v>
      </c>
      <c r="S49" s="14">
        <f>Test!G47</f>
        <v>0</v>
      </c>
      <c r="T49" s="14">
        <f t="shared" si="6"/>
        <v>0</v>
      </c>
      <c r="U49" s="26">
        <f>Test!H47</f>
        <v>0</v>
      </c>
      <c r="V49" s="27">
        <f>Test!I47</f>
        <v>0</v>
      </c>
      <c r="W49" s="14">
        <f t="shared" si="7"/>
        <v>0</v>
      </c>
      <c r="X49" s="14">
        <f t="shared" si="8"/>
        <v>0</v>
      </c>
      <c r="Y49" s="14">
        <f t="shared" si="4"/>
        <v>0</v>
      </c>
      <c r="Z49" s="22">
        <f t="shared" si="4"/>
        <v>0</v>
      </c>
      <c r="AA49" s="39"/>
      <c r="AB49" s="40"/>
      <c r="AC49" s="41"/>
      <c r="AD49" s="42"/>
      <c r="AE49" s="40"/>
      <c r="AF49" s="41"/>
      <c r="AG49" s="42"/>
    </row>
    <row r="50" spans="1:33" ht="12.75" customHeight="1" x14ac:dyDescent="0.2">
      <c r="A50" s="12"/>
      <c r="B50" s="15"/>
      <c r="C50" s="15">
        <v>37</v>
      </c>
      <c r="D50" s="16">
        <f>Reference!B48</f>
        <v>332.11349999999999</v>
      </c>
      <c r="E50" s="17">
        <f>Reference!C48</f>
        <v>34.418199999999999</v>
      </c>
      <c r="F50" s="17">
        <f>Reference!D48</f>
        <v>38.573500000000003</v>
      </c>
      <c r="G50" s="17">
        <f>Reference!E48</f>
        <v>38.856299999999997</v>
      </c>
      <c r="H50" s="17">
        <f>Reference!F48</f>
        <v>3686</v>
      </c>
      <c r="I50" s="17">
        <f>Reference!G48</f>
        <v>5.2380000000000004</v>
      </c>
      <c r="J50" s="17">
        <f t="shared" si="5"/>
        <v>1.0238888888888888</v>
      </c>
      <c r="K50" s="26">
        <f>Reference!H48</f>
        <v>1331368</v>
      </c>
      <c r="L50" s="27">
        <f>Reference!I48</f>
        <v>291204</v>
      </c>
      <c r="N50" s="16">
        <f>Test!B48</f>
        <v>0</v>
      </c>
      <c r="O50" s="17">
        <f>Test!C48</f>
        <v>0</v>
      </c>
      <c r="P50" s="17">
        <f>Test!D48</f>
        <v>0</v>
      </c>
      <c r="Q50" s="17">
        <f>Test!E48</f>
        <v>0</v>
      </c>
      <c r="R50" s="17">
        <f>Test!F48</f>
        <v>0</v>
      </c>
      <c r="S50" s="17">
        <f>Test!G48</f>
        <v>0</v>
      </c>
      <c r="T50" s="17">
        <f t="shared" si="6"/>
        <v>0</v>
      </c>
      <c r="U50" s="26">
        <f>Test!H48</f>
        <v>0</v>
      </c>
      <c r="V50" s="27">
        <f>Test!I48</f>
        <v>0</v>
      </c>
      <c r="W50" s="14">
        <f t="shared" si="7"/>
        <v>0</v>
      </c>
      <c r="X50" s="14">
        <f t="shared" si="8"/>
        <v>0</v>
      </c>
      <c r="Y50" s="14">
        <f t="shared" si="4"/>
        <v>0</v>
      </c>
      <c r="Z50" s="22">
        <f t="shared" si="4"/>
        <v>0</v>
      </c>
      <c r="AA50" s="39"/>
      <c r="AB50" s="43"/>
      <c r="AC50" s="44"/>
      <c r="AD50" s="45"/>
      <c r="AE50" s="43"/>
      <c r="AF50" s="44"/>
      <c r="AG50" s="45"/>
    </row>
    <row r="51" spans="1:33" x14ac:dyDescent="0.2">
      <c r="A51" s="12"/>
      <c r="B51" s="9" t="s">
        <v>82</v>
      </c>
      <c r="C51" s="9">
        <v>22</v>
      </c>
      <c r="D51" s="10">
        <f>Reference!B49</f>
        <v>2561.0136000000002</v>
      </c>
      <c r="E51" s="11">
        <f>Reference!C49</f>
        <v>42.756999999999998</v>
      </c>
      <c r="F51" s="11">
        <f>Reference!D49</f>
        <v>45.011600000000001</v>
      </c>
      <c r="G51" s="11">
        <f>Reference!E49</f>
        <v>46.778599999999997</v>
      </c>
      <c r="H51" s="11">
        <f>Reference!F49</f>
        <v>10445</v>
      </c>
      <c r="I51" s="11">
        <f>Reference!G49</f>
        <v>10.41</v>
      </c>
      <c r="J51" s="11">
        <f t="shared" si="5"/>
        <v>2.901388888888889</v>
      </c>
      <c r="K51" s="24">
        <f>Reference!H49</f>
        <v>1348040</v>
      </c>
      <c r="L51" s="25">
        <f>Reference!I49</f>
        <v>305436</v>
      </c>
      <c r="N51" s="10">
        <f>Test!B49</f>
        <v>0</v>
      </c>
      <c r="O51" s="11">
        <f>Test!C49</f>
        <v>0</v>
      </c>
      <c r="P51" s="11">
        <f>Test!D49</f>
        <v>0</v>
      </c>
      <c r="Q51" s="11">
        <f>Test!E49</f>
        <v>0</v>
      </c>
      <c r="R51" s="11">
        <f>Test!F49</f>
        <v>0</v>
      </c>
      <c r="S51" s="11">
        <f>Test!G49</f>
        <v>0</v>
      </c>
      <c r="T51" s="11">
        <f t="shared" si="6"/>
        <v>0</v>
      </c>
      <c r="U51" s="24">
        <f>Test!H49</f>
        <v>0</v>
      </c>
      <c r="V51" s="25">
        <f>Test!I49</f>
        <v>0</v>
      </c>
      <c r="W51" s="14">
        <f t="shared" si="7"/>
        <v>0</v>
      </c>
      <c r="X51" s="14">
        <f t="shared" si="8"/>
        <v>0</v>
      </c>
      <c r="Y51" s="14">
        <f t="shared" si="4"/>
        <v>0</v>
      </c>
      <c r="Z51" s="22">
        <f t="shared" si="4"/>
        <v>0</v>
      </c>
      <c r="AA51" s="39"/>
      <c r="AB51" s="36" t="e">
        <f>bdrate($D51:$D54,E51:E54,$N51:$N54,O51:O54)</f>
        <v>#VALUE!</v>
      </c>
      <c r="AC51" s="37" t="e">
        <f>bdrate($D51:$D54,F51:F54,$N51:$N54,P51:P54)</f>
        <v>#VALUE!</v>
      </c>
      <c r="AD51" s="37" t="e">
        <f>bdrate($D51:$D54,G51:G54,$N51:$N54,Q51:Q54)</f>
        <v>#VALUE!</v>
      </c>
      <c r="AE51" s="46" t="e">
        <f>bdrateOld($D51:$D54,E51:E54,$N51:$N54,O51:O54)</f>
        <v>#VALUE!</v>
      </c>
      <c r="AF51" s="47" t="e">
        <f>bdrateOld($D51:$D54,F51:F54,$N51:$N54,P51:P54)</f>
        <v>#VALUE!</v>
      </c>
      <c r="AG51" s="49" t="e">
        <f>bdrateOld($D51:$D54,G51:G54,$N51:$N54,Q51:Q54)</f>
        <v>#VALUE!</v>
      </c>
    </row>
    <row r="52" spans="1:33" x14ac:dyDescent="0.2">
      <c r="A52" s="12"/>
      <c r="B52" s="12"/>
      <c r="C52" s="12">
        <v>27</v>
      </c>
      <c r="D52" s="13">
        <f>Reference!B50</f>
        <v>1512.3224</v>
      </c>
      <c r="E52" s="14">
        <f>Reference!C50</f>
        <v>40.110799999999998</v>
      </c>
      <c r="F52" s="14">
        <f>Reference!D50</f>
        <v>42.766199999999998</v>
      </c>
      <c r="G52" s="14">
        <f>Reference!E50</f>
        <v>44.131799999999998</v>
      </c>
      <c r="H52" s="14">
        <f>Reference!F50</f>
        <v>8700</v>
      </c>
      <c r="I52" s="14">
        <f>Reference!G50</f>
        <v>8.7759999999999998</v>
      </c>
      <c r="J52" s="14">
        <f t="shared" si="5"/>
        <v>2.4166666666666665</v>
      </c>
      <c r="K52" s="26">
        <f>Reference!H50</f>
        <v>1342936</v>
      </c>
      <c r="L52" s="27">
        <f>Reference!I50</f>
        <v>298612</v>
      </c>
      <c r="N52" s="13">
        <f>Test!B50</f>
        <v>0</v>
      </c>
      <c r="O52" s="14">
        <f>Test!C50</f>
        <v>0</v>
      </c>
      <c r="P52" s="14">
        <f>Test!D50</f>
        <v>0</v>
      </c>
      <c r="Q52" s="14">
        <f>Test!E50</f>
        <v>0</v>
      </c>
      <c r="R52" s="14">
        <f>Test!F50</f>
        <v>0</v>
      </c>
      <c r="S52" s="14">
        <f>Test!G50</f>
        <v>0</v>
      </c>
      <c r="T52" s="14">
        <f t="shared" si="6"/>
        <v>0</v>
      </c>
      <c r="U52" s="26">
        <f>Test!H50</f>
        <v>0</v>
      </c>
      <c r="V52" s="27">
        <f>Test!I50</f>
        <v>0</v>
      </c>
      <c r="W52" s="14">
        <f t="shared" si="7"/>
        <v>0</v>
      </c>
      <c r="X52" s="14">
        <f t="shared" si="8"/>
        <v>0</v>
      </c>
      <c r="Y52" s="14">
        <f t="shared" si="4"/>
        <v>0</v>
      </c>
      <c r="Z52" s="22">
        <f t="shared" si="4"/>
        <v>0</v>
      </c>
      <c r="AA52" s="39"/>
      <c r="AB52" s="40"/>
      <c r="AC52" s="41"/>
      <c r="AD52" s="41"/>
      <c r="AE52" s="40"/>
      <c r="AF52" s="41"/>
      <c r="AG52" s="42"/>
    </row>
    <row r="53" spans="1:33" x14ac:dyDescent="0.2">
      <c r="A53" s="12"/>
      <c r="B53" s="12"/>
      <c r="C53" s="12">
        <v>32</v>
      </c>
      <c r="D53" s="13">
        <f>Reference!B51</f>
        <v>881.05759999999998</v>
      </c>
      <c r="E53" s="14">
        <f>Reference!C51</f>
        <v>37.267600000000002</v>
      </c>
      <c r="F53" s="14">
        <f>Reference!D51</f>
        <v>40.2346</v>
      </c>
      <c r="G53" s="14">
        <f>Reference!E51</f>
        <v>41.220700000000001</v>
      </c>
      <c r="H53" s="14">
        <f>Reference!F51</f>
        <v>6569</v>
      </c>
      <c r="I53" s="14">
        <f>Reference!G51</f>
        <v>7.2</v>
      </c>
      <c r="J53" s="14">
        <f t="shared" si="5"/>
        <v>1.8247222222222221</v>
      </c>
      <c r="K53" s="26">
        <f>Reference!H51</f>
        <v>1338912</v>
      </c>
      <c r="L53" s="27">
        <f>Reference!I51</f>
        <v>296384</v>
      </c>
      <c r="N53" s="13">
        <f>Test!B51</f>
        <v>0</v>
      </c>
      <c r="O53" s="14">
        <f>Test!C51</f>
        <v>0</v>
      </c>
      <c r="P53" s="14">
        <f>Test!D51</f>
        <v>0</v>
      </c>
      <c r="Q53" s="14">
        <f>Test!E51</f>
        <v>0</v>
      </c>
      <c r="R53" s="14">
        <f>Test!F51</f>
        <v>0</v>
      </c>
      <c r="S53" s="14">
        <f>Test!G51</f>
        <v>0</v>
      </c>
      <c r="T53" s="14">
        <f t="shared" si="6"/>
        <v>0</v>
      </c>
      <c r="U53" s="26">
        <f>Test!H51</f>
        <v>0</v>
      </c>
      <c r="V53" s="27">
        <f>Test!I51</f>
        <v>0</v>
      </c>
      <c r="W53" s="14">
        <f t="shared" si="7"/>
        <v>0</v>
      </c>
      <c r="X53" s="14">
        <f t="shared" si="8"/>
        <v>0</v>
      </c>
      <c r="Y53" s="14">
        <f t="shared" si="4"/>
        <v>0</v>
      </c>
      <c r="Z53" s="22">
        <f t="shared" si="4"/>
        <v>0</v>
      </c>
      <c r="AA53" s="39"/>
      <c r="AB53" s="40"/>
      <c r="AC53" s="41"/>
      <c r="AD53" s="41"/>
      <c r="AE53" s="40"/>
      <c r="AF53" s="41"/>
      <c r="AG53" s="42"/>
    </row>
    <row r="54" spans="1:33" ht="12.75" customHeight="1" x14ac:dyDescent="0.2">
      <c r="A54" s="12"/>
      <c r="B54" s="15"/>
      <c r="C54" s="15">
        <v>37</v>
      </c>
      <c r="D54" s="16">
        <f>Reference!B52</f>
        <v>510.2688</v>
      </c>
      <c r="E54" s="17">
        <f>Reference!C52</f>
        <v>34.296900000000001</v>
      </c>
      <c r="F54" s="17">
        <f>Reference!D52</f>
        <v>38.843299999999999</v>
      </c>
      <c r="G54" s="17">
        <f>Reference!E52</f>
        <v>39.715400000000002</v>
      </c>
      <c r="H54" s="17">
        <f>Reference!F52</f>
        <v>4827</v>
      </c>
      <c r="I54" s="17">
        <f>Reference!G52</f>
        <v>6.351</v>
      </c>
      <c r="J54" s="17">
        <f t="shared" si="5"/>
        <v>1.3408333333333333</v>
      </c>
      <c r="K54" s="26">
        <f>Reference!H52</f>
        <v>1335296</v>
      </c>
      <c r="L54" s="27">
        <f>Reference!I52</f>
        <v>293300</v>
      </c>
      <c r="N54" s="16">
        <f>Test!B52</f>
        <v>0</v>
      </c>
      <c r="O54" s="17">
        <f>Test!C52</f>
        <v>0</v>
      </c>
      <c r="P54" s="17">
        <f>Test!D52</f>
        <v>0</v>
      </c>
      <c r="Q54" s="17">
        <f>Test!E52</f>
        <v>0</v>
      </c>
      <c r="R54" s="17">
        <f>Test!F52</f>
        <v>0</v>
      </c>
      <c r="S54" s="17">
        <f>Test!G52</f>
        <v>0</v>
      </c>
      <c r="T54" s="17">
        <f t="shared" si="6"/>
        <v>0</v>
      </c>
      <c r="U54" s="26">
        <f>Test!H52</f>
        <v>0</v>
      </c>
      <c r="V54" s="27">
        <f>Test!I52</f>
        <v>0</v>
      </c>
      <c r="W54" s="14">
        <f t="shared" si="7"/>
        <v>0</v>
      </c>
      <c r="X54" s="14">
        <f t="shared" si="8"/>
        <v>0</v>
      </c>
      <c r="Y54" s="14">
        <f t="shared" si="4"/>
        <v>0</v>
      </c>
      <c r="Z54" s="22">
        <f t="shared" si="4"/>
        <v>0</v>
      </c>
      <c r="AA54" s="39"/>
      <c r="AB54" s="43"/>
      <c r="AC54" s="44"/>
      <c r="AD54" s="44"/>
      <c r="AE54" s="43"/>
      <c r="AF54" s="44"/>
      <c r="AG54" s="45"/>
    </row>
    <row r="55" spans="1:33" x14ac:dyDescent="0.2">
      <c r="A55" s="12"/>
      <c r="B55" s="9" t="s">
        <v>113</v>
      </c>
      <c r="C55" s="9">
        <v>22</v>
      </c>
      <c r="D55" s="10">
        <f>Reference!B53</f>
        <v>5026.9357</v>
      </c>
      <c r="E55" s="11">
        <f>Reference!C53</f>
        <v>42.104100000000003</v>
      </c>
      <c r="F55" s="11">
        <f>Reference!D53</f>
        <v>43.656999999999996</v>
      </c>
      <c r="G55" s="11">
        <f>Reference!E53</f>
        <v>44.743499999999997</v>
      </c>
      <c r="H55" s="11">
        <f>Reference!F53</f>
        <v>11151</v>
      </c>
      <c r="I55" s="11">
        <f>Reference!G53</f>
        <v>12.961</v>
      </c>
      <c r="J55" s="11">
        <f t="shared" si="5"/>
        <v>3.0975000000000001</v>
      </c>
      <c r="K55" s="24">
        <f>Reference!H53</f>
        <v>1356056</v>
      </c>
      <c r="L55" s="25">
        <f>Reference!I53</f>
        <v>318904</v>
      </c>
      <c r="N55" s="10">
        <f>Test!B53</f>
        <v>0</v>
      </c>
      <c r="O55" s="11">
        <f>Test!C53</f>
        <v>0</v>
      </c>
      <c r="P55" s="11">
        <f>Test!D53</f>
        <v>0</v>
      </c>
      <c r="Q55" s="11">
        <f>Test!E53</f>
        <v>0</v>
      </c>
      <c r="R55" s="11">
        <f>Test!F53</f>
        <v>0</v>
      </c>
      <c r="S55" s="11">
        <f>Test!G53</f>
        <v>0</v>
      </c>
      <c r="T55" s="11">
        <f t="shared" si="6"/>
        <v>0</v>
      </c>
      <c r="U55" s="24">
        <f>Test!H53</f>
        <v>0</v>
      </c>
      <c r="V55" s="25">
        <f>Test!I53</f>
        <v>0</v>
      </c>
      <c r="W55" s="14">
        <f t="shared" si="7"/>
        <v>0</v>
      </c>
      <c r="X55" s="14">
        <f t="shared" si="8"/>
        <v>0</v>
      </c>
      <c r="Y55" s="14">
        <f t="shared" si="4"/>
        <v>0</v>
      </c>
      <c r="Z55" s="22">
        <f t="shared" si="4"/>
        <v>0</v>
      </c>
      <c r="AA55" s="39"/>
      <c r="AB55" s="36" t="e">
        <f>bdrate($D55:$D58,E55:E58,$N55:$N58,O55:O58)</f>
        <v>#VALUE!</v>
      </c>
      <c r="AC55" s="37" t="e">
        <f>bdrate($D55:$D58,F55:F58,$N55:$N58,P55:P58)</f>
        <v>#VALUE!</v>
      </c>
      <c r="AD55" s="37" t="e">
        <f>bdrate($D55:$D58,G55:G58,$N55:$N58,Q55:Q58)</f>
        <v>#VALUE!</v>
      </c>
      <c r="AE55" s="46" t="e">
        <f>bdrateOld($D55:$D58,E55:E58,$N55:$N58,O55:O58)</f>
        <v>#VALUE!</v>
      </c>
      <c r="AF55" s="47" t="e">
        <f>bdrateOld($D55:$D58,F55:F58,$N55:$N58,P55:P58)</f>
        <v>#VALUE!</v>
      </c>
      <c r="AG55" s="49" t="e">
        <f>bdrateOld($D55:$D58,G55:G58,$N55:$N58,Q55:Q58)</f>
        <v>#VALUE!</v>
      </c>
    </row>
    <row r="56" spans="1:33" x14ac:dyDescent="0.2">
      <c r="A56" s="12"/>
      <c r="B56" s="12"/>
      <c r="C56" s="12">
        <v>27</v>
      </c>
      <c r="D56" s="13">
        <f>Reference!B54</f>
        <v>3075.6705999999999</v>
      </c>
      <c r="E56" s="14">
        <f>Reference!C54</f>
        <v>37.856699999999996</v>
      </c>
      <c r="F56" s="14">
        <f>Reference!D54</f>
        <v>40.491500000000002</v>
      </c>
      <c r="G56" s="14">
        <f>Reference!E54</f>
        <v>41.312899999999999</v>
      </c>
      <c r="H56" s="14">
        <f>Reference!F54</f>
        <v>10451</v>
      </c>
      <c r="I56" s="14">
        <f>Reference!G54</f>
        <v>10.374000000000001</v>
      </c>
      <c r="J56" s="14">
        <f t="shared" si="5"/>
        <v>2.9030555555555555</v>
      </c>
      <c r="K56" s="26">
        <f>Reference!H54</f>
        <v>1352668</v>
      </c>
      <c r="L56" s="27">
        <f>Reference!I54</f>
        <v>308944</v>
      </c>
      <c r="N56" s="13">
        <f>Test!B54</f>
        <v>0</v>
      </c>
      <c r="O56" s="14">
        <f>Test!C54</f>
        <v>0</v>
      </c>
      <c r="P56" s="14">
        <f>Test!D54</f>
        <v>0</v>
      </c>
      <c r="Q56" s="14">
        <f>Test!E54</f>
        <v>0</v>
      </c>
      <c r="R56" s="14">
        <f>Test!F54</f>
        <v>0</v>
      </c>
      <c r="S56" s="14">
        <f>Test!G54</f>
        <v>0</v>
      </c>
      <c r="T56" s="14">
        <f t="shared" si="6"/>
        <v>0</v>
      </c>
      <c r="U56" s="26">
        <f>Test!H54</f>
        <v>0</v>
      </c>
      <c r="V56" s="27">
        <f>Test!I54</f>
        <v>0</v>
      </c>
      <c r="W56" s="14">
        <f t="shared" si="7"/>
        <v>0</v>
      </c>
      <c r="X56" s="14">
        <f t="shared" si="8"/>
        <v>0</v>
      </c>
      <c r="Y56" s="14">
        <f t="shared" si="4"/>
        <v>0</v>
      </c>
      <c r="Z56" s="22">
        <f t="shared" si="4"/>
        <v>0</v>
      </c>
      <c r="AA56" s="39"/>
      <c r="AB56" s="40"/>
      <c r="AC56" s="41"/>
      <c r="AD56" s="41"/>
      <c r="AE56" s="40"/>
      <c r="AF56" s="41"/>
      <c r="AG56" s="42"/>
    </row>
    <row r="57" spans="1:33" x14ac:dyDescent="0.2">
      <c r="A57" s="12"/>
      <c r="B57" s="12"/>
      <c r="C57" s="12">
        <v>32</v>
      </c>
      <c r="D57" s="13">
        <f>Reference!B55</f>
        <v>1802.0889</v>
      </c>
      <c r="E57" s="14">
        <f>Reference!C55</f>
        <v>34.158900000000003</v>
      </c>
      <c r="F57" s="14">
        <f>Reference!D55</f>
        <v>37.576799999999999</v>
      </c>
      <c r="G57" s="14">
        <f>Reference!E55</f>
        <v>38.154299999999999</v>
      </c>
      <c r="H57" s="14">
        <f>Reference!F55</f>
        <v>10833</v>
      </c>
      <c r="I57" s="14">
        <f>Reference!G55</f>
        <v>9.8320000000000007</v>
      </c>
      <c r="J57" s="14">
        <f t="shared" si="5"/>
        <v>3.0091666666666668</v>
      </c>
      <c r="K57" s="26">
        <f>Reference!H55</f>
        <v>1347492</v>
      </c>
      <c r="L57" s="27">
        <f>Reference!I55</f>
        <v>301932</v>
      </c>
      <c r="N57" s="13">
        <f>Test!B55</f>
        <v>0</v>
      </c>
      <c r="O57" s="14">
        <f>Test!C55</f>
        <v>0</v>
      </c>
      <c r="P57" s="14">
        <f>Test!D55</f>
        <v>0</v>
      </c>
      <c r="Q57" s="14">
        <f>Test!E55</f>
        <v>0</v>
      </c>
      <c r="R57" s="14">
        <f>Test!F55</f>
        <v>0</v>
      </c>
      <c r="S57" s="14">
        <f>Test!G55</f>
        <v>0</v>
      </c>
      <c r="T57" s="14">
        <f t="shared" si="6"/>
        <v>0</v>
      </c>
      <c r="U57" s="26">
        <f>Test!H55</f>
        <v>0</v>
      </c>
      <c r="V57" s="27">
        <f>Test!I55</f>
        <v>0</v>
      </c>
      <c r="W57" s="14">
        <f t="shared" si="7"/>
        <v>0</v>
      </c>
      <c r="X57" s="14">
        <f t="shared" si="8"/>
        <v>0</v>
      </c>
      <c r="Y57" s="14">
        <f t="shared" si="4"/>
        <v>0</v>
      </c>
      <c r="Z57" s="22">
        <f t="shared" si="4"/>
        <v>0</v>
      </c>
      <c r="AA57" s="39"/>
      <c r="AB57" s="40"/>
      <c r="AC57" s="41"/>
      <c r="AD57" s="41"/>
      <c r="AE57" s="40"/>
      <c r="AF57" s="41"/>
      <c r="AG57" s="42"/>
    </row>
    <row r="58" spans="1:33" ht="12.75" customHeight="1" x14ac:dyDescent="0.2">
      <c r="A58" s="12"/>
      <c r="B58" s="15"/>
      <c r="C58" s="15">
        <v>37</v>
      </c>
      <c r="D58" s="16">
        <f>Reference!B56</f>
        <v>975.06110000000001</v>
      </c>
      <c r="E58" s="17">
        <f>Reference!C56</f>
        <v>30.560700000000001</v>
      </c>
      <c r="F58" s="17">
        <f>Reference!D56</f>
        <v>36.008400000000002</v>
      </c>
      <c r="G58" s="17">
        <f>Reference!E56</f>
        <v>36.574399999999997</v>
      </c>
      <c r="H58" s="17">
        <f>Reference!F56</f>
        <v>7440</v>
      </c>
      <c r="I58" s="17">
        <f>Reference!G56</f>
        <v>7.0359999999999996</v>
      </c>
      <c r="J58" s="17">
        <f t="shared" si="5"/>
        <v>2.0666666666666669</v>
      </c>
      <c r="K58" s="26">
        <f>Reference!H56</f>
        <v>1341740</v>
      </c>
      <c r="L58" s="27">
        <f>Reference!I56</f>
        <v>298060</v>
      </c>
      <c r="N58" s="16">
        <f>Test!B56</f>
        <v>0</v>
      </c>
      <c r="O58" s="17">
        <f>Test!C56</f>
        <v>0</v>
      </c>
      <c r="P58" s="17">
        <f>Test!D56</f>
        <v>0</v>
      </c>
      <c r="Q58" s="17">
        <f>Test!E56</f>
        <v>0</v>
      </c>
      <c r="R58" s="17">
        <f>Test!F56</f>
        <v>0</v>
      </c>
      <c r="S58" s="17">
        <f>Test!G56</f>
        <v>0</v>
      </c>
      <c r="T58" s="17">
        <f t="shared" si="6"/>
        <v>0</v>
      </c>
      <c r="U58" s="26">
        <f>Test!H56</f>
        <v>0</v>
      </c>
      <c r="V58" s="27">
        <f>Test!I56</f>
        <v>0</v>
      </c>
      <c r="W58" s="14">
        <f t="shared" si="7"/>
        <v>0</v>
      </c>
      <c r="X58" s="14">
        <f t="shared" si="8"/>
        <v>0</v>
      </c>
      <c r="Y58" s="14">
        <f t="shared" si="4"/>
        <v>0</v>
      </c>
      <c r="Z58" s="22">
        <f t="shared" si="4"/>
        <v>0</v>
      </c>
      <c r="AA58" s="39"/>
      <c r="AB58" s="43"/>
      <c r="AC58" s="44"/>
      <c r="AD58" s="44"/>
      <c r="AE58" s="43"/>
      <c r="AF58" s="44"/>
      <c r="AG58" s="45"/>
    </row>
    <row r="59" spans="1:33" x14ac:dyDescent="0.2">
      <c r="A59" s="12"/>
      <c r="B59" s="9" t="s">
        <v>87</v>
      </c>
      <c r="C59" s="9">
        <v>22</v>
      </c>
      <c r="D59" s="10">
        <f>Reference!B57</f>
        <v>1736.5018</v>
      </c>
      <c r="E59" s="11">
        <f>Reference!C57</f>
        <v>43.475999999999999</v>
      </c>
      <c r="F59" s="11">
        <f>Reference!D57</f>
        <v>44.225999999999999</v>
      </c>
      <c r="G59" s="11">
        <f>Reference!E57</f>
        <v>45.203699999999998</v>
      </c>
      <c r="H59" s="11">
        <f>Reference!F57</f>
        <v>7320</v>
      </c>
      <c r="I59" s="11">
        <f>Reference!G57</f>
        <v>5.91</v>
      </c>
      <c r="J59" s="11">
        <f t="shared" si="5"/>
        <v>2.0333333333333332</v>
      </c>
      <c r="K59" s="24">
        <f>Reference!H57</f>
        <v>1343924</v>
      </c>
      <c r="L59" s="25">
        <f>Reference!I57</f>
        <v>299508</v>
      </c>
      <c r="N59" s="10">
        <f>Test!B57</f>
        <v>0</v>
      </c>
      <c r="O59" s="11">
        <f>Test!C57</f>
        <v>0</v>
      </c>
      <c r="P59" s="11">
        <f>Test!D57</f>
        <v>0</v>
      </c>
      <c r="Q59" s="11">
        <f>Test!E57</f>
        <v>0</v>
      </c>
      <c r="R59" s="11">
        <f>Test!F57</f>
        <v>0</v>
      </c>
      <c r="S59" s="11">
        <f>Test!G57</f>
        <v>0</v>
      </c>
      <c r="T59" s="11">
        <f t="shared" si="6"/>
        <v>0</v>
      </c>
      <c r="U59" s="24">
        <f>Test!H57</f>
        <v>0</v>
      </c>
      <c r="V59" s="25">
        <f>Test!I57</f>
        <v>0</v>
      </c>
      <c r="W59" s="14">
        <f t="shared" si="7"/>
        <v>0</v>
      </c>
      <c r="X59" s="14">
        <f t="shared" si="8"/>
        <v>0</v>
      </c>
      <c r="Y59" s="14">
        <f t="shared" si="4"/>
        <v>0</v>
      </c>
      <c r="Z59" s="22">
        <f t="shared" si="4"/>
        <v>0</v>
      </c>
      <c r="AA59" s="39"/>
      <c r="AB59" s="36" t="e">
        <f>bdrate($D59:$D62,E59:E62,$N59:$N62,O59:O62)</f>
        <v>#VALUE!</v>
      </c>
      <c r="AC59" s="37" t="e">
        <f>bdrate($D59:$D62,F59:F62,$N59:$N62,P59:P62)</f>
        <v>#VALUE!</v>
      </c>
      <c r="AD59" s="37" t="e">
        <f>bdrate($D59:$D62,G59:G62,$N59:$N62,Q59:Q62)</f>
        <v>#VALUE!</v>
      </c>
      <c r="AE59" s="46" t="e">
        <f>bdrateOld($D59:$D62,E59:E62,$N59:$N62,O59:O62)</f>
        <v>#VALUE!</v>
      </c>
      <c r="AF59" s="47" t="e">
        <f>bdrateOld($D59:$D62,F59:F62,$N59:$N62,P59:P62)</f>
        <v>#VALUE!</v>
      </c>
      <c r="AG59" s="49" t="e">
        <f>bdrateOld($D59:$D62,G59:G62,$N59:$N62,Q59:Q62)</f>
        <v>#VALUE!</v>
      </c>
    </row>
    <row r="60" spans="1:33" x14ac:dyDescent="0.2">
      <c r="A60" s="12"/>
      <c r="B60" s="12"/>
      <c r="C60" s="12">
        <v>27</v>
      </c>
      <c r="D60" s="13">
        <f>Reference!B58</f>
        <v>1011.0196999999999</v>
      </c>
      <c r="E60" s="14">
        <f>Reference!C58</f>
        <v>40.102899999999998</v>
      </c>
      <c r="F60" s="14">
        <f>Reference!D58</f>
        <v>40.524299999999997</v>
      </c>
      <c r="G60" s="14">
        <f>Reference!E58</f>
        <v>42.353000000000002</v>
      </c>
      <c r="H60" s="14">
        <f>Reference!F58</f>
        <v>5580</v>
      </c>
      <c r="I60" s="14">
        <f>Reference!G58</f>
        <v>4.4660000000000002</v>
      </c>
      <c r="J60" s="14">
        <f t="shared" si="5"/>
        <v>1.55</v>
      </c>
      <c r="K60" s="26">
        <f>Reference!H58</f>
        <v>1340696</v>
      </c>
      <c r="L60" s="27">
        <f>Reference!I58</f>
        <v>297324</v>
      </c>
      <c r="N60" s="13">
        <f>Test!B58</f>
        <v>0</v>
      </c>
      <c r="O60" s="14">
        <f>Test!C58</f>
        <v>0</v>
      </c>
      <c r="P60" s="14">
        <f>Test!D58</f>
        <v>0</v>
      </c>
      <c r="Q60" s="14">
        <f>Test!E58</f>
        <v>0</v>
      </c>
      <c r="R60" s="14">
        <f>Test!F58</f>
        <v>0</v>
      </c>
      <c r="S60" s="14">
        <f>Test!G58</f>
        <v>0</v>
      </c>
      <c r="T60" s="14">
        <f t="shared" si="6"/>
        <v>0</v>
      </c>
      <c r="U60" s="26">
        <f>Test!H58</f>
        <v>0</v>
      </c>
      <c r="V60" s="27">
        <f>Test!I58</f>
        <v>0</v>
      </c>
      <c r="W60" s="14">
        <f t="shared" si="7"/>
        <v>0</v>
      </c>
      <c r="X60" s="14">
        <f t="shared" si="8"/>
        <v>0</v>
      </c>
      <c r="Y60" s="14">
        <f t="shared" si="4"/>
        <v>0</v>
      </c>
      <c r="Z60" s="22">
        <f t="shared" si="4"/>
        <v>0</v>
      </c>
      <c r="AA60" s="39"/>
      <c r="AB60" s="40"/>
      <c r="AC60" s="41"/>
      <c r="AD60" s="41"/>
      <c r="AE60" s="40"/>
      <c r="AF60" s="41"/>
      <c r="AG60" s="42"/>
    </row>
    <row r="61" spans="1:33" x14ac:dyDescent="0.2">
      <c r="A61" s="12"/>
      <c r="B61" s="12"/>
      <c r="C61" s="12">
        <v>32</v>
      </c>
      <c r="D61" s="13">
        <f>Reference!B59</f>
        <v>579.91340000000002</v>
      </c>
      <c r="E61" s="14">
        <f>Reference!C59</f>
        <v>36.862200000000001</v>
      </c>
      <c r="F61" s="14">
        <f>Reference!D59</f>
        <v>37.618000000000002</v>
      </c>
      <c r="G61" s="14">
        <f>Reference!E59</f>
        <v>39.998800000000003</v>
      </c>
      <c r="H61" s="14">
        <f>Reference!F59</f>
        <v>4149</v>
      </c>
      <c r="I61" s="14">
        <f>Reference!G59</f>
        <v>3.7429999999999999</v>
      </c>
      <c r="J61" s="14">
        <f t="shared" si="5"/>
        <v>1.1525000000000001</v>
      </c>
      <c r="K61" s="26">
        <f>Reference!H59</f>
        <v>1338216</v>
      </c>
      <c r="L61" s="27">
        <f>Reference!I59</f>
        <v>295584</v>
      </c>
      <c r="N61" s="13">
        <f>Test!B59</f>
        <v>0</v>
      </c>
      <c r="O61" s="14">
        <f>Test!C59</f>
        <v>0</v>
      </c>
      <c r="P61" s="14">
        <f>Test!D59</f>
        <v>0</v>
      </c>
      <c r="Q61" s="14">
        <f>Test!E59</f>
        <v>0</v>
      </c>
      <c r="R61" s="14">
        <f>Test!F59</f>
        <v>0</v>
      </c>
      <c r="S61" s="14">
        <f>Test!G59</f>
        <v>0</v>
      </c>
      <c r="T61" s="14">
        <f t="shared" si="6"/>
        <v>0</v>
      </c>
      <c r="U61" s="26">
        <f>Test!H59</f>
        <v>0</v>
      </c>
      <c r="V61" s="27">
        <f>Test!I59</f>
        <v>0</v>
      </c>
      <c r="W61" s="14">
        <f t="shared" si="7"/>
        <v>0</v>
      </c>
      <c r="X61" s="14">
        <f t="shared" si="8"/>
        <v>0</v>
      </c>
      <c r="Y61" s="14">
        <f t="shared" si="4"/>
        <v>0</v>
      </c>
      <c r="Z61" s="22">
        <f t="shared" si="4"/>
        <v>0</v>
      </c>
      <c r="AA61" s="39"/>
      <c r="AB61" s="40"/>
      <c r="AC61" s="41"/>
      <c r="AD61" s="41"/>
      <c r="AE61" s="40"/>
      <c r="AF61" s="41"/>
      <c r="AG61" s="42"/>
    </row>
    <row r="62" spans="1:33" ht="12.75" customHeight="1" x14ac:dyDescent="0.2">
      <c r="A62" s="15"/>
      <c r="B62" s="15"/>
      <c r="C62" s="15">
        <v>37</v>
      </c>
      <c r="D62" s="16">
        <f>Reference!B60</f>
        <v>303.14999999999998</v>
      </c>
      <c r="E62" s="17">
        <f>Reference!C60</f>
        <v>33.4709</v>
      </c>
      <c r="F62" s="17">
        <f>Reference!D60</f>
        <v>36.5351</v>
      </c>
      <c r="G62" s="17">
        <f>Reference!E60</f>
        <v>38.609000000000002</v>
      </c>
      <c r="H62" s="17">
        <f>Reference!F60</f>
        <v>3009</v>
      </c>
      <c r="I62" s="17">
        <f>Reference!G60</f>
        <v>3.2850000000000001</v>
      </c>
      <c r="J62" s="17">
        <f t="shared" si="5"/>
        <v>0.83583333333333332</v>
      </c>
      <c r="K62" s="26">
        <f>Reference!H60</f>
        <v>1334764</v>
      </c>
      <c r="L62" s="27">
        <f>Reference!I60</f>
        <v>293948</v>
      </c>
      <c r="N62" s="16">
        <f>Test!B60</f>
        <v>0</v>
      </c>
      <c r="O62" s="17">
        <f>Test!C60</f>
        <v>0</v>
      </c>
      <c r="P62" s="17">
        <f>Test!D60</f>
        <v>0</v>
      </c>
      <c r="Q62" s="17">
        <f>Test!E60</f>
        <v>0</v>
      </c>
      <c r="R62" s="17">
        <f>Test!F60</f>
        <v>0</v>
      </c>
      <c r="S62" s="17">
        <f>Test!G60</f>
        <v>0</v>
      </c>
      <c r="T62" s="17">
        <f t="shared" si="6"/>
        <v>0</v>
      </c>
      <c r="U62" s="26">
        <f>Test!H60</f>
        <v>0</v>
      </c>
      <c r="V62" s="27">
        <f>Test!I60</f>
        <v>0</v>
      </c>
      <c r="W62" s="17">
        <f t="shared" si="7"/>
        <v>0</v>
      </c>
      <c r="X62" s="17">
        <f t="shared" si="8"/>
        <v>0</v>
      </c>
      <c r="Y62" s="17">
        <f t="shared" si="4"/>
        <v>0</v>
      </c>
      <c r="Z62" s="23">
        <f t="shared" si="4"/>
        <v>0</v>
      </c>
      <c r="AA62" s="48"/>
      <c r="AB62" s="43"/>
      <c r="AC62" s="44"/>
      <c r="AD62" s="44"/>
      <c r="AE62" s="43"/>
      <c r="AF62" s="44"/>
      <c r="AG62" s="45"/>
    </row>
    <row r="63" spans="1:33" x14ac:dyDescent="0.2">
      <c r="A63" s="9" t="s">
        <v>27</v>
      </c>
      <c r="B63" s="9" t="s">
        <v>85</v>
      </c>
      <c r="C63" s="9">
        <f>C59</f>
        <v>22</v>
      </c>
      <c r="D63" s="10">
        <f>Reference!B61</f>
        <v>558.66830000000004</v>
      </c>
      <c r="E63" s="11">
        <f>Reference!C61</f>
        <v>44.114400000000003</v>
      </c>
      <c r="F63" s="11">
        <f>Reference!D61</f>
        <v>46.404899999999998</v>
      </c>
      <c r="G63" s="11">
        <f>Reference!E61</f>
        <v>46.335099999999997</v>
      </c>
      <c r="H63" s="11">
        <f>Reference!F61</f>
        <v>2466</v>
      </c>
      <c r="I63" s="11">
        <f>Reference!G61</f>
        <v>2.3490000000000002</v>
      </c>
      <c r="J63" s="11">
        <f t="shared" si="5"/>
        <v>0.68500000000000005</v>
      </c>
      <c r="K63" s="24">
        <f>Reference!H61</f>
        <v>998300</v>
      </c>
      <c r="L63" s="25">
        <f>Reference!I61</f>
        <v>266764</v>
      </c>
      <c r="N63" s="10">
        <f>Test!B61</f>
        <v>0</v>
      </c>
      <c r="O63" s="11">
        <f>Test!C61</f>
        <v>0</v>
      </c>
      <c r="P63" s="11">
        <f>Test!D61</f>
        <v>0</v>
      </c>
      <c r="Q63" s="11">
        <f>Test!E61</f>
        <v>0</v>
      </c>
      <c r="R63" s="11">
        <f>Test!F61</f>
        <v>0</v>
      </c>
      <c r="S63" s="11">
        <f>Test!G61</f>
        <v>0</v>
      </c>
      <c r="T63" s="11">
        <f t="shared" si="6"/>
        <v>0</v>
      </c>
      <c r="U63" s="24">
        <f>Test!H61</f>
        <v>0</v>
      </c>
      <c r="V63" s="25">
        <f>Test!I61</f>
        <v>0</v>
      </c>
      <c r="W63" s="11">
        <f t="shared" si="7"/>
        <v>0</v>
      </c>
      <c r="X63" s="11">
        <f t="shared" si="8"/>
        <v>0</v>
      </c>
      <c r="Y63" s="11">
        <f t="shared" si="4"/>
        <v>0</v>
      </c>
      <c r="Z63" s="21">
        <f t="shared" si="4"/>
        <v>0</v>
      </c>
      <c r="AA63" s="35"/>
      <c r="AB63" s="36" t="e">
        <f>bdrate($D63:$D66,E63:E66,$N63:$N66,O63:O66)</f>
        <v>#VALUE!</v>
      </c>
      <c r="AC63" s="37" t="e">
        <f>bdrate($D63:$D66,F63:F66,$N63:$N66,P63:P66)</f>
        <v>#VALUE!</v>
      </c>
      <c r="AD63" s="38" t="e">
        <f>bdrate($D63:$D66,G63:G66,$N63:$N66,Q63:Q66)</f>
        <v>#VALUE!</v>
      </c>
      <c r="AE63" s="36" t="e">
        <f>bdrateOld($D63:$D66,E63:E66,$N63:$N66,O63:O66)</f>
        <v>#VALUE!</v>
      </c>
      <c r="AF63" s="37" t="e">
        <f>bdrateOld($D63:$D66,F63:F66,$N63:$N66,P63:P66)</f>
        <v>#VALUE!</v>
      </c>
      <c r="AG63" s="38" t="e">
        <f>bdrateOld($D63:$D66,G63:G66,$N63:$N66,Q63:Q66)</f>
        <v>#VALUE!</v>
      </c>
    </row>
    <row r="64" spans="1:33" x14ac:dyDescent="0.2">
      <c r="A64" s="12" t="s">
        <v>114</v>
      </c>
      <c r="B64" s="12"/>
      <c r="C64" s="12">
        <f>C60</f>
        <v>27</v>
      </c>
      <c r="D64" s="13">
        <f>Reference!B62</f>
        <v>334.67140000000001</v>
      </c>
      <c r="E64" s="14">
        <f>Reference!C62</f>
        <v>40.636200000000002</v>
      </c>
      <c r="F64" s="14">
        <f>Reference!D62</f>
        <v>43.248699999999999</v>
      </c>
      <c r="G64" s="14">
        <f>Reference!E62</f>
        <v>42.796900000000001</v>
      </c>
      <c r="H64" s="14">
        <f>Reference!F62</f>
        <v>1940</v>
      </c>
      <c r="I64" s="14">
        <f>Reference!G62</f>
        <v>1.9590000000000001</v>
      </c>
      <c r="J64" s="14">
        <f t="shared" si="5"/>
        <v>0.53888888888888886</v>
      </c>
      <c r="K64" s="26">
        <f>Reference!H62</f>
        <v>997056</v>
      </c>
      <c r="L64" s="27">
        <f>Reference!I62</f>
        <v>266040</v>
      </c>
      <c r="N64" s="13">
        <f>Test!B62</f>
        <v>0</v>
      </c>
      <c r="O64" s="14">
        <f>Test!C62</f>
        <v>0</v>
      </c>
      <c r="P64" s="14">
        <f>Test!D62</f>
        <v>0</v>
      </c>
      <c r="Q64" s="14">
        <f>Test!E62</f>
        <v>0</v>
      </c>
      <c r="R64" s="14">
        <f>Test!F62</f>
        <v>0</v>
      </c>
      <c r="S64" s="14">
        <f>Test!G62</f>
        <v>0</v>
      </c>
      <c r="T64" s="14">
        <f t="shared" si="6"/>
        <v>0</v>
      </c>
      <c r="U64" s="26">
        <f>Test!H62</f>
        <v>0</v>
      </c>
      <c r="V64" s="27">
        <f>Test!I62</f>
        <v>0</v>
      </c>
      <c r="W64" s="14">
        <f t="shared" si="7"/>
        <v>0</v>
      </c>
      <c r="X64" s="14">
        <f t="shared" si="8"/>
        <v>0</v>
      </c>
      <c r="Y64" s="14">
        <f t="shared" si="4"/>
        <v>0</v>
      </c>
      <c r="Z64" s="22">
        <f t="shared" si="4"/>
        <v>0</v>
      </c>
      <c r="AA64" s="39"/>
      <c r="AB64" s="40"/>
      <c r="AC64" s="41"/>
      <c r="AD64" s="42"/>
      <c r="AE64" s="40"/>
      <c r="AF64" s="41"/>
      <c r="AG64" s="42"/>
    </row>
    <row r="65" spans="1:33" x14ac:dyDescent="0.2">
      <c r="A65" s="12"/>
      <c r="B65" s="12"/>
      <c r="C65" s="12">
        <f>C61</f>
        <v>32</v>
      </c>
      <c r="D65" s="13">
        <f>Reference!B63</f>
        <v>193.98330000000001</v>
      </c>
      <c r="E65" s="14">
        <f>Reference!C63</f>
        <v>37.313200000000002</v>
      </c>
      <c r="F65" s="14">
        <f>Reference!D63</f>
        <v>39.966200000000001</v>
      </c>
      <c r="G65" s="14">
        <f>Reference!E63</f>
        <v>39.2438</v>
      </c>
      <c r="H65" s="14">
        <f>Reference!F63</f>
        <v>1602</v>
      </c>
      <c r="I65" s="14">
        <f>Reference!G63</f>
        <v>1.762</v>
      </c>
      <c r="J65" s="14">
        <f t="shared" si="5"/>
        <v>0.44500000000000001</v>
      </c>
      <c r="K65" s="26">
        <f>Reference!H63</f>
        <v>995024</v>
      </c>
      <c r="L65" s="27">
        <f>Reference!I63</f>
        <v>265344</v>
      </c>
      <c r="N65" s="13">
        <f>Test!B63</f>
        <v>0</v>
      </c>
      <c r="O65" s="14">
        <f>Test!C63</f>
        <v>0</v>
      </c>
      <c r="P65" s="14">
        <f>Test!D63</f>
        <v>0</v>
      </c>
      <c r="Q65" s="14">
        <f>Test!E63</f>
        <v>0</v>
      </c>
      <c r="R65" s="14">
        <f>Test!F63</f>
        <v>0</v>
      </c>
      <c r="S65" s="14">
        <f>Test!G63</f>
        <v>0</v>
      </c>
      <c r="T65" s="14">
        <f t="shared" si="6"/>
        <v>0</v>
      </c>
      <c r="U65" s="26">
        <f>Test!H63</f>
        <v>0</v>
      </c>
      <c r="V65" s="27">
        <f>Test!I63</f>
        <v>0</v>
      </c>
      <c r="W65" s="14">
        <f t="shared" si="7"/>
        <v>0</v>
      </c>
      <c r="X65" s="14">
        <f t="shared" si="8"/>
        <v>0</v>
      </c>
      <c r="Y65" s="14">
        <f t="shared" si="4"/>
        <v>0</v>
      </c>
      <c r="Z65" s="22">
        <f t="shared" si="4"/>
        <v>0</v>
      </c>
      <c r="AA65" s="39"/>
      <c r="AB65" s="40"/>
      <c r="AC65" s="41"/>
      <c r="AD65" s="42"/>
      <c r="AE65" s="40"/>
      <c r="AF65" s="41"/>
      <c r="AG65" s="42"/>
    </row>
    <row r="66" spans="1:33" ht="12.75" customHeight="1" x14ac:dyDescent="0.2">
      <c r="A66" s="12"/>
      <c r="B66" s="15"/>
      <c r="C66" s="15">
        <f>C62</f>
        <v>37</v>
      </c>
      <c r="D66" s="16">
        <f>Reference!B64</f>
        <v>111.0119</v>
      </c>
      <c r="E66" s="17">
        <f>Reference!C64</f>
        <v>34.118299999999998</v>
      </c>
      <c r="F66" s="17">
        <f>Reference!D64</f>
        <v>38.299199999999999</v>
      </c>
      <c r="G66" s="17">
        <f>Reference!E64</f>
        <v>37.348399999999998</v>
      </c>
      <c r="H66" s="17">
        <f>Reference!F64</f>
        <v>1038</v>
      </c>
      <c r="I66" s="17">
        <f>Reference!G64</f>
        <v>1.3169999999999999</v>
      </c>
      <c r="J66" s="17">
        <f t="shared" si="5"/>
        <v>0.28833333333333333</v>
      </c>
      <c r="K66" s="26">
        <f>Reference!H64</f>
        <v>993096</v>
      </c>
      <c r="L66" s="27">
        <f>Reference!I64</f>
        <v>264672</v>
      </c>
      <c r="N66" s="16">
        <f>Test!B64</f>
        <v>0</v>
      </c>
      <c r="O66" s="17">
        <f>Test!C64</f>
        <v>0</v>
      </c>
      <c r="P66" s="17">
        <f>Test!D64</f>
        <v>0</v>
      </c>
      <c r="Q66" s="17">
        <f>Test!E64</f>
        <v>0</v>
      </c>
      <c r="R66" s="17">
        <f>Test!F64</f>
        <v>0</v>
      </c>
      <c r="S66" s="17">
        <f>Test!G64</f>
        <v>0</v>
      </c>
      <c r="T66" s="17">
        <f t="shared" si="6"/>
        <v>0</v>
      </c>
      <c r="U66" s="26">
        <f>Test!H64</f>
        <v>0</v>
      </c>
      <c r="V66" s="27">
        <f>Test!I64</f>
        <v>0</v>
      </c>
      <c r="W66" s="14">
        <f t="shared" si="7"/>
        <v>0</v>
      </c>
      <c r="X66" s="14">
        <f t="shared" si="8"/>
        <v>0</v>
      </c>
      <c r="Y66" s="14">
        <f t="shared" si="4"/>
        <v>0</v>
      </c>
      <c r="Z66" s="22">
        <f t="shared" si="4"/>
        <v>0</v>
      </c>
      <c r="AA66" s="39"/>
      <c r="AB66" s="43"/>
      <c r="AC66" s="44"/>
      <c r="AD66" s="45"/>
      <c r="AE66" s="43"/>
      <c r="AF66" s="44"/>
      <c r="AG66" s="45"/>
    </row>
    <row r="67" spans="1:33" x14ac:dyDescent="0.2">
      <c r="A67" s="12"/>
      <c r="B67" s="9" t="s">
        <v>86</v>
      </c>
      <c r="C67" s="9">
        <v>22</v>
      </c>
      <c r="D67" s="10">
        <f>Reference!B65</f>
        <v>1473.2159999999999</v>
      </c>
      <c r="E67" s="11">
        <f>Reference!C65</f>
        <v>42.185000000000002</v>
      </c>
      <c r="F67" s="11">
        <f>Reference!D65</f>
        <v>44.505699999999997</v>
      </c>
      <c r="G67" s="11">
        <f>Reference!E65</f>
        <v>45.758099999999999</v>
      </c>
      <c r="H67" s="11">
        <f>Reference!F65</f>
        <v>3424</v>
      </c>
      <c r="I67" s="11">
        <f>Reference!G65</f>
        <v>3.5870000000000002</v>
      </c>
      <c r="J67" s="11">
        <f t="shared" ref="J67:J98" si="9">H67/3600</f>
        <v>0.95111111111111113</v>
      </c>
      <c r="K67" s="24">
        <f>Reference!H65</f>
        <v>1000376</v>
      </c>
      <c r="L67" s="25">
        <f>Reference!I65</f>
        <v>268024</v>
      </c>
      <c r="N67" s="10">
        <f>Test!B65</f>
        <v>0</v>
      </c>
      <c r="O67" s="11">
        <f>Test!C65</f>
        <v>0</v>
      </c>
      <c r="P67" s="11">
        <f>Test!D65</f>
        <v>0</v>
      </c>
      <c r="Q67" s="11">
        <f>Test!E65</f>
        <v>0</v>
      </c>
      <c r="R67" s="11">
        <f>Test!F65</f>
        <v>0</v>
      </c>
      <c r="S67" s="11">
        <f>Test!G65</f>
        <v>0</v>
      </c>
      <c r="T67" s="11">
        <f t="shared" ref="T67:T98" si="10">R67/3600</f>
        <v>0</v>
      </c>
      <c r="U67" s="24">
        <f>Test!H65</f>
        <v>0</v>
      </c>
      <c r="V67" s="25">
        <f>Test!I65</f>
        <v>0</v>
      </c>
      <c r="W67" s="14">
        <f t="shared" ref="W67:W98" si="11">R67/H67</f>
        <v>0</v>
      </c>
      <c r="X67" s="14">
        <f t="shared" ref="X67:X98" si="12">S67/I67</f>
        <v>0</v>
      </c>
      <c r="Y67" s="14">
        <f t="shared" si="4"/>
        <v>0</v>
      </c>
      <c r="Z67" s="22">
        <f t="shared" si="4"/>
        <v>0</v>
      </c>
      <c r="AA67" s="39"/>
      <c r="AB67" s="36" t="e">
        <f>bdrate($D67:$D70,E67:E70,$N67:$N70,O67:O70)</f>
        <v>#VALUE!</v>
      </c>
      <c r="AC67" s="37" t="e">
        <f>bdrate($D67:$D70,F67:F70,$N67:$N70,P67:P70)</f>
        <v>#VALUE!</v>
      </c>
      <c r="AD67" s="37" t="e">
        <f>bdrate($D67:$D70,G67:G70,$N67:$N70,Q67:Q70)</f>
        <v>#VALUE!</v>
      </c>
      <c r="AE67" s="46" t="e">
        <f>bdrateOld($D67:$D70,E67:E70,$N67:$N70,O67:O70)</f>
        <v>#VALUE!</v>
      </c>
      <c r="AF67" s="47" t="e">
        <f>bdrateOld($D67:$D70,F67:F70,$N67:$N70,P67:P70)</f>
        <v>#VALUE!</v>
      </c>
      <c r="AG67" s="49" t="e">
        <f>bdrateOld($D67:$D70,G67:G70,$N67:$N70,Q67:Q70)</f>
        <v>#VALUE!</v>
      </c>
    </row>
    <row r="68" spans="1:33" x14ac:dyDescent="0.2">
      <c r="A68" s="12"/>
      <c r="B68" s="12"/>
      <c r="C68" s="12">
        <v>27</v>
      </c>
      <c r="D68" s="13">
        <f>Reference!B66</f>
        <v>941.09839999999997</v>
      </c>
      <c r="E68" s="14">
        <f>Reference!C66</f>
        <v>37.793399999999998</v>
      </c>
      <c r="F68" s="14">
        <f>Reference!D66</f>
        <v>42.016800000000003</v>
      </c>
      <c r="G68" s="14">
        <f>Reference!E66</f>
        <v>43.137799999999999</v>
      </c>
      <c r="H68" s="14">
        <f>Reference!F66</f>
        <v>2880</v>
      </c>
      <c r="I68" s="14">
        <f>Reference!G66</f>
        <v>2.9239999999999999</v>
      </c>
      <c r="J68" s="14">
        <f t="shared" si="9"/>
        <v>0.8</v>
      </c>
      <c r="K68" s="26">
        <f>Reference!H66</f>
        <v>999208</v>
      </c>
      <c r="L68" s="27">
        <f>Reference!I66</f>
        <v>267104</v>
      </c>
      <c r="N68" s="13">
        <f>Test!B66</f>
        <v>0</v>
      </c>
      <c r="O68" s="14">
        <f>Test!C66</f>
        <v>0</v>
      </c>
      <c r="P68" s="14">
        <f>Test!D66</f>
        <v>0</v>
      </c>
      <c r="Q68" s="14">
        <f>Test!E66</f>
        <v>0</v>
      </c>
      <c r="R68" s="14">
        <f>Test!F66</f>
        <v>0</v>
      </c>
      <c r="S68" s="14">
        <f>Test!G66</f>
        <v>0</v>
      </c>
      <c r="T68" s="14">
        <f t="shared" si="10"/>
        <v>0</v>
      </c>
      <c r="U68" s="26">
        <f>Test!H66</f>
        <v>0</v>
      </c>
      <c r="V68" s="27">
        <f>Test!I66</f>
        <v>0</v>
      </c>
      <c r="W68" s="14">
        <f t="shared" si="11"/>
        <v>0</v>
      </c>
      <c r="X68" s="14">
        <f t="shared" si="12"/>
        <v>0</v>
      </c>
      <c r="Y68" s="14">
        <f t="shared" ref="Y68:Z122" si="13">U68/K68</f>
        <v>0</v>
      </c>
      <c r="Z68" s="22">
        <f t="shared" si="13"/>
        <v>0</v>
      </c>
      <c r="AA68" s="39"/>
      <c r="AB68" s="40"/>
      <c r="AC68" s="41"/>
      <c r="AD68" s="41"/>
      <c r="AE68" s="40"/>
      <c r="AF68" s="41"/>
      <c r="AG68" s="42"/>
    </row>
    <row r="69" spans="1:33" x14ac:dyDescent="0.2">
      <c r="A69" s="12"/>
      <c r="B69" s="12"/>
      <c r="C69" s="12">
        <v>32</v>
      </c>
      <c r="D69" s="13">
        <f>Reference!B67</f>
        <v>565.89359999999999</v>
      </c>
      <c r="E69" s="14">
        <f>Reference!C67</f>
        <v>34.001199999999997</v>
      </c>
      <c r="F69" s="14">
        <f>Reference!D67</f>
        <v>39.576500000000003</v>
      </c>
      <c r="G69" s="14">
        <f>Reference!E67</f>
        <v>40.286299999999997</v>
      </c>
      <c r="H69" s="14">
        <f>Reference!F67</f>
        <v>2448</v>
      </c>
      <c r="I69" s="14">
        <f>Reference!G67</f>
        <v>2.4060000000000001</v>
      </c>
      <c r="J69" s="14">
        <f t="shared" si="9"/>
        <v>0.68</v>
      </c>
      <c r="K69" s="26">
        <f>Reference!H67</f>
        <v>997684</v>
      </c>
      <c r="L69" s="27">
        <f>Reference!I67</f>
        <v>266216</v>
      </c>
      <c r="N69" s="13">
        <f>Test!B67</f>
        <v>0</v>
      </c>
      <c r="O69" s="14">
        <f>Test!C67</f>
        <v>0</v>
      </c>
      <c r="P69" s="14">
        <f>Test!D67</f>
        <v>0</v>
      </c>
      <c r="Q69" s="14">
        <f>Test!E67</f>
        <v>0</v>
      </c>
      <c r="R69" s="14">
        <f>Test!F67</f>
        <v>0</v>
      </c>
      <c r="S69" s="14">
        <f>Test!G67</f>
        <v>0</v>
      </c>
      <c r="T69" s="14">
        <f t="shared" si="10"/>
        <v>0</v>
      </c>
      <c r="U69" s="26">
        <f>Test!H67</f>
        <v>0</v>
      </c>
      <c r="V69" s="27">
        <f>Test!I67</f>
        <v>0</v>
      </c>
      <c r="W69" s="14">
        <f t="shared" si="11"/>
        <v>0</v>
      </c>
      <c r="X69" s="14">
        <f t="shared" si="12"/>
        <v>0</v>
      </c>
      <c r="Y69" s="14">
        <f t="shared" si="13"/>
        <v>0</v>
      </c>
      <c r="Z69" s="22">
        <f t="shared" si="13"/>
        <v>0</v>
      </c>
      <c r="AA69" s="39"/>
      <c r="AB69" s="40"/>
      <c r="AC69" s="41"/>
      <c r="AD69" s="41"/>
      <c r="AE69" s="40"/>
      <c r="AF69" s="41"/>
      <c r="AG69" s="42"/>
    </row>
    <row r="70" spans="1:33" ht="12.75" customHeight="1" x14ac:dyDescent="0.2">
      <c r="A70" s="12"/>
      <c r="B70" s="15"/>
      <c r="C70" s="15">
        <v>37</v>
      </c>
      <c r="D70" s="16">
        <f>Reference!B68</f>
        <v>335.76960000000003</v>
      </c>
      <c r="E70" s="17">
        <f>Reference!C68</f>
        <v>30.596800000000002</v>
      </c>
      <c r="F70" s="17">
        <f>Reference!D68</f>
        <v>38.165999999999997</v>
      </c>
      <c r="G70" s="17">
        <f>Reference!E68</f>
        <v>38.823599999999999</v>
      </c>
      <c r="H70" s="17">
        <f>Reference!F68</f>
        <v>1907</v>
      </c>
      <c r="I70" s="17">
        <f>Reference!G68</f>
        <v>1.9930000000000001</v>
      </c>
      <c r="J70" s="17">
        <f t="shared" si="9"/>
        <v>0.52972222222222221</v>
      </c>
      <c r="K70" s="26">
        <f>Reference!H68</f>
        <v>996032</v>
      </c>
      <c r="L70" s="27">
        <f>Reference!I68</f>
        <v>265612</v>
      </c>
      <c r="N70" s="16">
        <f>Test!B68</f>
        <v>0</v>
      </c>
      <c r="O70" s="17">
        <f>Test!C68</f>
        <v>0</v>
      </c>
      <c r="P70" s="17">
        <f>Test!D68</f>
        <v>0</v>
      </c>
      <c r="Q70" s="17">
        <f>Test!E68</f>
        <v>0</v>
      </c>
      <c r="R70" s="17">
        <f>Test!F68</f>
        <v>0</v>
      </c>
      <c r="S70" s="17">
        <f>Test!G68</f>
        <v>0</v>
      </c>
      <c r="T70" s="17">
        <f t="shared" si="10"/>
        <v>0</v>
      </c>
      <c r="U70" s="26">
        <f>Test!H68</f>
        <v>0</v>
      </c>
      <c r="V70" s="27">
        <f>Test!I68</f>
        <v>0</v>
      </c>
      <c r="W70" s="14">
        <f t="shared" si="11"/>
        <v>0</v>
      </c>
      <c r="X70" s="14">
        <f t="shared" si="12"/>
        <v>0</v>
      </c>
      <c r="Y70" s="14">
        <f t="shared" si="13"/>
        <v>0</v>
      </c>
      <c r="Z70" s="22">
        <f t="shared" si="13"/>
        <v>0</v>
      </c>
      <c r="AA70" s="39"/>
      <c r="AB70" s="43"/>
      <c r="AC70" s="44"/>
      <c r="AD70" s="44"/>
      <c r="AE70" s="43"/>
      <c r="AF70" s="44"/>
      <c r="AG70" s="45"/>
    </row>
    <row r="71" spans="1:33" x14ac:dyDescent="0.2">
      <c r="A71" s="12"/>
      <c r="B71" s="9" t="s">
        <v>58</v>
      </c>
      <c r="C71" s="9">
        <v>22</v>
      </c>
      <c r="D71" s="10">
        <f>Reference!B69</f>
        <v>1307.7889</v>
      </c>
      <c r="E71" s="11">
        <f>Reference!C69</f>
        <v>42.005699999999997</v>
      </c>
      <c r="F71" s="11">
        <f>Reference!D69</f>
        <v>42.992100000000001</v>
      </c>
      <c r="G71" s="11">
        <f>Reference!E69</f>
        <v>43.911299999999997</v>
      </c>
      <c r="H71" s="11">
        <f>Reference!F69</f>
        <v>2866</v>
      </c>
      <c r="I71" s="11">
        <f>Reference!G69</f>
        <v>3.202</v>
      </c>
      <c r="J71" s="11">
        <f t="shared" si="9"/>
        <v>0.7961111111111111</v>
      </c>
      <c r="K71" s="24">
        <f>Reference!H69</f>
        <v>1000036</v>
      </c>
      <c r="L71" s="25">
        <f>Reference!I69</f>
        <v>268552</v>
      </c>
      <c r="N71" s="10">
        <f>Test!B69</f>
        <v>0</v>
      </c>
      <c r="O71" s="11">
        <f>Test!C69</f>
        <v>0</v>
      </c>
      <c r="P71" s="11">
        <f>Test!D69</f>
        <v>0</v>
      </c>
      <c r="Q71" s="11">
        <f>Test!E69</f>
        <v>0</v>
      </c>
      <c r="R71" s="11">
        <f>Test!F69</f>
        <v>0</v>
      </c>
      <c r="S71" s="11">
        <f>Test!G69</f>
        <v>0</v>
      </c>
      <c r="T71" s="11">
        <f t="shared" si="10"/>
        <v>0</v>
      </c>
      <c r="U71" s="24">
        <f>Test!H69</f>
        <v>0</v>
      </c>
      <c r="V71" s="25">
        <f>Test!I69</f>
        <v>0</v>
      </c>
      <c r="W71" s="14">
        <f t="shared" si="11"/>
        <v>0</v>
      </c>
      <c r="X71" s="14">
        <f t="shared" si="12"/>
        <v>0</v>
      </c>
      <c r="Y71" s="14">
        <f t="shared" si="13"/>
        <v>0</v>
      </c>
      <c r="Z71" s="22">
        <f t="shared" si="13"/>
        <v>0</v>
      </c>
      <c r="AA71" s="39"/>
      <c r="AB71" s="36" t="e">
        <f>bdrate($D71:$D74,E71:E74,$N71:$N74,O71:O74)</f>
        <v>#VALUE!</v>
      </c>
      <c r="AC71" s="37" t="e">
        <f>bdrate($D71:$D74,F71:F74,$N71:$N74,P71:P74)</f>
        <v>#VALUE!</v>
      </c>
      <c r="AD71" s="37" t="e">
        <f>bdrate($D71:$D74,G71:G74,$N71:$N74,Q71:Q74)</f>
        <v>#VALUE!</v>
      </c>
      <c r="AE71" s="46" t="e">
        <f>bdrateOld($D71:$D74,E71:E74,$N71:$N74,O71:O74)</f>
        <v>#VALUE!</v>
      </c>
      <c r="AF71" s="47" t="e">
        <f>bdrateOld($D71:$D74,F71:F74,$N71:$N74,P71:P74)</f>
        <v>#VALUE!</v>
      </c>
      <c r="AG71" s="49" t="e">
        <f>bdrateOld($D71:$D74,G71:G74,$N71:$N74,Q71:Q74)</f>
        <v>#VALUE!</v>
      </c>
    </row>
    <row r="72" spans="1:33" x14ac:dyDescent="0.2">
      <c r="A72" s="12"/>
      <c r="B72" s="12"/>
      <c r="C72" s="12">
        <v>27</v>
      </c>
      <c r="D72" s="13">
        <f>Reference!B70</f>
        <v>798.42619999999999</v>
      </c>
      <c r="E72" s="14">
        <f>Reference!C70</f>
        <v>37.794199999999996</v>
      </c>
      <c r="F72" s="14">
        <f>Reference!D70</f>
        <v>39.740400000000001</v>
      </c>
      <c r="G72" s="14">
        <f>Reference!E70</f>
        <v>40.311999999999998</v>
      </c>
      <c r="H72" s="14">
        <f>Reference!F70</f>
        <v>2959</v>
      </c>
      <c r="I72" s="14">
        <f>Reference!G70</f>
        <v>3.012</v>
      </c>
      <c r="J72" s="14">
        <f t="shared" si="9"/>
        <v>0.82194444444444448</v>
      </c>
      <c r="K72" s="26">
        <f>Reference!H70</f>
        <v>999712</v>
      </c>
      <c r="L72" s="27">
        <f>Reference!I70</f>
        <v>267724</v>
      </c>
      <c r="N72" s="13">
        <f>Test!B70</f>
        <v>0</v>
      </c>
      <c r="O72" s="14">
        <f>Test!C70</f>
        <v>0</v>
      </c>
      <c r="P72" s="14">
        <f>Test!D70</f>
        <v>0</v>
      </c>
      <c r="Q72" s="14">
        <f>Test!E70</f>
        <v>0</v>
      </c>
      <c r="R72" s="14">
        <f>Test!F70</f>
        <v>0</v>
      </c>
      <c r="S72" s="14">
        <f>Test!G70</f>
        <v>0</v>
      </c>
      <c r="T72" s="14">
        <f t="shared" si="10"/>
        <v>0</v>
      </c>
      <c r="U72" s="26">
        <f>Test!H70</f>
        <v>0</v>
      </c>
      <c r="V72" s="27">
        <f>Test!I70</f>
        <v>0</v>
      </c>
      <c r="W72" s="14">
        <f t="shared" si="11"/>
        <v>0</v>
      </c>
      <c r="X72" s="14">
        <f t="shared" si="12"/>
        <v>0</v>
      </c>
      <c r="Y72" s="14">
        <f t="shared" si="13"/>
        <v>0</v>
      </c>
      <c r="Z72" s="22">
        <f t="shared" si="13"/>
        <v>0</v>
      </c>
      <c r="AA72" s="39"/>
      <c r="AB72" s="40"/>
      <c r="AC72" s="41"/>
      <c r="AD72" s="41"/>
      <c r="AE72" s="40"/>
      <c r="AF72" s="41"/>
      <c r="AG72" s="42"/>
    </row>
    <row r="73" spans="1:33" x14ac:dyDescent="0.2">
      <c r="A73" s="12"/>
      <c r="B73" s="12"/>
      <c r="C73" s="12">
        <v>32</v>
      </c>
      <c r="D73" s="13">
        <f>Reference!B71</f>
        <v>454.15629999999999</v>
      </c>
      <c r="E73" s="14">
        <f>Reference!C71</f>
        <v>33.9542</v>
      </c>
      <c r="F73" s="14">
        <f>Reference!D71</f>
        <v>36.632599999999996</v>
      </c>
      <c r="G73" s="14">
        <f>Reference!E71</f>
        <v>37.042099999999998</v>
      </c>
      <c r="H73" s="14">
        <f>Reference!F71</f>
        <v>2549</v>
      </c>
      <c r="I73" s="14">
        <f>Reference!G71</f>
        <v>2.4350000000000001</v>
      </c>
      <c r="J73" s="14">
        <f t="shared" si="9"/>
        <v>0.70805555555555555</v>
      </c>
      <c r="K73" s="26">
        <f>Reference!H71</f>
        <v>998104</v>
      </c>
      <c r="L73" s="27">
        <f>Reference!I71</f>
        <v>266456</v>
      </c>
      <c r="N73" s="13">
        <f>Test!B71</f>
        <v>0</v>
      </c>
      <c r="O73" s="14">
        <f>Test!C71</f>
        <v>0</v>
      </c>
      <c r="P73" s="14">
        <f>Test!D71</f>
        <v>0</v>
      </c>
      <c r="Q73" s="14">
        <f>Test!E71</f>
        <v>0</v>
      </c>
      <c r="R73" s="14">
        <f>Test!F71</f>
        <v>0</v>
      </c>
      <c r="S73" s="14">
        <f>Test!G71</f>
        <v>0</v>
      </c>
      <c r="T73" s="14">
        <f t="shared" si="10"/>
        <v>0</v>
      </c>
      <c r="U73" s="26">
        <f>Test!H71</f>
        <v>0</v>
      </c>
      <c r="V73" s="27">
        <f>Test!I71</f>
        <v>0</v>
      </c>
      <c r="W73" s="14">
        <f t="shared" si="11"/>
        <v>0</v>
      </c>
      <c r="X73" s="14">
        <f t="shared" si="12"/>
        <v>0</v>
      </c>
      <c r="Y73" s="14">
        <f t="shared" si="13"/>
        <v>0</v>
      </c>
      <c r="Z73" s="22">
        <f t="shared" si="13"/>
        <v>0</v>
      </c>
      <c r="AA73" s="39"/>
      <c r="AB73" s="40"/>
      <c r="AC73" s="41"/>
      <c r="AD73" s="41"/>
      <c r="AE73" s="40"/>
      <c r="AF73" s="41"/>
      <c r="AG73" s="42"/>
    </row>
    <row r="74" spans="1:33" ht="12.75" customHeight="1" x14ac:dyDescent="0.2">
      <c r="A74" s="12"/>
      <c r="B74" s="15"/>
      <c r="C74" s="15">
        <v>37</v>
      </c>
      <c r="D74" s="16">
        <f>Reference!B72</f>
        <v>237.67939999999999</v>
      </c>
      <c r="E74" s="17">
        <f>Reference!C72</f>
        <v>30.371400000000001</v>
      </c>
      <c r="F74" s="17">
        <f>Reference!D72</f>
        <v>35.113700000000001</v>
      </c>
      <c r="G74" s="17">
        <f>Reference!E72</f>
        <v>35.5212</v>
      </c>
      <c r="H74" s="17">
        <f>Reference!F72</f>
        <v>1860</v>
      </c>
      <c r="I74" s="17">
        <f>Reference!G72</f>
        <v>1.91</v>
      </c>
      <c r="J74" s="17">
        <f t="shared" si="9"/>
        <v>0.51666666666666672</v>
      </c>
      <c r="K74" s="26">
        <f>Reference!H72</f>
        <v>995888</v>
      </c>
      <c r="L74" s="27">
        <f>Reference!I72</f>
        <v>265556</v>
      </c>
      <c r="N74" s="16">
        <f>Test!B72</f>
        <v>0</v>
      </c>
      <c r="O74" s="17">
        <f>Test!C72</f>
        <v>0</v>
      </c>
      <c r="P74" s="17">
        <f>Test!D72</f>
        <v>0</v>
      </c>
      <c r="Q74" s="17">
        <f>Test!E72</f>
        <v>0</v>
      </c>
      <c r="R74" s="17">
        <f>Test!F72</f>
        <v>0</v>
      </c>
      <c r="S74" s="17">
        <f>Test!G72</f>
        <v>0</v>
      </c>
      <c r="T74" s="17">
        <f t="shared" si="10"/>
        <v>0</v>
      </c>
      <c r="U74" s="26">
        <f>Test!H72</f>
        <v>0</v>
      </c>
      <c r="V74" s="27">
        <f>Test!I72</f>
        <v>0</v>
      </c>
      <c r="W74" s="14">
        <f t="shared" si="11"/>
        <v>0</v>
      </c>
      <c r="X74" s="14">
        <f t="shared" si="12"/>
        <v>0</v>
      </c>
      <c r="Y74" s="14">
        <f t="shared" si="13"/>
        <v>0</v>
      </c>
      <c r="Z74" s="22">
        <f t="shared" si="13"/>
        <v>0</v>
      </c>
      <c r="AA74" s="39"/>
      <c r="AB74" s="43"/>
      <c r="AC74" s="44"/>
      <c r="AD74" s="44"/>
      <c r="AE74" s="43"/>
      <c r="AF74" s="44"/>
      <c r="AG74" s="45"/>
    </row>
    <row r="75" spans="1:33" x14ac:dyDescent="0.2">
      <c r="A75" s="12"/>
      <c r="B75" s="9" t="s">
        <v>87</v>
      </c>
      <c r="C75" s="9">
        <v>22</v>
      </c>
      <c r="D75" s="10">
        <f>Reference!B73</f>
        <v>500.79790000000003</v>
      </c>
      <c r="E75" s="11">
        <f>Reference!C73</f>
        <v>43.972499999999997</v>
      </c>
      <c r="F75" s="11">
        <f>Reference!D73</f>
        <v>43.960099999999997</v>
      </c>
      <c r="G75" s="11">
        <f>Reference!E73</f>
        <v>44.996000000000002</v>
      </c>
      <c r="H75" s="11">
        <f>Reference!F73</f>
        <v>1833</v>
      </c>
      <c r="I75" s="11">
        <f>Reference!G73</f>
        <v>1.6220000000000001</v>
      </c>
      <c r="J75" s="11">
        <f t="shared" si="9"/>
        <v>0.50916666666666666</v>
      </c>
      <c r="K75" s="24">
        <f>Reference!H73</f>
        <v>998680</v>
      </c>
      <c r="L75" s="25">
        <f>Reference!I73</f>
        <v>267196</v>
      </c>
      <c r="N75" s="10">
        <f>Test!B73</f>
        <v>0</v>
      </c>
      <c r="O75" s="11">
        <f>Test!C73</f>
        <v>0</v>
      </c>
      <c r="P75" s="11">
        <f>Test!D73</f>
        <v>0</v>
      </c>
      <c r="Q75" s="11">
        <f>Test!E73</f>
        <v>0</v>
      </c>
      <c r="R75" s="11">
        <f>Test!F73</f>
        <v>0</v>
      </c>
      <c r="S75" s="11">
        <f>Test!G73</f>
        <v>0</v>
      </c>
      <c r="T75" s="11">
        <f t="shared" si="10"/>
        <v>0</v>
      </c>
      <c r="U75" s="24">
        <f>Test!H73</f>
        <v>0</v>
      </c>
      <c r="V75" s="25">
        <f>Test!I73</f>
        <v>0</v>
      </c>
      <c r="W75" s="14">
        <f t="shared" si="11"/>
        <v>0</v>
      </c>
      <c r="X75" s="14">
        <f t="shared" si="12"/>
        <v>0</v>
      </c>
      <c r="Y75" s="14">
        <f t="shared" si="13"/>
        <v>0</v>
      </c>
      <c r="Z75" s="22">
        <f t="shared" si="13"/>
        <v>0</v>
      </c>
      <c r="AA75" s="39"/>
      <c r="AB75" s="36" t="e">
        <f>bdrate($D75:$D78,E75:E78,$N75:$N78,O75:O78)</f>
        <v>#VALUE!</v>
      </c>
      <c r="AC75" s="37" t="e">
        <f>bdrate($D75:$D78,F75:F78,$N75:$N78,P75:P78)</f>
        <v>#VALUE!</v>
      </c>
      <c r="AD75" s="37" t="e">
        <f>bdrate($D75:$D78,G75:G78,$N75:$N78,Q75:Q78)</f>
        <v>#VALUE!</v>
      </c>
      <c r="AE75" s="46" t="e">
        <f>bdrateOld($D75:$D78,E75:E78,$N75:$N78,O75:O78)</f>
        <v>#VALUE!</v>
      </c>
      <c r="AF75" s="47" t="e">
        <f>bdrateOld($D75:$D78,F75:F78,$N75:$N78,P75:P78)</f>
        <v>#VALUE!</v>
      </c>
      <c r="AG75" s="49" t="e">
        <f>bdrateOld($D75:$D78,G75:G78,$N75:$N78,Q75:Q78)</f>
        <v>#VALUE!</v>
      </c>
    </row>
    <row r="76" spans="1:33" x14ac:dyDescent="0.2">
      <c r="A76" s="12"/>
      <c r="B76" s="12"/>
      <c r="C76" s="12">
        <v>27</v>
      </c>
      <c r="D76" s="13">
        <f>Reference!B74</f>
        <v>303.64659999999998</v>
      </c>
      <c r="E76" s="14">
        <f>Reference!C74</f>
        <v>40.055799999999998</v>
      </c>
      <c r="F76" s="14">
        <f>Reference!D74</f>
        <v>40.233600000000003</v>
      </c>
      <c r="G76" s="14">
        <f>Reference!E74</f>
        <v>41.849800000000002</v>
      </c>
      <c r="H76" s="14">
        <f>Reference!F74</f>
        <v>1502</v>
      </c>
      <c r="I76" s="14">
        <f>Reference!G74</f>
        <v>1.3029999999999999</v>
      </c>
      <c r="J76" s="14">
        <f t="shared" si="9"/>
        <v>0.41722222222222222</v>
      </c>
      <c r="K76" s="26">
        <f>Reference!H74</f>
        <v>997560</v>
      </c>
      <c r="L76" s="27">
        <f>Reference!I74</f>
        <v>266368</v>
      </c>
      <c r="N76" s="13">
        <f>Test!B74</f>
        <v>0</v>
      </c>
      <c r="O76" s="14">
        <f>Test!C74</f>
        <v>0</v>
      </c>
      <c r="P76" s="14">
        <f>Test!D74</f>
        <v>0</v>
      </c>
      <c r="Q76" s="14">
        <f>Test!E74</f>
        <v>0</v>
      </c>
      <c r="R76" s="14">
        <f>Test!F74</f>
        <v>0</v>
      </c>
      <c r="S76" s="14">
        <f>Test!G74</f>
        <v>0</v>
      </c>
      <c r="T76" s="14">
        <f t="shared" si="10"/>
        <v>0</v>
      </c>
      <c r="U76" s="26">
        <f>Test!H74</f>
        <v>0</v>
      </c>
      <c r="V76" s="27">
        <f>Test!I74</f>
        <v>0</v>
      </c>
      <c r="W76" s="14">
        <f t="shared" si="11"/>
        <v>0</v>
      </c>
      <c r="X76" s="14">
        <f t="shared" si="12"/>
        <v>0</v>
      </c>
      <c r="Y76" s="14">
        <f t="shared" si="13"/>
        <v>0</v>
      </c>
      <c r="Z76" s="22">
        <f t="shared" si="13"/>
        <v>0</v>
      </c>
      <c r="AA76" s="39"/>
      <c r="AB76" s="40"/>
      <c r="AC76" s="41"/>
      <c r="AD76" s="41"/>
      <c r="AE76" s="40"/>
      <c r="AF76" s="41"/>
      <c r="AG76" s="42"/>
    </row>
    <row r="77" spans="1:33" x14ac:dyDescent="0.2">
      <c r="A77" s="12"/>
      <c r="B77" s="12"/>
      <c r="C77" s="12">
        <v>32</v>
      </c>
      <c r="D77" s="13">
        <f>Reference!B75</f>
        <v>170.60679999999999</v>
      </c>
      <c r="E77" s="14">
        <f>Reference!C75</f>
        <v>36.224699999999999</v>
      </c>
      <c r="F77" s="14">
        <f>Reference!D75</f>
        <v>37.448300000000003</v>
      </c>
      <c r="G77" s="14">
        <f>Reference!E75</f>
        <v>38.7988</v>
      </c>
      <c r="H77" s="14">
        <f>Reference!F75</f>
        <v>1280</v>
      </c>
      <c r="I77" s="14">
        <f>Reference!G75</f>
        <v>1.2290000000000001</v>
      </c>
      <c r="J77" s="14">
        <f t="shared" si="9"/>
        <v>0.35555555555555557</v>
      </c>
      <c r="K77" s="26">
        <f>Reference!H75</f>
        <v>996272</v>
      </c>
      <c r="L77" s="27">
        <f>Reference!I75</f>
        <v>265648</v>
      </c>
      <c r="N77" s="13">
        <f>Test!B75</f>
        <v>0</v>
      </c>
      <c r="O77" s="14">
        <f>Test!C75</f>
        <v>0</v>
      </c>
      <c r="P77" s="14">
        <f>Test!D75</f>
        <v>0</v>
      </c>
      <c r="Q77" s="14">
        <f>Test!E75</f>
        <v>0</v>
      </c>
      <c r="R77" s="14">
        <f>Test!F75</f>
        <v>0</v>
      </c>
      <c r="S77" s="14">
        <f>Test!G75</f>
        <v>0</v>
      </c>
      <c r="T77" s="14">
        <f t="shared" si="10"/>
        <v>0</v>
      </c>
      <c r="U77" s="26">
        <f>Test!H75</f>
        <v>0</v>
      </c>
      <c r="V77" s="27">
        <f>Test!I75</f>
        <v>0</v>
      </c>
      <c r="W77" s="14">
        <f t="shared" si="11"/>
        <v>0</v>
      </c>
      <c r="X77" s="14">
        <f t="shared" si="12"/>
        <v>0</v>
      </c>
      <c r="Y77" s="14">
        <f t="shared" si="13"/>
        <v>0</v>
      </c>
      <c r="Z77" s="22">
        <f t="shared" si="13"/>
        <v>0</v>
      </c>
      <c r="AA77" s="39"/>
      <c r="AB77" s="40"/>
      <c r="AC77" s="41"/>
      <c r="AD77" s="41"/>
      <c r="AE77" s="40"/>
      <c r="AF77" s="41"/>
      <c r="AG77" s="42"/>
    </row>
    <row r="78" spans="1:33" ht="12.75" customHeight="1" x14ac:dyDescent="0.2">
      <c r="A78" s="15"/>
      <c r="B78" s="15"/>
      <c r="C78" s="15">
        <v>37</v>
      </c>
      <c r="D78" s="16">
        <f>Reference!B76</f>
        <v>86.961299999999994</v>
      </c>
      <c r="E78" s="17">
        <f>Reference!C76</f>
        <v>32.665599999999998</v>
      </c>
      <c r="F78" s="17">
        <f>Reference!D76</f>
        <v>36.018300000000004</v>
      </c>
      <c r="G78" s="17">
        <f>Reference!E76</f>
        <v>37.080399999999997</v>
      </c>
      <c r="H78" s="17">
        <f>Reference!F76</f>
        <v>803</v>
      </c>
      <c r="I78" s="17">
        <f>Reference!G76</f>
        <v>0.95</v>
      </c>
      <c r="J78" s="17">
        <f t="shared" si="9"/>
        <v>0.22305555555555556</v>
      </c>
      <c r="K78" s="26">
        <f>Reference!H76</f>
        <v>994284</v>
      </c>
      <c r="L78" s="27">
        <f>Reference!I76</f>
        <v>264812</v>
      </c>
      <c r="N78" s="16">
        <f>Test!B76</f>
        <v>0</v>
      </c>
      <c r="O78" s="17">
        <f>Test!C76</f>
        <v>0</v>
      </c>
      <c r="P78" s="17">
        <f>Test!D76</f>
        <v>0</v>
      </c>
      <c r="Q78" s="17">
        <f>Test!E76</f>
        <v>0</v>
      </c>
      <c r="R78" s="17">
        <f>Test!F76</f>
        <v>0</v>
      </c>
      <c r="S78" s="17">
        <f>Test!G76</f>
        <v>0</v>
      </c>
      <c r="T78" s="17">
        <f t="shared" si="10"/>
        <v>0</v>
      </c>
      <c r="U78" s="26">
        <f>Test!H76</f>
        <v>0</v>
      </c>
      <c r="V78" s="27">
        <f>Test!I76</f>
        <v>0</v>
      </c>
      <c r="W78" s="17">
        <f t="shared" si="11"/>
        <v>0</v>
      </c>
      <c r="X78" s="17">
        <f t="shared" si="12"/>
        <v>0</v>
      </c>
      <c r="Y78" s="17">
        <f t="shared" si="13"/>
        <v>0</v>
      </c>
      <c r="Z78" s="23">
        <f t="shared" si="13"/>
        <v>0</v>
      </c>
      <c r="AA78" s="48"/>
      <c r="AB78" s="43"/>
      <c r="AC78" s="44"/>
      <c r="AD78" s="44"/>
      <c r="AE78" s="43"/>
      <c r="AF78" s="44"/>
      <c r="AG78" s="45"/>
    </row>
    <row r="79" spans="1:33" x14ac:dyDescent="0.2">
      <c r="A79" s="9" t="s">
        <v>24</v>
      </c>
      <c r="B79" s="9" t="s">
        <v>88</v>
      </c>
      <c r="C79" s="9">
        <v>22</v>
      </c>
      <c r="D79" s="10">
        <f>Reference!B77</f>
        <v>3142.9895999999999</v>
      </c>
      <c r="E79" s="11">
        <f>Reference!C77</f>
        <v>44.754800000000003</v>
      </c>
      <c r="F79" s="11">
        <f>Reference!D77</f>
        <v>48.112099999999998</v>
      </c>
      <c r="G79" s="11">
        <f>Reference!E77</f>
        <v>49.358499999999999</v>
      </c>
      <c r="H79" s="11">
        <f>Reference!F77</f>
        <v>19756</v>
      </c>
      <c r="I79" s="11">
        <f>Reference!G77</f>
        <v>18.437999999999999</v>
      </c>
      <c r="J79" s="11">
        <f t="shared" si="9"/>
        <v>5.4877777777777776</v>
      </c>
      <c r="K79" s="24">
        <f>Reference!H77</f>
        <v>1885920</v>
      </c>
      <c r="L79" s="25">
        <f>Reference!I77</f>
        <v>342680</v>
      </c>
      <c r="N79" s="10">
        <f>Test!B77</f>
        <v>0</v>
      </c>
      <c r="O79" s="11">
        <f>Test!C77</f>
        <v>0</v>
      </c>
      <c r="P79" s="11">
        <f>Test!D77</f>
        <v>0</v>
      </c>
      <c r="Q79" s="11">
        <f>Test!E77</f>
        <v>0</v>
      </c>
      <c r="R79" s="11">
        <f>Test!F77</f>
        <v>0</v>
      </c>
      <c r="S79" s="11">
        <f>Test!G77</f>
        <v>0</v>
      </c>
      <c r="T79" s="11">
        <f t="shared" si="10"/>
        <v>0</v>
      </c>
      <c r="U79" s="24">
        <f>Test!H77</f>
        <v>0</v>
      </c>
      <c r="V79" s="25">
        <f>Test!I77</f>
        <v>0</v>
      </c>
      <c r="W79" s="11">
        <f t="shared" si="11"/>
        <v>0</v>
      </c>
      <c r="X79" s="11">
        <f t="shared" si="12"/>
        <v>0</v>
      </c>
      <c r="Y79" s="11">
        <f t="shared" si="13"/>
        <v>0</v>
      </c>
      <c r="Z79" s="21">
        <f t="shared" si="13"/>
        <v>0</v>
      </c>
      <c r="AA79" s="35"/>
      <c r="AB79" s="36" t="e">
        <f>bdrate($D79:$D82,E79:E82,$N79:$N82,O79:O82)</f>
        <v>#VALUE!</v>
      </c>
      <c r="AC79" s="37" t="e">
        <f>bdrate($D79:$D82,F79:F82,$N79:$N82,P79:P82)</f>
        <v>#VALUE!</v>
      </c>
      <c r="AD79" s="38" t="e">
        <f>bdrate($D79:$D82,G79:G82,$N79:$N82,Q79:Q82)</f>
        <v>#VALUE!</v>
      </c>
      <c r="AE79" s="36" t="e">
        <f>bdrateOld($D79:$D82,E79:E82,$N79:$N82,O79:O82)</f>
        <v>#VALUE!</v>
      </c>
      <c r="AF79" s="37" t="e">
        <f>bdrateOld($D79:$D82,F79:F82,$N79:$N82,P79:P82)</f>
        <v>#VALUE!</v>
      </c>
      <c r="AG79" s="38" t="e">
        <f>bdrateOld($D79:$D82,G79:G82,$N79:$N82,Q79:Q82)</f>
        <v>#VALUE!</v>
      </c>
    </row>
    <row r="80" spans="1:33" x14ac:dyDescent="0.2">
      <c r="A80" s="12" t="s">
        <v>115</v>
      </c>
      <c r="B80" s="12"/>
      <c r="C80" s="12">
        <v>27</v>
      </c>
      <c r="D80" s="13">
        <f>Reference!B78</f>
        <v>1891.3624</v>
      </c>
      <c r="E80" s="14">
        <f>Reference!C78</f>
        <v>42.468800000000002</v>
      </c>
      <c r="F80" s="14">
        <f>Reference!D78</f>
        <v>46.065199999999997</v>
      </c>
      <c r="G80" s="14">
        <f>Reference!E78</f>
        <v>47.222499999999997</v>
      </c>
      <c r="H80" s="14">
        <f>Reference!F78</f>
        <v>14424</v>
      </c>
      <c r="I80" s="14">
        <f>Reference!G78</f>
        <v>16.146000000000001</v>
      </c>
      <c r="J80" s="14">
        <f t="shared" si="9"/>
        <v>4.0066666666666668</v>
      </c>
      <c r="K80" s="26">
        <f>Reference!H78</f>
        <v>1879728</v>
      </c>
      <c r="L80" s="27">
        <f>Reference!I78</f>
        <v>339456</v>
      </c>
      <c r="N80" s="13">
        <f>Test!B78</f>
        <v>0</v>
      </c>
      <c r="O80" s="14">
        <f>Test!C78</f>
        <v>0</v>
      </c>
      <c r="P80" s="14">
        <f>Test!D78</f>
        <v>0</v>
      </c>
      <c r="Q80" s="14">
        <f>Test!E78</f>
        <v>0</v>
      </c>
      <c r="R80" s="14">
        <f>Test!F78</f>
        <v>0</v>
      </c>
      <c r="S80" s="14">
        <f>Test!G78</f>
        <v>0</v>
      </c>
      <c r="T80" s="14">
        <f t="shared" si="10"/>
        <v>0</v>
      </c>
      <c r="U80" s="26">
        <f>Test!H78</f>
        <v>0</v>
      </c>
      <c r="V80" s="27">
        <f>Test!I78</f>
        <v>0</v>
      </c>
      <c r="W80" s="14">
        <f t="shared" si="11"/>
        <v>0</v>
      </c>
      <c r="X80" s="14">
        <f t="shared" si="12"/>
        <v>0</v>
      </c>
      <c r="Y80" s="14">
        <f t="shared" si="13"/>
        <v>0</v>
      </c>
      <c r="Z80" s="22">
        <f t="shared" si="13"/>
        <v>0</v>
      </c>
      <c r="AA80" s="39"/>
      <c r="AB80" s="40"/>
      <c r="AC80" s="41"/>
      <c r="AD80" s="42"/>
      <c r="AE80" s="40"/>
      <c r="AF80" s="41"/>
      <c r="AG80" s="42"/>
    </row>
    <row r="81" spans="1:33" x14ac:dyDescent="0.2">
      <c r="A81" s="12"/>
      <c r="B81" s="12"/>
      <c r="C81" s="12">
        <v>32</v>
      </c>
      <c r="D81" s="13">
        <f>Reference!B79</f>
        <v>1160.9952000000001</v>
      </c>
      <c r="E81" s="14">
        <f>Reference!C79</f>
        <v>39.896700000000003</v>
      </c>
      <c r="F81" s="14">
        <f>Reference!D79</f>
        <v>43.603400000000001</v>
      </c>
      <c r="G81" s="14">
        <f>Reference!E79</f>
        <v>44.616300000000003</v>
      </c>
      <c r="H81" s="14">
        <f>Reference!F79</f>
        <v>10834</v>
      </c>
      <c r="I81" s="14">
        <f>Reference!G79</f>
        <v>14.082000000000001</v>
      </c>
      <c r="J81" s="14">
        <f t="shared" si="9"/>
        <v>3.0094444444444446</v>
      </c>
      <c r="K81" s="26">
        <f>Reference!H79</f>
        <v>1875540</v>
      </c>
      <c r="L81" s="27">
        <f>Reference!I79</f>
        <v>336396</v>
      </c>
      <c r="N81" s="13">
        <f>Test!B79</f>
        <v>0</v>
      </c>
      <c r="O81" s="14">
        <f>Test!C79</f>
        <v>0</v>
      </c>
      <c r="P81" s="14">
        <f>Test!D79</f>
        <v>0</v>
      </c>
      <c r="Q81" s="14">
        <f>Test!E79</f>
        <v>0</v>
      </c>
      <c r="R81" s="14">
        <f>Test!F79</f>
        <v>0</v>
      </c>
      <c r="S81" s="14">
        <f>Test!G79</f>
        <v>0</v>
      </c>
      <c r="T81" s="14">
        <f t="shared" si="10"/>
        <v>0</v>
      </c>
      <c r="U81" s="26">
        <f>Test!H79</f>
        <v>0</v>
      </c>
      <c r="V81" s="27">
        <f>Test!I79</f>
        <v>0</v>
      </c>
      <c r="W81" s="14">
        <f t="shared" si="11"/>
        <v>0</v>
      </c>
      <c r="X81" s="14">
        <f t="shared" si="12"/>
        <v>0</v>
      </c>
      <c r="Y81" s="14">
        <f t="shared" si="13"/>
        <v>0</v>
      </c>
      <c r="Z81" s="22">
        <f t="shared" si="13"/>
        <v>0</v>
      </c>
      <c r="AA81" s="39"/>
      <c r="AB81" s="40"/>
      <c r="AC81" s="41"/>
      <c r="AD81" s="42"/>
      <c r="AE81" s="40"/>
      <c r="AF81" s="41"/>
      <c r="AG81" s="42"/>
    </row>
    <row r="82" spans="1:33" ht="12.75" customHeight="1" x14ac:dyDescent="0.2">
      <c r="A82" s="12"/>
      <c r="B82" s="15"/>
      <c r="C82" s="15">
        <v>37</v>
      </c>
      <c r="D82" s="16">
        <f>Reference!B80</f>
        <v>716.48159999999996</v>
      </c>
      <c r="E82" s="17">
        <f>Reference!C80</f>
        <v>36.921399999999998</v>
      </c>
      <c r="F82" s="17">
        <f>Reference!D80</f>
        <v>42.052599999999998</v>
      </c>
      <c r="G82" s="17">
        <f>Reference!E80</f>
        <v>42.982199999999999</v>
      </c>
      <c r="H82" s="17">
        <f>Reference!F80</f>
        <v>7523</v>
      </c>
      <c r="I82" s="17">
        <f>Reference!G80</f>
        <v>12.034000000000001</v>
      </c>
      <c r="J82" s="17">
        <f t="shared" si="9"/>
        <v>2.089722222222222</v>
      </c>
      <c r="K82" s="26">
        <f>Reference!H80</f>
        <v>1870228</v>
      </c>
      <c r="L82" s="27">
        <f>Reference!I80</f>
        <v>334144</v>
      </c>
      <c r="N82" s="16">
        <f>Test!B80</f>
        <v>0</v>
      </c>
      <c r="O82" s="17">
        <f>Test!C80</f>
        <v>0</v>
      </c>
      <c r="P82" s="17">
        <f>Test!D80</f>
        <v>0</v>
      </c>
      <c r="Q82" s="17">
        <f>Test!E80</f>
        <v>0</v>
      </c>
      <c r="R82" s="17">
        <f>Test!F80</f>
        <v>0</v>
      </c>
      <c r="S82" s="17">
        <f>Test!G80</f>
        <v>0</v>
      </c>
      <c r="T82" s="17">
        <f t="shared" si="10"/>
        <v>0</v>
      </c>
      <c r="U82" s="26">
        <f>Test!H80</f>
        <v>0</v>
      </c>
      <c r="V82" s="27">
        <f>Test!I80</f>
        <v>0</v>
      </c>
      <c r="W82" s="14">
        <f t="shared" si="11"/>
        <v>0</v>
      </c>
      <c r="X82" s="14">
        <f t="shared" si="12"/>
        <v>0</v>
      </c>
      <c r="Y82" s="14">
        <f t="shared" si="13"/>
        <v>0</v>
      </c>
      <c r="Z82" s="22">
        <f t="shared" si="13"/>
        <v>0</v>
      </c>
      <c r="AA82" s="39"/>
      <c r="AB82" s="43"/>
      <c r="AC82" s="44"/>
      <c r="AD82" s="45"/>
      <c r="AE82" s="43"/>
      <c r="AF82" s="44"/>
      <c r="AG82" s="45"/>
    </row>
    <row r="83" spans="1:33" x14ac:dyDescent="0.2">
      <c r="A83" s="12"/>
      <c r="B83" s="9" t="s">
        <v>89</v>
      </c>
      <c r="C83" s="9">
        <v>22</v>
      </c>
      <c r="D83" s="10">
        <f>Reference!B81</f>
        <v>2205.1432</v>
      </c>
      <c r="E83" s="11">
        <f>Reference!C81</f>
        <v>44.915399999999998</v>
      </c>
      <c r="F83" s="11">
        <f>Reference!D81</f>
        <v>49.273600000000002</v>
      </c>
      <c r="G83" s="11">
        <f>Reference!E81</f>
        <v>49.8795</v>
      </c>
      <c r="H83" s="11">
        <f>Reference!F81</f>
        <v>14599</v>
      </c>
      <c r="I83" s="11">
        <f>Reference!G81</f>
        <v>13.449</v>
      </c>
      <c r="J83" s="11">
        <f t="shared" si="9"/>
        <v>4.0552777777777775</v>
      </c>
      <c r="K83" s="24">
        <f>Reference!H81</f>
        <v>1875432</v>
      </c>
      <c r="L83" s="25">
        <f>Reference!I81</f>
        <v>337156</v>
      </c>
      <c r="N83" s="10">
        <f>Test!B81</f>
        <v>0</v>
      </c>
      <c r="O83" s="11">
        <f>Test!C81</f>
        <v>0</v>
      </c>
      <c r="P83" s="11">
        <f>Test!D81</f>
        <v>0</v>
      </c>
      <c r="Q83" s="11">
        <f>Test!E81</f>
        <v>0</v>
      </c>
      <c r="R83" s="11">
        <f>Test!F81</f>
        <v>0</v>
      </c>
      <c r="S83" s="11">
        <f>Test!G81</f>
        <v>0</v>
      </c>
      <c r="T83" s="11">
        <f t="shared" si="10"/>
        <v>0</v>
      </c>
      <c r="U83" s="24">
        <f>Test!H81</f>
        <v>0</v>
      </c>
      <c r="V83" s="25">
        <f>Test!I81</f>
        <v>0</v>
      </c>
      <c r="W83" s="14">
        <f t="shared" si="11"/>
        <v>0</v>
      </c>
      <c r="X83" s="14">
        <f t="shared" si="12"/>
        <v>0</v>
      </c>
      <c r="Y83" s="14">
        <f t="shared" si="13"/>
        <v>0</v>
      </c>
      <c r="Z83" s="22">
        <f t="shared" si="13"/>
        <v>0</v>
      </c>
      <c r="AA83" s="39"/>
      <c r="AB83" s="36" t="e">
        <f>bdrate($D83:$D86,E83:E86,$N83:$N86,O83:O86)</f>
        <v>#VALUE!</v>
      </c>
      <c r="AC83" s="37" t="e">
        <f>bdrate($D83:$D86,F83:F86,$N83:$N86,P83:P86)</f>
        <v>#VALUE!</v>
      </c>
      <c r="AD83" s="37" t="e">
        <f>bdrate($D83:$D86,G83:G86,$N83:$N86,Q83:Q86)</f>
        <v>#VALUE!</v>
      </c>
      <c r="AE83" s="46" t="e">
        <f>bdrateOld($D83:$D86,E83:E86,$N83:$N86,O83:O86)</f>
        <v>#VALUE!</v>
      </c>
      <c r="AF83" s="47" t="e">
        <f>bdrateOld($D83:$D86,F83:F86,$N83:$N86,P83:P86)</f>
        <v>#VALUE!</v>
      </c>
      <c r="AG83" s="49" t="e">
        <f>bdrateOld($D83:$D86,G83:G86,$N83:$N86,Q83:Q86)</f>
        <v>#VALUE!</v>
      </c>
    </row>
    <row r="84" spans="1:33" x14ac:dyDescent="0.2">
      <c r="A84" s="12"/>
      <c r="B84" s="12"/>
      <c r="C84" s="12">
        <v>27</v>
      </c>
      <c r="D84" s="13">
        <f>Reference!B82</f>
        <v>1162.4864</v>
      </c>
      <c r="E84" s="14">
        <f>Reference!C82</f>
        <v>42.901400000000002</v>
      </c>
      <c r="F84" s="14">
        <f>Reference!D82</f>
        <v>47.790799999999997</v>
      </c>
      <c r="G84" s="14">
        <f>Reference!E82</f>
        <v>48.177300000000002</v>
      </c>
      <c r="H84" s="14">
        <f>Reference!F82</f>
        <v>10331</v>
      </c>
      <c r="I84" s="14">
        <f>Reference!G82</f>
        <v>12.472</v>
      </c>
      <c r="J84" s="14">
        <f t="shared" si="9"/>
        <v>2.8697222222222223</v>
      </c>
      <c r="K84" s="26">
        <f>Reference!H82</f>
        <v>1870928</v>
      </c>
      <c r="L84" s="27">
        <f>Reference!I82</f>
        <v>334992</v>
      </c>
      <c r="N84" s="13">
        <f>Test!B82</f>
        <v>0</v>
      </c>
      <c r="O84" s="14">
        <f>Test!C82</f>
        <v>0</v>
      </c>
      <c r="P84" s="14">
        <f>Test!D82</f>
        <v>0</v>
      </c>
      <c r="Q84" s="14">
        <f>Test!E82</f>
        <v>0</v>
      </c>
      <c r="R84" s="14">
        <f>Test!F82</f>
        <v>0</v>
      </c>
      <c r="S84" s="14">
        <f>Test!G82</f>
        <v>0</v>
      </c>
      <c r="T84" s="14">
        <f t="shared" si="10"/>
        <v>0</v>
      </c>
      <c r="U84" s="26">
        <f>Test!H82</f>
        <v>0</v>
      </c>
      <c r="V84" s="27">
        <f>Test!I82</f>
        <v>0</v>
      </c>
      <c r="W84" s="14">
        <f t="shared" si="11"/>
        <v>0</v>
      </c>
      <c r="X84" s="14">
        <f t="shared" si="12"/>
        <v>0</v>
      </c>
      <c r="Y84" s="14">
        <f t="shared" si="13"/>
        <v>0</v>
      </c>
      <c r="Z84" s="22">
        <f t="shared" si="13"/>
        <v>0</v>
      </c>
      <c r="AA84" s="39"/>
      <c r="AB84" s="40"/>
      <c r="AC84" s="41"/>
      <c r="AD84" s="41"/>
      <c r="AE84" s="40"/>
      <c r="AF84" s="41"/>
      <c r="AG84" s="42"/>
    </row>
    <row r="85" spans="1:33" x14ac:dyDescent="0.2">
      <c r="A85" s="12"/>
      <c r="B85" s="12"/>
      <c r="C85" s="12">
        <v>32</v>
      </c>
      <c r="D85" s="13">
        <f>Reference!B83</f>
        <v>649.82320000000004</v>
      </c>
      <c r="E85" s="14">
        <f>Reference!C83</f>
        <v>40.849800000000002</v>
      </c>
      <c r="F85" s="14">
        <f>Reference!D83</f>
        <v>45.589399999999998</v>
      </c>
      <c r="G85" s="14">
        <f>Reference!E83</f>
        <v>45.8902</v>
      </c>
      <c r="H85" s="14">
        <f>Reference!F83</f>
        <v>7219</v>
      </c>
      <c r="I85" s="14">
        <f>Reference!G83</f>
        <v>11.215</v>
      </c>
      <c r="J85" s="14">
        <f t="shared" si="9"/>
        <v>2.0052777777777777</v>
      </c>
      <c r="K85" s="26">
        <f>Reference!H83</f>
        <v>1867964</v>
      </c>
      <c r="L85" s="27">
        <f>Reference!I83</f>
        <v>331516</v>
      </c>
      <c r="N85" s="13">
        <f>Test!B83</f>
        <v>0</v>
      </c>
      <c r="O85" s="14">
        <f>Test!C83</f>
        <v>0</v>
      </c>
      <c r="P85" s="14">
        <f>Test!D83</f>
        <v>0</v>
      </c>
      <c r="Q85" s="14">
        <f>Test!E83</f>
        <v>0</v>
      </c>
      <c r="R85" s="14">
        <f>Test!F83</f>
        <v>0</v>
      </c>
      <c r="S85" s="14">
        <f>Test!G83</f>
        <v>0</v>
      </c>
      <c r="T85" s="14">
        <f t="shared" si="10"/>
        <v>0</v>
      </c>
      <c r="U85" s="26">
        <f>Test!H83</f>
        <v>0</v>
      </c>
      <c r="V85" s="27">
        <f>Test!I83</f>
        <v>0</v>
      </c>
      <c r="W85" s="14">
        <f t="shared" si="11"/>
        <v>0</v>
      </c>
      <c r="X85" s="14">
        <f t="shared" si="12"/>
        <v>0</v>
      </c>
      <c r="Y85" s="14">
        <f t="shared" si="13"/>
        <v>0</v>
      </c>
      <c r="Z85" s="22">
        <f t="shared" si="13"/>
        <v>0</v>
      </c>
      <c r="AA85" s="39"/>
      <c r="AB85" s="40"/>
      <c r="AC85" s="41"/>
      <c r="AD85" s="41"/>
      <c r="AE85" s="40"/>
      <c r="AF85" s="41"/>
      <c r="AG85" s="42"/>
    </row>
    <row r="86" spans="1:33" ht="12.75" customHeight="1" x14ac:dyDescent="0.2">
      <c r="A86" s="12"/>
      <c r="B86" s="15"/>
      <c r="C86" s="15">
        <v>37</v>
      </c>
      <c r="D86" s="16">
        <f>Reference!B84</f>
        <v>382.54239999999999</v>
      </c>
      <c r="E86" s="17">
        <f>Reference!C84</f>
        <v>38.470399999999998</v>
      </c>
      <c r="F86" s="17">
        <f>Reference!D84</f>
        <v>44.057499999999997</v>
      </c>
      <c r="G86" s="17">
        <f>Reference!E84</f>
        <v>44.462800000000001</v>
      </c>
      <c r="H86" s="17">
        <f>Reference!F84</f>
        <v>4301</v>
      </c>
      <c r="I86" s="17">
        <f>Reference!G84</f>
        <v>9.2439999999999998</v>
      </c>
      <c r="J86" s="17">
        <f t="shared" si="9"/>
        <v>1.1947222222222222</v>
      </c>
      <c r="K86" s="26">
        <f>Reference!H84</f>
        <v>1865404</v>
      </c>
      <c r="L86" s="27">
        <f>Reference!I84</f>
        <v>329528</v>
      </c>
      <c r="N86" s="16">
        <f>Test!B84</f>
        <v>0</v>
      </c>
      <c r="O86" s="17">
        <f>Test!C84</f>
        <v>0</v>
      </c>
      <c r="P86" s="17">
        <f>Test!D84</f>
        <v>0</v>
      </c>
      <c r="Q86" s="17">
        <f>Test!E84</f>
        <v>0</v>
      </c>
      <c r="R86" s="17">
        <f>Test!F84</f>
        <v>0</v>
      </c>
      <c r="S86" s="17">
        <f>Test!G84</f>
        <v>0</v>
      </c>
      <c r="T86" s="17">
        <f t="shared" si="10"/>
        <v>0</v>
      </c>
      <c r="U86" s="26">
        <f>Test!H84</f>
        <v>0</v>
      </c>
      <c r="V86" s="27">
        <f>Test!I84</f>
        <v>0</v>
      </c>
      <c r="W86" s="14">
        <f t="shared" si="11"/>
        <v>0</v>
      </c>
      <c r="X86" s="14">
        <f t="shared" si="12"/>
        <v>0</v>
      </c>
      <c r="Y86" s="14">
        <f t="shared" si="13"/>
        <v>0</v>
      </c>
      <c r="Z86" s="22">
        <f t="shared" si="13"/>
        <v>0</v>
      </c>
      <c r="AA86" s="39"/>
      <c r="AB86" s="43"/>
      <c r="AC86" s="44"/>
      <c r="AD86" s="44"/>
      <c r="AE86" s="43"/>
      <c r="AF86" s="44"/>
      <c r="AG86" s="45"/>
    </row>
    <row r="87" spans="1:33" x14ac:dyDescent="0.2">
      <c r="A87" s="12"/>
      <c r="B87" s="9" t="s">
        <v>90</v>
      </c>
      <c r="C87" s="9">
        <v>22</v>
      </c>
      <c r="D87" s="10">
        <f>Reference!B85</f>
        <v>2343.3975999999998</v>
      </c>
      <c r="E87" s="11">
        <f>Reference!C85</f>
        <v>45.308700000000002</v>
      </c>
      <c r="F87" s="11">
        <f>Reference!D85</f>
        <v>48.679099999999998</v>
      </c>
      <c r="G87" s="11">
        <f>Reference!E85</f>
        <v>49.591500000000003</v>
      </c>
      <c r="H87" s="11">
        <f>Reference!F85</f>
        <v>16785</v>
      </c>
      <c r="I87" s="11">
        <f>Reference!G85</f>
        <v>16.093</v>
      </c>
      <c r="J87" s="11">
        <f t="shared" si="9"/>
        <v>4.6624999999999996</v>
      </c>
      <c r="K87" s="24">
        <f>Reference!H85</f>
        <v>1878120</v>
      </c>
      <c r="L87" s="25">
        <f>Reference!I85</f>
        <v>337772</v>
      </c>
      <c r="N87" s="10">
        <f>Test!B85</f>
        <v>0</v>
      </c>
      <c r="O87" s="11">
        <f>Test!C85</f>
        <v>0</v>
      </c>
      <c r="P87" s="11">
        <f>Test!D85</f>
        <v>0</v>
      </c>
      <c r="Q87" s="11">
        <f>Test!E85</f>
        <v>0</v>
      </c>
      <c r="R87" s="11">
        <f>Test!F85</f>
        <v>0</v>
      </c>
      <c r="S87" s="11">
        <f>Test!G85</f>
        <v>0</v>
      </c>
      <c r="T87" s="11">
        <f t="shared" si="10"/>
        <v>0</v>
      </c>
      <c r="U87" s="24">
        <f>Test!H85</f>
        <v>0</v>
      </c>
      <c r="V87" s="25">
        <f>Test!I85</f>
        <v>0</v>
      </c>
      <c r="W87" s="14">
        <f t="shared" si="11"/>
        <v>0</v>
      </c>
      <c r="X87" s="14">
        <f t="shared" si="12"/>
        <v>0</v>
      </c>
      <c r="Y87" s="14">
        <f t="shared" si="13"/>
        <v>0</v>
      </c>
      <c r="Z87" s="22">
        <f t="shared" si="13"/>
        <v>0</v>
      </c>
      <c r="AA87" s="39"/>
      <c r="AB87" s="36" t="e">
        <f>bdrate($D87:$D90,E87:E90,$N87:$N90,O87:O90)</f>
        <v>#VALUE!</v>
      </c>
      <c r="AC87" s="37" t="e">
        <f>bdrate($D87:$D90,F87:F90,$N87:$N90,P87:P90)</f>
        <v>#VALUE!</v>
      </c>
      <c r="AD87" s="37" t="e">
        <f>bdrate($D87:$D90,G87:G90,$N87:$N90,Q87:Q90)</f>
        <v>#VALUE!</v>
      </c>
      <c r="AE87" s="46" t="e">
        <f>bdrateOld($D87:$D90,E87:E90,$N87:$N90,O87:O90)</f>
        <v>#VALUE!</v>
      </c>
      <c r="AF87" s="47" t="e">
        <f>bdrateOld($D87:$D90,F87:F90,$N87:$N90,P87:P90)</f>
        <v>#VALUE!</v>
      </c>
      <c r="AG87" s="49" t="e">
        <f>bdrateOld($D87:$D90,G87:G90,$N87:$N90,Q87:Q90)</f>
        <v>#VALUE!</v>
      </c>
    </row>
    <row r="88" spans="1:33" x14ac:dyDescent="0.2">
      <c r="A88" s="12"/>
      <c r="B88" s="12"/>
      <c r="C88" s="12">
        <v>27</v>
      </c>
      <c r="D88" s="13">
        <f>Reference!B86</f>
        <v>1361.6335999999999</v>
      </c>
      <c r="E88" s="14">
        <f>Reference!C86</f>
        <v>43.244300000000003</v>
      </c>
      <c r="F88" s="14">
        <f>Reference!D86</f>
        <v>46.898800000000001</v>
      </c>
      <c r="G88" s="14">
        <f>Reference!E86</f>
        <v>47.764400000000002</v>
      </c>
      <c r="H88" s="14">
        <f>Reference!F86</f>
        <v>10441</v>
      </c>
      <c r="I88" s="14">
        <f>Reference!G86</f>
        <v>13.098000000000001</v>
      </c>
      <c r="J88" s="14">
        <f t="shared" si="9"/>
        <v>2.9002777777777777</v>
      </c>
      <c r="K88" s="26">
        <f>Reference!H86</f>
        <v>1874252</v>
      </c>
      <c r="L88" s="27">
        <f>Reference!I86</f>
        <v>335672</v>
      </c>
      <c r="N88" s="13">
        <f>Test!B86</f>
        <v>0</v>
      </c>
      <c r="O88" s="14">
        <f>Test!C86</f>
        <v>0</v>
      </c>
      <c r="P88" s="14">
        <f>Test!D86</f>
        <v>0</v>
      </c>
      <c r="Q88" s="14">
        <f>Test!E86</f>
        <v>0</v>
      </c>
      <c r="R88" s="14">
        <f>Test!F86</f>
        <v>0</v>
      </c>
      <c r="S88" s="14">
        <f>Test!G86</f>
        <v>0</v>
      </c>
      <c r="T88" s="14">
        <f t="shared" si="10"/>
        <v>0</v>
      </c>
      <c r="U88" s="26">
        <f>Test!H86</f>
        <v>0</v>
      </c>
      <c r="V88" s="27">
        <f>Test!I86</f>
        <v>0</v>
      </c>
      <c r="W88" s="14">
        <f t="shared" si="11"/>
        <v>0</v>
      </c>
      <c r="X88" s="14">
        <f t="shared" si="12"/>
        <v>0</v>
      </c>
      <c r="Y88" s="14">
        <f t="shared" si="13"/>
        <v>0</v>
      </c>
      <c r="Z88" s="22">
        <f t="shared" si="13"/>
        <v>0</v>
      </c>
      <c r="AA88" s="39"/>
      <c r="AB88" s="40"/>
      <c r="AC88" s="41"/>
      <c r="AD88" s="41"/>
      <c r="AE88" s="40"/>
      <c r="AF88" s="41"/>
      <c r="AG88" s="42"/>
    </row>
    <row r="89" spans="1:33" x14ac:dyDescent="0.2">
      <c r="A89" s="12"/>
      <c r="B89" s="12"/>
      <c r="C89" s="12">
        <v>32</v>
      </c>
      <c r="D89" s="13">
        <f>Reference!B87</f>
        <v>810.8288</v>
      </c>
      <c r="E89" s="14">
        <f>Reference!C87</f>
        <v>40.8872</v>
      </c>
      <c r="F89" s="14">
        <f>Reference!D87</f>
        <v>44.775399999999998</v>
      </c>
      <c r="G89" s="14">
        <f>Reference!E87</f>
        <v>45.429699999999997</v>
      </c>
      <c r="H89" s="14">
        <f>Reference!F87</f>
        <v>7611</v>
      </c>
      <c r="I89" s="14">
        <f>Reference!G87</f>
        <v>11.920999999999999</v>
      </c>
      <c r="J89" s="14">
        <f t="shared" si="9"/>
        <v>2.1141666666666667</v>
      </c>
      <c r="K89" s="26">
        <f>Reference!H87</f>
        <v>1868972</v>
      </c>
      <c r="L89" s="27">
        <f>Reference!I87</f>
        <v>333924</v>
      </c>
      <c r="N89" s="13">
        <f>Test!B87</f>
        <v>0</v>
      </c>
      <c r="O89" s="14">
        <f>Test!C87</f>
        <v>0</v>
      </c>
      <c r="P89" s="14">
        <f>Test!D87</f>
        <v>0</v>
      </c>
      <c r="Q89" s="14">
        <f>Test!E87</f>
        <v>0</v>
      </c>
      <c r="R89" s="14">
        <f>Test!F87</f>
        <v>0</v>
      </c>
      <c r="S89" s="14">
        <f>Test!G87</f>
        <v>0</v>
      </c>
      <c r="T89" s="14">
        <f t="shared" si="10"/>
        <v>0</v>
      </c>
      <c r="U89" s="26">
        <f>Test!H87</f>
        <v>0</v>
      </c>
      <c r="V89" s="27">
        <f>Test!I87</f>
        <v>0</v>
      </c>
      <c r="W89" s="14">
        <f t="shared" si="11"/>
        <v>0</v>
      </c>
      <c r="X89" s="14">
        <f t="shared" si="12"/>
        <v>0</v>
      </c>
      <c r="Y89" s="14">
        <f t="shared" si="13"/>
        <v>0</v>
      </c>
      <c r="Z89" s="22">
        <f t="shared" si="13"/>
        <v>0</v>
      </c>
      <c r="AA89" s="39"/>
      <c r="AB89" s="40"/>
      <c r="AC89" s="41"/>
      <c r="AD89" s="41"/>
      <c r="AE89" s="40"/>
      <c r="AF89" s="41"/>
      <c r="AG89" s="42"/>
    </row>
    <row r="90" spans="1:33" ht="12.75" customHeight="1" x14ac:dyDescent="0.2">
      <c r="A90" s="15"/>
      <c r="B90" s="15"/>
      <c r="C90" s="15">
        <v>37</v>
      </c>
      <c r="D90" s="16">
        <f>Reference!B88</f>
        <v>496.04079999999999</v>
      </c>
      <c r="E90" s="17">
        <f>Reference!C88</f>
        <v>38.235999999999997</v>
      </c>
      <c r="F90" s="17">
        <f>Reference!D88</f>
        <v>43.283999999999999</v>
      </c>
      <c r="G90" s="17">
        <f>Reference!E88</f>
        <v>43.844299999999997</v>
      </c>
      <c r="H90" s="17">
        <f>Reference!F88</f>
        <v>5672</v>
      </c>
      <c r="I90" s="17">
        <f>Reference!G88</f>
        <v>11.388</v>
      </c>
      <c r="J90" s="17">
        <f t="shared" si="9"/>
        <v>1.5755555555555556</v>
      </c>
      <c r="K90" s="26">
        <f>Reference!H88</f>
        <v>1866148</v>
      </c>
      <c r="L90" s="27">
        <f>Reference!I88</f>
        <v>330784</v>
      </c>
      <c r="N90" s="16">
        <f>Test!B88</f>
        <v>0</v>
      </c>
      <c r="O90" s="17">
        <f>Test!C88</f>
        <v>0</v>
      </c>
      <c r="P90" s="17">
        <f>Test!D88</f>
        <v>0</v>
      </c>
      <c r="Q90" s="17">
        <f>Test!E88</f>
        <v>0</v>
      </c>
      <c r="R90" s="17">
        <f>Test!F88</f>
        <v>0</v>
      </c>
      <c r="S90" s="17">
        <f>Test!G88</f>
        <v>0</v>
      </c>
      <c r="T90" s="17">
        <f t="shared" si="10"/>
        <v>0</v>
      </c>
      <c r="U90" s="26">
        <f>Test!H88</f>
        <v>0</v>
      </c>
      <c r="V90" s="27">
        <f>Test!I88</f>
        <v>0</v>
      </c>
      <c r="W90" s="14">
        <f t="shared" si="11"/>
        <v>0</v>
      </c>
      <c r="X90" s="14">
        <f t="shared" si="12"/>
        <v>0</v>
      </c>
      <c r="Y90" s="14">
        <f t="shared" si="13"/>
        <v>0</v>
      </c>
      <c r="Z90" s="22">
        <f t="shared" si="13"/>
        <v>0</v>
      </c>
      <c r="AA90" s="39"/>
      <c r="AB90" s="43"/>
      <c r="AC90" s="44"/>
      <c r="AD90" s="44"/>
      <c r="AE90" s="43"/>
      <c r="AF90" s="44"/>
      <c r="AG90" s="45"/>
    </row>
    <row r="91" spans="1:33" x14ac:dyDescent="0.2">
      <c r="A91" s="9" t="s">
        <v>28</v>
      </c>
      <c r="B91" s="9" t="s">
        <v>91</v>
      </c>
      <c r="C91" s="9">
        <v>22</v>
      </c>
      <c r="D91" s="10">
        <f>Reference!B89</f>
        <v>2113.8166999999999</v>
      </c>
      <c r="E91" s="11">
        <f>Reference!C89</f>
        <v>43.229300000000002</v>
      </c>
      <c r="F91" s="11">
        <f>Reference!D89</f>
        <v>45.1492</v>
      </c>
      <c r="G91" s="11">
        <f>Reference!E89</f>
        <v>46.406199999999998</v>
      </c>
      <c r="H91" s="11">
        <f>Reference!F89</f>
        <v>15216</v>
      </c>
      <c r="I91" s="11">
        <f>Reference!G89</f>
        <v>9.6180000000000003</v>
      </c>
      <c r="J91" s="11">
        <f t="shared" si="9"/>
        <v>4.2266666666666666</v>
      </c>
      <c r="K91" s="24">
        <f>Reference!H89</f>
        <v>1492496</v>
      </c>
      <c r="L91" s="25">
        <f>Reference!I89</f>
        <v>304972</v>
      </c>
      <c r="N91" s="10">
        <f>Test!B89</f>
        <v>0</v>
      </c>
      <c r="O91" s="11">
        <f>Test!C89</f>
        <v>0</v>
      </c>
      <c r="P91" s="11">
        <f>Test!D89</f>
        <v>0</v>
      </c>
      <c r="Q91" s="11">
        <f>Test!E89</f>
        <v>0</v>
      </c>
      <c r="R91" s="11">
        <f>Test!F89</f>
        <v>0</v>
      </c>
      <c r="S91" s="11">
        <f>Test!G89</f>
        <v>0</v>
      </c>
      <c r="T91" s="11">
        <f t="shared" si="10"/>
        <v>0</v>
      </c>
      <c r="U91" s="24">
        <f>Test!H89</f>
        <v>0</v>
      </c>
      <c r="V91" s="25">
        <f>Test!I89</f>
        <v>0</v>
      </c>
      <c r="W91" s="11">
        <f t="shared" si="11"/>
        <v>0</v>
      </c>
      <c r="X91" s="11">
        <f t="shared" si="12"/>
        <v>0</v>
      </c>
      <c r="Y91" s="11">
        <f t="shared" si="13"/>
        <v>0</v>
      </c>
      <c r="Z91" s="21">
        <f t="shared" si="13"/>
        <v>0</v>
      </c>
      <c r="AA91" s="35"/>
      <c r="AB91" s="36" t="e">
        <f>bdrate($D91:$D94,E91:E94,$N91:$N94,O91:O94)</f>
        <v>#VALUE!</v>
      </c>
      <c r="AC91" s="37" t="e">
        <f>bdrate($D91:$D94,F91:F94,$N91:$N94,P91:P94)</f>
        <v>#VALUE!</v>
      </c>
      <c r="AD91" s="38" t="e">
        <f>bdrate($D91:$D94,G91:G94,$N91:$N94,Q91:Q94)</f>
        <v>#VALUE!</v>
      </c>
      <c r="AE91" s="36" t="e">
        <f>bdrateOld($D91:$D94,E91:E94,$N91:$N94,O91:O94)</f>
        <v>#VALUE!</v>
      </c>
      <c r="AF91" s="37" t="e">
        <f>bdrateOld($D91:$D94,F91:F94,$N91:$N94,P91:P94)</f>
        <v>#VALUE!</v>
      </c>
      <c r="AG91" s="38" t="e">
        <f>bdrateOld($D91:$D94,G91:G94,$N91:$N94,Q91:Q94)</f>
        <v>#VALUE!</v>
      </c>
    </row>
    <row r="92" spans="1:33" x14ac:dyDescent="0.2">
      <c r="A92" s="12"/>
      <c r="C92" s="12">
        <v>27</v>
      </c>
      <c r="D92" s="13">
        <f>Reference!B90</f>
        <v>1194.4421</v>
      </c>
      <c r="E92" s="14">
        <f>Reference!C90</f>
        <v>40.043700000000001</v>
      </c>
      <c r="F92" s="14">
        <f>Reference!D90</f>
        <v>42.527900000000002</v>
      </c>
      <c r="G92" s="14">
        <f>Reference!E90</f>
        <v>43.407200000000003</v>
      </c>
      <c r="H92" s="14">
        <f>Reference!F90</f>
        <v>13181</v>
      </c>
      <c r="I92" s="14">
        <f>Reference!G90</f>
        <v>7.9119999999999999</v>
      </c>
      <c r="J92" s="14">
        <f t="shared" si="9"/>
        <v>3.6613888888888888</v>
      </c>
      <c r="K92" s="26">
        <f>Reference!H90</f>
        <v>1486528</v>
      </c>
      <c r="L92" s="27">
        <f>Reference!I90</f>
        <v>299900</v>
      </c>
      <c r="N92" s="13">
        <f>Test!B90</f>
        <v>0</v>
      </c>
      <c r="O92" s="14">
        <f>Test!C90</f>
        <v>0</v>
      </c>
      <c r="P92" s="14">
        <f>Test!D90</f>
        <v>0</v>
      </c>
      <c r="Q92" s="14">
        <f>Test!E90</f>
        <v>0</v>
      </c>
      <c r="R92" s="14">
        <f>Test!F90</f>
        <v>0</v>
      </c>
      <c r="S92" s="14">
        <f>Test!G90</f>
        <v>0</v>
      </c>
      <c r="T92" s="14">
        <f t="shared" si="10"/>
        <v>0</v>
      </c>
      <c r="U92" s="26">
        <f>Test!H90</f>
        <v>0</v>
      </c>
      <c r="V92" s="27">
        <f>Test!I90</f>
        <v>0</v>
      </c>
      <c r="W92" s="14">
        <f t="shared" si="11"/>
        <v>0</v>
      </c>
      <c r="X92" s="14">
        <f t="shared" si="12"/>
        <v>0</v>
      </c>
      <c r="Y92" s="14">
        <f t="shared" si="13"/>
        <v>0</v>
      </c>
      <c r="Z92" s="22">
        <f t="shared" si="13"/>
        <v>0</v>
      </c>
      <c r="AA92" s="39"/>
      <c r="AB92" s="40"/>
      <c r="AC92" s="41"/>
      <c r="AD92" s="42"/>
      <c r="AE92" s="40"/>
      <c r="AF92" s="41"/>
      <c r="AG92" s="42"/>
    </row>
    <row r="93" spans="1:33" x14ac:dyDescent="0.2">
      <c r="A93" s="12"/>
      <c r="B93" s="12"/>
      <c r="C93" s="12">
        <v>32</v>
      </c>
      <c r="D93" s="13">
        <f>Reference!B91</f>
        <v>670.36590000000001</v>
      </c>
      <c r="E93" s="14">
        <f>Reference!C91</f>
        <v>37.022399999999998</v>
      </c>
      <c r="F93" s="14">
        <f>Reference!D91</f>
        <v>39.695399999999999</v>
      </c>
      <c r="G93" s="14">
        <f>Reference!E91</f>
        <v>40.1678</v>
      </c>
      <c r="H93" s="14">
        <f>Reference!F91</f>
        <v>8506</v>
      </c>
      <c r="I93" s="14">
        <f>Reference!G91</f>
        <v>5.8479999999999999</v>
      </c>
      <c r="J93" s="14">
        <f t="shared" si="9"/>
        <v>2.3627777777777776</v>
      </c>
      <c r="K93" s="26">
        <f>Reference!H91</f>
        <v>1480592</v>
      </c>
      <c r="L93" s="27">
        <f>Reference!I91</f>
        <v>296844</v>
      </c>
      <c r="N93" s="13">
        <f>Test!B91</f>
        <v>0</v>
      </c>
      <c r="O93" s="14">
        <f>Test!C91</f>
        <v>0</v>
      </c>
      <c r="P93" s="14">
        <f>Test!D91</f>
        <v>0</v>
      </c>
      <c r="Q93" s="14">
        <f>Test!E91</f>
        <v>0</v>
      </c>
      <c r="R93" s="14">
        <f>Test!F91</f>
        <v>0</v>
      </c>
      <c r="S93" s="14">
        <f>Test!G91</f>
        <v>0</v>
      </c>
      <c r="T93" s="14">
        <f t="shared" si="10"/>
        <v>0</v>
      </c>
      <c r="U93" s="26">
        <f>Test!H91</f>
        <v>0</v>
      </c>
      <c r="V93" s="27">
        <f>Test!I91</f>
        <v>0</v>
      </c>
      <c r="W93" s="14">
        <f t="shared" si="11"/>
        <v>0</v>
      </c>
      <c r="X93" s="14">
        <f t="shared" si="12"/>
        <v>0</v>
      </c>
      <c r="Y93" s="14">
        <f t="shared" si="13"/>
        <v>0</v>
      </c>
      <c r="Z93" s="22">
        <f t="shared" si="13"/>
        <v>0</v>
      </c>
      <c r="AA93" s="39"/>
      <c r="AB93" s="40"/>
      <c r="AC93" s="41"/>
      <c r="AD93" s="42"/>
      <c r="AE93" s="40"/>
      <c r="AF93" s="41"/>
      <c r="AG93" s="42"/>
    </row>
    <row r="94" spans="1:33" ht="12.75" customHeight="1" x14ac:dyDescent="0.2">
      <c r="A94" s="12"/>
      <c r="B94" s="15"/>
      <c r="C94" s="15">
        <v>37</v>
      </c>
      <c r="D94" s="16">
        <f>Reference!B92</f>
        <v>390.7627</v>
      </c>
      <c r="E94" s="17">
        <f>Reference!C92</f>
        <v>34.162300000000002</v>
      </c>
      <c r="F94" s="17">
        <f>Reference!D92</f>
        <v>37.979399999999998</v>
      </c>
      <c r="G94" s="17">
        <f>Reference!E92</f>
        <v>38.274999999999999</v>
      </c>
      <c r="H94" s="17">
        <f>Reference!F92</f>
        <v>5629</v>
      </c>
      <c r="I94" s="17">
        <f>Reference!G92</f>
        <v>5.133</v>
      </c>
      <c r="J94" s="17">
        <f t="shared" si="9"/>
        <v>1.5636111111111111</v>
      </c>
      <c r="K94" s="26">
        <f>Reference!H92</f>
        <v>1477812</v>
      </c>
      <c r="L94" s="27">
        <f>Reference!I92</f>
        <v>293288</v>
      </c>
      <c r="N94" s="16">
        <f>Test!B92</f>
        <v>0</v>
      </c>
      <c r="O94" s="17">
        <f>Test!C92</f>
        <v>0</v>
      </c>
      <c r="P94" s="17">
        <f>Test!D92</f>
        <v>0</v>
      </c>
      <c r="Q94" s="17">
        <f>Test!E92</f>
        <v>0</v>
      </c>
      <c r="R94" s="17">
        <f>Test!F92</f>
        <v>0</v>
      </c>
      <c r="S94" s="17">
        <f>Test!G92</f>
        <v>0</v>
      </c>
      <c r="T94" s="17">
        <f t="shared" si="10"/>
        <v>0</v>
      </c>
      <c r="U94" s="26">
        <f>Test!H92</f>
        <v>0</v>
      </c>
      <c r="V94" s="27">
        <f>Test!I92</f>
        <v>0</v>
      </c>
      <c r="W94" s="14">
        <f t="shared" si="11"/>
        <v>0</v>
      </c>
      <c r="X94" s="14">
        <f t="shared" si="12"/>
        <v>0</v>
      </c>
      <c r="Y94" s="14">
        <f t="shared" si="13"/>
        <v>0</v>
      </c>
      <c r="Z94" s="22">
        <f t="shared" si="13"/>
        <v>0</v>
      </c>
      <c r="AA94" s="39"/>
      <c r="AB94" s="43"/>
      <c r="AC94" s="44"/>
      <c r="AD94" s="45"/>
      <c r="AE94" s="43"/>
      <c r="AF94" s="44"/>
      <c r="AG94" s="45"/>
    </row>
    <row r="95" spans="1:33" ht="12.75" customHeight="1" x14ac:dyDescent="0.2">
      <c r="A95" s="12"/>
      <c r="B95" s="9" t="s">
        <v>116</v>
      </c>
      <c r="C95" s="9">
        <v>22</v>
      </c>
      <c r="D95" s="10">
        <f>Reference!B93</f>
        <v>11262.936</v>
      </c>
      <c r="E95" s="11">
        <f>Reference!C93</f>
        <v>45.355200000000004</v>
      </c>
      <c r="F95" s="11">
        <f>Reference!D93</f>
        <v>46.140599999999999</v>
      </c>
      <c r="G95" s="11">
        <f>Reference!E93</f>
        <v>46.880099999999999</v>
      </c>
      <c r="H95" s="11">
        <f>Reference!F93</f>
        <v>89927</v>
      </c>
      <c r="I95" s="11">
        <f>Reference!G93</f>
        <v>51.226999999999997</v>
      </c>
      <c r="J95" s="11">
        <f t="shared" si="9"/>
        <v>24.979722222222222</v>
      </c>
      <c r="K95" s="24">
        <f>Reference!H93</f>
        <v>3332824</v>
      </c>
      <c r="L95" s="25">
        <f>Reference!I93</f>
        <v>582752</v>
      </c>
      <c r="N95" s="10">
        <f>Test!B93</f>
        <v>0</v>
      </c>
      <c r="O95" s="11">
        <f>Test!C93</f>
        <v>0</v>
      </c>
      <c r="P95" s="11">
        <f>Test!D93</f>
        <v>0</v>
      </c>
      <c r="Q95" s="11">
        <f>Test!E93</f>
        <v>0</v>
      </c>
      <c r="R95" s="11">
        <f>Test!F93</f>
        <v>0</v>
      </c>
      <c r="S95" s="11">
        <f>Test!G93</f>
        <v>0</v>
      </c>
      <c r="T95" s="11">
        <f t="shared" si="10"/>
        <v>0</v>
      </c>
      <c r="U95" s="24">
        <f>Test!H93</f>
        <v>0</v>
      </c>
      <c r="V95" s="25">
        <f>Test!I93</f>
        <v>0</v>
      </c>
      <c r="W95" s="14">
        <f t="shared" si="11"/>
        <v>0</v>
      </c>
      <c r="X95" s="14">
        <f t="shared" si="12"/>
        <v>0</v>
      </c>
      <c r="Y95" s="14">
        <f t="shared" si="13"/>
        <v>0</v>
      </c>
      <c r="Z95" s="22">
        <f t="shared" si="13"/>
        <v>0</v>
      </c>
      <c r="AA95" s="39"/>
      <c r="AB95" s="36" t="e">
        <f>bdrate($D95:$D98,E95:E98,$N95:$N98,O95:O98)</f>
        <v>#VALUE!</v>
      </c>
      <c r="AC95" s="37" t="e">
        <f>bdrate($D95:$D98,F95:F98,$N95:$N98,P95:P98)</f>
        <v>#VALUE!</v>
      </c>
      <c r="AD95" s="37" t="e">
        <f>bdrate($D95:$D98,G95:G98,$N95:$N98,Q95:Q98)</f>
        <v>#VALUE!</v>
      </c>
      <c r="AE95" s="46" t="e">
        <f>bdrateOld($D95:$D98,E95:E98,$N95:$N98,O95:O98)</f>
        <v>#VALUE!</v>
      </c>
      <c r="AF95" s="47" t="e">
        <f>bdrateOld($D95:$D98,F95:F98,$N95:$N98,P95:P98)</f>
        <v>#VALUE!</v>
      </c>
      <c r="AG95" s="49" t="e">
        <f>bdrateOld($D95:$D98,G95:G98,$N95:$N98,Q95:Q98)</f>
        <v>#VALUE!</v>
      </c>
    </row>
    <row r="96" spans="1:33" x14ac:dyDescent="0.2">
      <c r="A96" s="12"/>
      <c r="B96" s="12"/>
      <c r="C96" s="12">
        <v>27</v>
      </c>
      <c r="D96" s="13">
        <f>Reference!B94</f>
        <v>6408.2439999999997</v>
      </c>
      <c r="E96" s="14">
        <f>Reference!C94</f>
        <v>41.910400000000003</v>
      </c>
      <c r="F96" s="14">
        <f>Reference!D94</f>
        <v>43.064</v>
      </c>
      <c r="G96" s="14">
        <f>Reference!E94</f>
        <v>43.596400000000003</v>
      </c>
      <c r="H96" s="14">
        <f>Reference!F94</f>
        <v>75537</v>
      </c>
      <c r="I96" s="14">
        <f>Reference!G94</f>
        <v>45.055999999999997</v>
      </c>
      <c r="J96" s="14">
        <f t="shared" si="9"/>
        <v>20.982500000000002</v>
      </c>
      <c r="K96" s="26">
        <f>Reference!H94</f>
        <v>3307176</v>
      </c>
      <c r="L96" s="27">
        <f>Reference!I94</f>
        <v>558404</v>
      </c>
      <c r="N96" s="13">
        <f>Test!B94</f>
        <v>0</v>
      </c>
      <c r="O96" s="14">
        <f>Test!C94</f>
        <v>0</v>
      </c>
      <c r="P96" s="14">
        <f>Test!D94</f>
        <v>0</v>
      </c>
      <c r="Q96" s="14">
        <f>Test!E94</f>
        <v>0</v>
      </c>
      <c r="R96" s="14">
        <f>Test!F94</f>
        <v>0</v>
      </c>
      <c r="S96" s="14">
        <f>Test!G94</f>
        <v>0</v>
      </c>
      <c r="T96" s="14">
        <f t="shared" si="10"/>
        <v>0</v>
      </c>
      <c r="U96" s="26">
        <f>Test!H94</f>
        <v>0</v>
      </c>
      <c r="V96" s="27">
        <f>Test!I94</f>
        <v>0</v>
      </c>
      <c r="W96" s="14">
        <f t="shared" si="11"/>
        <v>0</v>
      </c>
      <c r="X96" s="14">
        <f t="shared" si="12"/>
        <v>0</v>
      </c>
      <c r="Y96" s="14">
        <f t="shared" si="13"/>
        <v>0</v>
      </c>
      <c r="Z96" s="22">
        <f t="shared" si="13"/>
        <v>0</v>
      </c>
      <c r="AA96" s="39"/>
      <c r="AB96" s="40"/>
      <c r="AC96" s="41"/>
      <c r="AD96" s="41"/>
      <c r="AE96" s="40"/>
      <c r="AF96" s="41"/>
      <c r="AG96" s="42"/>
    </row>
    <row r="97" spans="1:33" x14ac:dyDescent="0.2">
      <c r="A97" s="12"/>
      <c r="B97" s="12"/>
      <c r="C97" s="12">
        <v>32</v>
      </c>
      <c r="D97" s="13">
        <f>Reference!B95</f>
        <v>3530.1152000000002</v>
      </c>
      <c r="E97" s="14">
        <f>Reference!C95</f>
        <v>38.670499999999997</v>
      </c>
      <c r="F97" s="14">
        <f>Reference!D95</f>
        <v>39.987400000000001</v>
      </c>
      <c r="G97" s="14">
        <f>Reference!E95</f>
        <v>40.268000000000001</v>
      </c>
      <c r="H97" s="14">
        <f>Reference!F95</f>
        <v>54978</v>
      </c>
      <c r="I97" s="14">
        <f>Reference!G95</f>
        <v>36.073999999999998</v>
      </c>
      <c r="J97" s="14">
        <f t="shared" si="9"/>
        <v>15.271666666666667</v>
      </c>
      <c r="K97" s="26">
        <f>Reference!H95</f>
        <v>3290832</v>
      </c>
      <c r="L97" s="27">
        <f>Reference!I95</f>
        <v>536784</v>
      </c>
      <c r="N97" s="13">
        <f>Test!B95</f>
        <v>0</v>
      </c>
      <c r="O97" s="14">
        <f>Test!C95</f>
        <v>0</v>
      </c>
      <c r="P97" s="14">
        <f>Test!D95</f>
        <v>0</v>
      </c>
      <c r="Q97" s="14">
        <f>Test!E95</f>
        <v>0</v>
      </c>
      <c r="R97" s="14">
        <f>Test!F95</f>
        <v>0</v>
      </c>
      <c r="S97" s="14">
        <f>Test!G95</f>
        <v>0</v>
      </c>
      <c r="T97" s="14">
        <f t="shared" si="10"/>
        <v>0</v>
      </c>
      <c r="U97" s="26">
        <f>Test!H95</f>
        <v>0</v>
      </c>
      <c r="V97" s="27">
        <f>Test!I95</f>
        <v>0</v>
      </c>
      <c r="W97" s="14">
        <f t="shared" si="11"/>
        <v>0</v>
      </c>
      <c r="X97" s="14">
        <f t="shared" si="12"/>
        <v>0</v>
      </c>
      <c r="Y97" s="14">
        <f t="shared" si="13"/>
        <v>0</v>
      </c>
      <c r="Z97" s="22">
        <f t="shared" si="13"/>
        <v>0</v>
      </c>
      <c r="AA97" s="39"/>
      <c r="AB97" s="40"/>
      <c r="AC97" s="41"/>
      <c r="AD97" s="41"/>
      <c r="AE97" s="40"/>
      <c r="AF97" s="41"/>
      <c r="AG97" s="42"/>
    </row>
    <row r="98" spans="1:33" ht="12.75" customHeight="1" x14ac:dyDescent="0.2">
      <c r="A98" s="12"/>
      <c r="B98" s="15"/>
      <c r="C98" s="15">
        <v>37</v>
      </c>
      <c r="D98" s="16">
        <f>Reference!B96</f>
        <v>1989.6384</v>
      </c>
      <c r="E98" s="17">
        <f>Reference!C96</f>
        <v>35.598300000000002</v>
      </c>
      <c r="F98" s="17">
        <f>Reference!D96</f>
        <v>38.359499999999997</v>
      </c>
      <c r="G98" s="17">
        <f>Reference!E96</f>
        <v>38.492400000000004</v>
      </c>
      <c r="H98" s="17">
        <f>Reference!F96</f>
        <v>32062</v>
      </c>
      <c r="I98" s="17">
        <f>Reference!G96</f>
        <v>28.67</v>
      </c>
      <c r="J98" s="17">
        <f t="shared" si="9"/>
        <v>8.9061111111111106</v>
      </c>
      <c r="K98" s="26">
        <f>Reference!H96</f>
        <v>3275992</v>
      </c>
      <c r="L98" s="27">
        <f>Reference!I96</f>
        <v>492012</v>
      </c>
      <c r="N98" s="16">
        <f>Test!B96</f>
        <v>0</v>
      </c>
      <c r="O98" s="17">
        <f>Test!C96</f>
        <v>0</v>
      </c>
      <c r="P98" s="17">
        <f>Test!D96</f>
        <v>0</v>
      </c>
      <c r="Q98" s="17">
        <f>Test!E96</f>
        <v>0</v>
      </c>
      <c r="R98" s="17">
        <f>Test!F96</f>
        <v>0</v>
      </c>
      <c r="S98" s="17">
        <f>Test!G96</f>
        <v>0</v>
      </c>
      <c r="T98" s="17">
        <f t="shared" si="10"/>
        <v>0</v>
      </c>
      <c r="U98" s="26">
        <f>Test!H96</f>
        <v>0</v>
      </c>
      <c r="V98" s="27">
        <f>Test!I96</f>
        <v>0</v>
      </c>
      <c r="W98" s="14">
        <f t="shared" si="11"/>
        <v>0</v>
      </c>
      <c r="X98" s="14">
        <f t="shared" si="12"/>
        <v>0</v>
      </c>
      <c r="Y98" s="14">
        <f t="shared" si="13"/>
        <v>0</v>
      </c>
      <c r="Z98" s="22">
        <f t="shared" si="13"/>
        <v>0</v>
      </c>
      <c r="AA98" s="39"/>
      <c r="AB98" s="43"/>
      <c r="AC98" s="44"/>
      <c r="AD98" s="44"/>
      <c r="AE98" s="43"/>
      <c r="AF98" s="44"/>
      <c r="AG98" s="45"/>
    </row>
    <row r="99" spans="1:33" x14ac:dyDescent="0.2">
      <c r="A99" s="12"/>
      <c r="B99" s="9" t="s">
        <v>93</v>
      </c>
      <c r="C99" s="9">
        <v>22</v>
      </c>
      <c r="D99" s="10">
        <f>Reference!B97</f>
        <v>1501.2055</v>
      </c>
      <c r="E99" s="11">
        <f>Reference!C97</f>
        <v>49.096800000000002</v>
      </c>
      <c r="F99" s="11">
        <f>Reference!D97</f>
        <v>48.298299999999998</v>
      </c>
      <c r="G99" s="11">
        <f>Reference!E97</f>
        <v>48.632399999999997</v>
      </c>
      <c r="H99" s="11">
        <f>Reference!F97</f>
        <v>10840</v>
      </c>
      <c r="I99" s="11">
        <f>Reference!G97</f>
        <v>7.1040000000000001</v>
      </c>
      <c r="J99" s="11">
        <f t="shared" ref="J99:J122" si="14">H99/3600</f>
        <v>3.0111111111111111</v>
      </c>
      <c r="K99" s="24">
        <f>Reference!H97</f>
        <v>1987860</v>
      </c>
      <c r="L99" s="25">
        <f>Reference!I97</f>
        <v>365152</v>
      </c>
      <c r="N99" s="10">
        <f>Test!B97</f>
        <v>0</v>
      </c>
      <c r="O99" s="11">
        <f>Test!C97</f>
        <v>0</v>
      </c>
      <c r="P99" s="11">
        <f>Test!D97</f>
        <v>0</v>
      </c>
      <c r="Q99" s="11">
        <f>Test!E97</f>
        <v>0</v>
      </c>
      <c r="R99" s="11">
        <f>Test!F97</f>
        <v>0</v>
      </c>
      <c r="S99" s="11">
        <f>Test!G97</f>
        <v>0</v>
      </c>
      <c r="T99" s="11">
        <f t="shared" ref="T99:T122" si="15">R99/3600</f>
        <v>0</v>
      </c>
      <c r="U99" s="24">
        <f>Test!H97</f>
        <v>0</v>
      </c>
      <c r="V99" s="25">
        <f>Test!I97</f>
        <v>0</v>
      </c>
      <c r="W99" s="14">
        <f t="shared" ref="W99:W122" si="16">R99/H99</f>
        <v>0</v>
      </c>
      <c r="X99" s="14">
        <f t="shared" ref="X99:X122" si="17">S99/I99</f>
        <v>0</v>
      </c>
      <c r="Y99" s="14">
        <f t="shared" si="13"/>
        <v>0</v>
      </c>
      <c r="Z99" s="22">
        <f t="shared" si="13"/>
        <v>0</v>
      </c>
      <c r="AA99" s="39"/>
      <c r="AB99" s="36" t="e">
        <f>bdrate($D99:$D102,E99:E102,$N99:$N102,O99:O102)</f>
        <v>#VALUE!</v>
      </c>
      <c r="AC99" s="37" t="e">
        <f>bdrate($D99:$D102,F99:F102,$N99:$N102,P99:P102)</f>
        <v>#VALUE!</v>
      </c>
      <c r="AD99" s="37" t="e">
        <f>bdrate($D99:$D102,G99:G102,$N99:$N102,Q99:Q102)</f>
        <v>#VALUE!</v>
      </c>
      <c r="AE99" s="46" t="e">
        <f>bdrateOld($D99:$D102,E99:E102,$N99:$N102,O99:O102)</f>
        <v>#VALUE!</v>
      </c>
      <c r="AF99" s="47" t="e">
        <f>bdrateOld($D99:$D102,F99:F102,$N99:$N102,P99:P102)</f>
        <v>#VALUE!</v>
      </c>
      <c r="AG99" s="49" t="e">
        <f>bdrateOld($D99:$D102,G99:G102,$N99:$N102,Q99:Q102)</f>
        <v>#VALUE!</v>
      </c>
    </row>
    <row r="100" spans="1:33" x14ac:dyDescent="0.2">
      <c r="A100" s="12"/>
      <c r="B100" s="12"/>
      <c r="C100" s="12">
        <v>27</v>
      </c>
      <c r="D100" s="13">
        <f>Reference!B98</f>
        <v>1179.0853</v>
      </c>
      <c r="E100" s="14">
        <f>Reference!C98</f>
        <v>45.224800000000002</v>
      </c>
      <c r="F100" s="14">
        <f>Reference!D98</f>
        <v>45.731499999999997</v>
      </c>
      <c r="G100" s="14">
        <f>Reference!E98</f>
        <v>46.253500000000003</v>
      </c>
      <c r="H100" s="14">
        <f>Reference!F98</f>
        <v>11543</v>
      </c>
      <c r="I100" s="14">
        <f>Reference!G98</f>
        <v>7.125</v>
      </c>
      <c r="J100" s="14">
        <f t="shared" si="14"/>
        <v>3.2063888888888887</v>
      </c>
      <c r="K100" s="26">
        <f>Reference!H98</f>
        <v>1981672</v>
      </c>
      <c r="L100" s="27">
        <f>Reference!I98</f>
        <v>355216</v>
      </c>
      <c r="N100" s="13">
        <f>Test!B98</f>
        <v>0</v>
      </c>
      <c r="O100" s="14">
        <f>Test!C98</f>
        <v>0</v>
      </c>
      <c r="P100" s="14">
        <f>Test!D98</f>
        <v>0</v>
      </c>
      <c r="Q100" s="14">
        <f>Test!E98</f>
        <v>0</v>
      </c>
      <c r="R100" s="14">
        <f>Test!F98</f>
        <v>0</v>
      </c>
      <c r="S100" s="14">
        <f>Test!G98</f>
        <v>0</v>
      </c>
      <c r="T100" s="14">
        <f t="shared" si="15"/>
        <v>0</v>
      </c>
      <c r="U100" s="26">
        <f>Test!H98</f>
        <v>0</v>
      </c>
      <c r="V100" s="27">
        <f>Test!I98</f>
        <v>0</v>
      </c>
      <c r="W100" s="14">
        <f t="shared" si="16"/>
        <v>0</v>
      </c>
      <c r="X100" s="14">
        <f t="shared" si="17"/>
        <v>0</v>
      </c>
      <c r="Y100" s="14">
        <f t="shared" si="13"/>
        <v>0</v>
      </c>
      <c r="Z100" s="22">
        <f t="shared" si="13"/>
        <v>0</v>
      </c>
      <c r="AA100" s="39"/>
      <c r="AB100" s="40"/>
      <c r="AC100" s="41"/>
      <c r="AD100" s="41"/>
      <c r="AE100" s="40"/>
      <c r="AF100" s="41"/>
      <c r="AG100" s="42"/>
    </row>
    <row r="101" spans="1:33" x14ac:dyDescent="0.2">
      <c r="A101" s="12"/>
      <c r="B101" s="12"/>
      <c r="C101" s="12">
        <v>32</v>
      </c>
      <c r="D101" s="13">
        <f>Reference!B99</f>
        <v>934.16759999999999</v>
      </c>
      <c r="E101" s="14">
        <f>Reference!C99</f>
        <v>41.278399999999998</v>
      </c>
      <c r="F101" s="14">
        <f>Reference!D99</f>
        <v>42.704700000000003</v>
      </c>
      <c r="G101" s="14">
        <f>Reference!E99</f>
        <v>43.357599999999998</v>
      </c>
      <c r="H101" s="14">
        <f>Reference!F99</f>
        <v>10505</v>
      </c>
      <c r="I101" s="14">
        <f>Reference!G99</f>
        <v>6.3040000000000003</v>
      </c>
      <c r="J101" s="14">
        <f t="shared" si="14"/>
        <v>2.9180555555555556</v>
      </c>
      <c r="K101" s="26">
        <f>Reference!H99</f>
        <v>1980004</v>
      </c>
      <c r="L101" s="27">
        <f>Reference!I99</f>
        <v>345464</v>
      </c>
      <c r="N101" s="13">
        <f>Test!B99</f>
        <v>0</v>
      </c>
      <c r="O101" s="14">
        <f>Test!C99</f>
        <v>0</v>
      </c>
      <c r="P101" s="14">
        <f>Test!D99</f>
        <v>0</v>
      </c>
      <c r="Q101" s="14">
        <f>Test!E99</f>
        <v>0</v>
      </c>
      <c r="R101" s="14">
        <f>Test!F99</f>
        <v>0</v>
      </c>
      <c r="S101" s="14">
        <f>Test!G99</f>
        <v>0</v>
      </c>
      <c r="T101" s="14">
        <f t="shared" si="15"/>
        <v>0</v>
      </c>
      <c r="U101" s="26">
        <f>Test!H99</f>
        <v>0</v>
      </c>
      <c r="V101" s="27">
        <f>Test!I99</f>
        <v>0</v>
      </c>
      <c r="W101" s="14">
        <f t="shared" si="16"/>
        <v>0</v>
      </c>
      <c r="X101" s="14">
        <f t="shared" si="17"/>
        <v>0</v>
      </c>
      <c r="Y101" s="14">
        <f t="shared" si="13"/>
        <v>0</v>
      </c>
      <c r="Z101" s="22">
        <f t="shared" si="13"/>
        <v>0</v>
      </c>
      <c r="AA101" s="39"/>
      <c r="AB101" s="40"/>
      <c r="AC101" s="41"/>
      <c r="AD101" s="41"/>
      <c r="AE101" s="40"/>
      <c r="AF101" s="41"/>
      <c r="AG101" s="42"/>
    </row>
    <row r="102" spans="1:33" ht="12.75" customHeight="1" x14ac:dyDescent="0.2">
      <c r="A102" s="12"/>
      <c r="B102" s="15"/>
      <c r="C102" s="15">
        <v>37</v>
      </c>
      <c r="D102" s="16">
        <f>Reference!B100</f>
        <v>718.3279</v>
      </c>
      <c r="E102" s="17">
        <f>Reference!C100</f>
        <v>36.331699999999998</v>
      </c>
      <c r="F102" s="17">
        <f>Reference!D100</f>
        <v>40.273600000000002</v>
      </c>
      <c r="G102" s="17">
        <f>Reference!E100</f>
        <v>41.131599999999999</v>
      </c>
      <c r="H102" s="17">
        <f>Reference!F100</f>
        <v>8684</v>
      </c>
      <c r="I102" s="17">
        <f>Reference!G100</f>
        <v>5.27</v>
      </c>
      <c r="J102" s="17">
        <f t="shared" si="14"/>
        <v>2.4122222222222223</v>
      </c>
      <c r="K102" s="26">
        <f>Reference!H100</f>
        <v>1978632</v>
      </c>
      <c r="L102" s="27">
        <f>Reference!I100</f>
        <v>349216</v>
      </c>
      <c r="N102" s="16">
        <f>Test!B100</f>
        <v>0</v>
      </c>
      <c r="O102" s="17">
        <f>Test!C100</f>
        <v>0</v>
      </c>
      <c r="P102" s="17">
        <f>Test!D100</f>
        <v>0</v>
      </c>
      <c r="Q102" s="17">
        <f>Test!E100</f>
        <v>0</v>
      </c>
      <c r="R102" s="17">
        <f>Test!F100</f>
        <v>0</v>
      </c>
      <c r="S102" s="17">
        <f>Test!G100</f>
        <v>0</v>
      </c>
      <c r="T102" s="17">
        <f t="shared" si="15"/>
        <v>0</v>
      </c>
      <c r="U102" s="26">
        <f>Test!H100</f>
        <v>0</v>
      </c>
      <c r="V102" s="27">
        <f>Test!I100</f>
        <v>0</v>
      </c>
      <c r="W102" s="14">
        <f t="shared" si="16"/>
        <v>0</v>
      </c>
      <c r="X102" s="14">
        <f t="shared" si="17"/>
        <v>0</v>
      </c>
      <c r="Y102" s="14">
        <f t="shared" si="13"/>
        <v>0</v>
      </c>
      <c r="Z102" s="22">
        <f t="shared" si="13"/>
        <v>0</v>
      </c>
      <c r="AA102" s="39"/>
      <c r="AB102" s="43"/>
      <c r="AC102" s="44"/>
      <c r="AD102" s="44"/>
      <c r="AE102" s="43"/>
      <c r="AF102" s="44"/>
      <c r="AG102" s="45"/>
    </row>
    <row r="103" spans="1:33" x14ac:dyDescent="0.2">
      <c r="A103" s="12"/>
      <c r="B103" s="9" t="s">
        <v>94</v>
      </c>
      <c r="C103" s="9">
        <v>22</v>
      </c>
      <c r="D103" s="10">
        <f>Reference!B101</f>
        <v>411.49680000000001</v>
      </c>
      <c r="E103" s="11">
        <f>Reference!C101</f>
        <v>51.800800000000002</v>
      </c>
      <c r="F103" s="11">
        <f>Reference!D101</f>
        <v>55.203099999999999</v>
      </c>
      <c r="G103" s="11">
        <f>Reference!E101</f>
        <v>56.500500000000002</v>
      </c>
      <c r="H103" s="11">
        <f>Reference!F101</f>
        <v>8740</v>
      </c>
      <c r="I103" s="11">
        <f>Reference!G101</f>
        <v>8.2070000000000007</v>
      </c>
      <c r="J103" s="11">
        <f t="shared" si="14"/>
        <v>2.4277777777777776</v>
      </c>
      <c r="K103" s="24">
        <f>Reference!H101</f>
        <v>1997592</v>
      </c>
      <c r="L103" s="25">
        <f>Reference!I101</f>
        <v>347436</v>
      </c>
      <c r="N103" s="10">
        <f>Test!B101</f>
        <v>0</v>
      </c>
      <c r="O103" s="11">
        <f>Test!C101</f>
        <v>0</v>
      </c>
      <c r="P103" s="11">
        <f>Test!D101</f>
        <v>0</v>
      </c>
      <c r="Q103" s="11">
        <f>Test!E101</f>
        <v>0</v>
      </c>
      <c r="R103" s="11">
        <f>Test!F101</f>
        <v>0</v>
      </c>
      <c r="S103" s="11">
        <f>Test!G101</f>
        <v>0</v>
      </c>
      <c r="T103" s="11">
        <f t="shared" si="15"/>
        <v>0</v>
      </c>
      <c r="U103" s="24">
        <f>Test!H101</f>
        <v>0</v>
      </c>
      <c r="V103" s="25">
        <f>Test!I101</f>
        <v>0</v>
      </c>
      <c r="W103" s="14">
        <f t="shared" si="16"/>
        <v>0</v>
      </c>
      <c r="X103" s="14">
        <f t="shared" si="17"/>
        <v>0</v>
      </c>
      <c r="Y103" s="14">
        <f t="shared" si="13"/>
        <v>0</v>
      </c>
      <c r="Z103" s="22">
        <f t="shared" si="13"/>
        <v>0</v>
      </c>
      <c r="AA103" s="39"/>
      <c r="AB103" s="36" t="e">
        <f>bdrate($D103:$D106,E103:E106,$N103:$N106,O103:O106)</f>
        <v>#VALUE!</v>
      </c>
      <c r="AC103" s="37" t="e">
        <f>bdrate($D103:$D106,F103:F106,$N103:$N106,P103:P106)</f>
        <v>#VALUE!</v>
      </c>
      <c r="AD103" s="37" t="e">
        <f>bdrate($D103:$D106,G103:G106,$N103:$N106,Q103:Q106)</f>
        <v>#VALUE!</v>
      </c>
      <c r="AE103" s="46" t="e">
        <f>bdrateOld($D103:$D106,E103:E106,$N103:$N106,O103:O106)</f>
        <v>#VALUE!</v>
      </c>
      <c r="AF103" s="47" t="e">
        <f>bdrateOld($D103:$D106,F103:F106,$N103:$N106,P103:P106)</f>
        <v>#VALUE!</v>
      </c>
      <c r="AG103" s="49" t="e">
        <f>bdrateOld($D103:$D106,G103:G106,$N103:$N106,Q103:Q106)</f>
        <v>#VALUE!</v>
      </c>
    </row>
    <row r="104" spans="1:33" x14ac:dyDescent="0.2">
      <c r="A104" s="12"/>
      <c r="B104" s="12"/>
      <c r="C104" s="12">
        <v>27</v>
      </c>
      <c r="D104" s="13">
        <f>Reference!B102</f>
        <v>257.8546</v>
      </c>
      <c r="E104" s="14">
        <f>Reference!C102</f>
        <v>48.287599999999998</v>
      </c>
      <c r="F104" s="14">
        <f>Reference!D102</f>
        <v>52.051699999999997</v>
      </c>
      <c r="G104" s="14">
        <f>Reference!E102</f>
        <v>53.696100000000001</v>
      </c>
      <c r="H104" s="14">
        <f>Reference!F102</f>
        <v>7405</v>
      </c>
      <c r="I104" s="14">
        <f>Reference!G102</f>
        <v>8.2569999999999997</v>
      </c>
      <c r="J104" s="14">
        <f t="shared" si="14"/>
        <v>2.0569444444444445</v>
      </c>
      <c r="K104" s="26">
        <f>Reference!H102</f>
        <v>1994256</v>
      </c>
      <c r="L104" s="27">
        <f>Reference!I102</f>
        <v>347884</v>
      </c>
      <c r="N104" s="13">
        <f>Test!B102</f>
        <v>0</v>
      </c>
      <c r="O104" s="14">
        <f>Test!C102</f>
        <v>0</v>
      </c>
      <c r="P104" s="14">
        <f>Test!D102</f>
        <v>0</v>
      </c>
      <c r="Q104" s="14">
        <f>Test!E102</f>
        <v>0</v>
      </c>
      <c r="R104" s="14">
        <f>Test!F102</f>
        <v>0</v>
      </c>
      <c r="S104" s="14">
        <f>Test!G102</f>
        <v>0</v>
      </c>
      <c r="T104" s="14">
        <f t="shared" si="15"/>
        <v>0</v>
      </c>
      <c r="U104" s="26">
        <f>Test!H102</f>
        <v>0</v>
      </c>
      <c r="V104" s="27">
        <f>Test!I102</f>
        <v>0</v>
      </c>
      <c r="W104" s="14">
        <f t="shared" si="16"/>
        <v>0</v>
      </c>
      <c r="X104" s="14">
        <f t="shared" si="17"/>
        <v>0</v>
      </c>
      <c r="Y104" s="14">
        <f t="shared" si="13"/>
        <v>0</v>
      </c>
      <c r="Z104" s="22">
        <f t="shared" si="13"/>
        <v>0</v>
      </c>
      <c r="AA104" s="39"/>
      <c r="AB104" s="40"/>
      <c r="AC104" s="41"/>
      <c r="AD104" s="41"/>
      <c r="AE104" s="40"/>
      <c r="AF104" s="41"/>
      <c r="AG104" s="42"/>
    </row>
    <row r="105" spans="1:33" x14ac:dyDescent="0.2">
      <c r="A105" s="12"/>
      <c r="B105" s="12"/>
      <c r="C105" s="12">
        <v>32</v>
      </c>
      <c r="D105" s="13">
        <f>Reference!B103</f>
        <v>166.0016</v>
      </c>
      <c r="E105" s="14">
        <f>Reference!C103</f>
        <v>44.932099999999998</v>
      </c>
      <c r="F105" s="14">
        <f>Reference!D103</f>
        <v>48.900199999999998</v>
      </c>
      <c r="G105" s="14">
        <f>Reference!E103</f>
        <v>50.850900000000003</v>
      </c>
      <c r="H105" s="14">
        <f>Reference!F103</f>
        <v>6084</v>
      </c>
      <c r="I105" s="14">
        <f>Reference!G103</f>
        <v>7.6059999999999999</v>
      </c>
      <c r="J105" s="14">
        <f t="shared" si="14"/>
        <v>1.69</v>
      </c>
      <c r="K105" s="26">
        <f>Reference!H103</f>
        <v>1991772</v>
      </c>
      <c r="L105" s="27">
        <f>Reference!I103</f>
        <v>341856</v>
      </c>
      <c r="N105" s="13">
        <f>Test!B103</f>
        <v>0</v>
      </c>
      <c r="O105" s="14">
        <f>Test!C103</f>
        <v>0</v>
      </c>
      <c r="P105" s="14">
        <f>Test!D103</f>
        <v>0</v>
      </c>
      <c r="Q105" s="14">
        <f>Test!E103</f>
        <v>0</v>
      </c>
      <c r="R105" s="14">
        <f>Test!F103</f>
        <v>0</v>
      </c>
      <c r="S105" s="14">
        <f>Test!G103</f>
        <v>0</v>
      </c>
      <c r="T105" s="14">
        <f t="shared" si="15"/>
        <v>0</v>
      </c>
      <c r="U105" s="26">
        <f>Test!H103</f>
        <v>0</v>
      </c>
      <c r="V105" s="27">
        <f>Test!I103</f>
        <v>0</v>
      </c>
      <c r="W105" s="14">
        <f t="shared" si="16"/>
        <v>0</v>
      </c>
      <c r="X105" s="14">
        <f t="shared" si="17"/>
        <v>0</v>
      </c>
      <c r="Y105" s="14">
        <f t="shared" si="13"/>
        <v>0</v>
      </c>
      <c r="Z105" s="22">
        <f t="shared" si="13"/>
        <v>0</v>
      </c>
      <c r="AA105" s="39"/>
      <c r="AB105" s="40"/>
      <c r="AC105" s="41"/>
      <c r="AD105" s="41"/>
      <c r="AE105" s="40"/>
      <c r="AF105" s="41"/>
      <c r="AG105" s="42"/>
    </row>
    <row r="106" spans="1:33" ht="12.75" customHeight="1" x14ac:dyDescent="0.2">
      <c r="A106" s="15"/>
      <c r="B106" s="15"/>
      <c r="C106" s="15">
        <v>37</v>
      </c>
      <c r="D106" s="16">
        <f>Reference!B104</f>
        <v>107.4873</v>
      </c>
      <c r="E106" s="17">
        <f>Reference!C104</f>
        <v>41.363700000000001</v>
      </c>
      <c r="F106" s="17">
        <f>Reference!D104</f>
        <v>47.0717</v>
      </c>
      <c r="G106" s="17">
        <f>Reference!E104</f>
        <v>49.024999999999999</v>
      </c>
      <c r="H106" s="17">
        <f>Reference!F104</f>
        <v>5014</v>
      </c>
      <c r="I106" s="17">
        <f>Reference!G104</f>
        <v>7.6059999999999999</v>
      </c>
      <c r="J106" s="17">
        <f t="shared" si="14"/>
        <v>1.3927777777777777</v>
      </c>
      <c r="K106" s="26">
        <f>Reference!H104</f>
        <v>1989024</v>
      </c>
      <c r="L106" s="27">
        <f>Reference!I104</f>
        <v>339424</v>
      </c>
      <c r="N106" s="16">
        <f>Test!B104</f>
        <v>0</v>
      </c>
      <c r="O106" s="17">
        <f>Test!C104</f>
        <v>0</v>
      </c>
      <c r="P106" s="17">
        <f>Test!D104</f>
        <v>0</v>
      </c>
      <c r="Q106" s="17">
        <f>Test!E104</f>
        <v>0</v>
      </c>
      <c r="R106" s="17">
        <f>Test!F104</f>
        <v>0</v>
      </c>
      <c r="S106" s="17">
        <f>Test!G104</f>
        <v>0</v>
      </c>
      <c r="T106" s="17">
        <f t="shared" si="15"/>
        <v>0</v>
      </c>
      <c r="U106" s="26">
        <f>Test!H104</f>
        <v>0</v>
      </c>
      <c r="V106" s="27">
        <f>Test!I104</f>
        <v>0</v>
      </c>
      <c r="W106" s="17">
        <f t="shared" si="16"/>
        <v>0</v>
      </c>
      <c r="X106" s="17">
        <f t="shared" si="17"/>
        <v>0</v>
      </c>
      <c r="Y106" s="17">
        <f t="shared" si="13"/>
        <v>0</v>
      </c>
      <c r="Z106" s="23">
        <f t="shared" si="13"/>
        <v>0</v>
      </c>
      <c r="AA106" s="48"/>
      <c r="AB106" s="43"/>
      <c r="AC106" s="44"/>
      <c r="AD106" s="44"/>
      <c r="AE106" s="43"/>
      <c r="AF106" s="44"/>
      <c r="AG106" s="45"/>
    </row>
    <row r="107" spans="1:33" x14ac:dyDescent="0.2">
      <c r="A107" s="9" t="s">
        <v>29</v>
      </c>
      <c r="B107" s="9" t="s">
        <v>117</v>
      </c>
      <c r="C107" s="9">
        <v>22</v>
      </c>
      <c r="D107" s="10">
        <f>Reference!B105</f>
        <v>5444.8325999999997</v>
      </c>
      <c r="E107" s="11">
        <f>Reference!C105</f>
        <v>50.217300000000002</v>
      </c>
      <c r="F107" s="11">
        <f>Reference!D105</f>
        <v>49.465299999999999</v>
      </c>
      <c r="G107" s="11">
        <f>Reference!E105</f>
        <v>49.6173</v>
      </c>
      <c r="H107" s="11">
        <f>Reference!F105</f>
        <v>23606</v>
      </c>
      <c r="I107" s="11">
        <f>Reference!G105</f>
        <v>17.638999999999999</v>
      </c>
      <c r="J107" s="11">
        <f t="shared" si="14"/>
        <v>6.5572222222222223</v>
      </c>
      <c r="K107" s="24">
        <f>Reference!H105</f>
        <v>3179492</v>
      </c>
      <c r="L107" s="25">
        <f>Reference!I105</f>
        <v>548584</v>
      </c>
      <c r="N107" s="10">
        <f>Test!B105</f>
        <v>0</v>
      </c>
      <c r="O107" s="11">
        <f>Test!C105</f>
        <v>0</v>
      </c>
      <c r="P107" s="11">
        <f>Test!D105</f>
        <v>0</v>
      </c>
      <c r="Q107" s="11">
        <f>Test!E105</f>
        <v>0</v>
      </c>
      <c r="R107" s="11">
        <f>Test!F105</f>
        <v>0</v>
      </c>
      <c r="S107" s="11">
        <f>Test!G105</f>
        <v>0</v>
      </c>
      <c r="T107" s="11">
        <f t="shared" si="15"/>
        <v>0</v>
      </c>
      <c r="U107" s="24">
        <f>Test!H105</f>
        <v>0</v>
      </c>
      <c r="V107" s="25">
        <f>Test!I105</f>
        <v>0</v>
      </c>
      <c r="W107" s="11">
        <f t="shared" si="16"/>
        <v>0</v>
      </c>
      <c r="X107" s="11">
        <f t="shared" si="17"/>
        <v>0</v>
      </c>
      <c r="Y107" s="11">
        <f t="shared" si="13"/>
        <v>0</v>
      </c>
      <c r="Z107" s="21">
        <f t="shared" si="13"/>
        <v>0</v>
      </c>
      <c r="AA107" s="35"/>
      <c r="AB107" s="36" t="e">
        <f>bdrate($D107:$D110,E107:E110,$N107:$N110,O107:O110)</f>
        <v>#VALUE!</v>
      </c>
      <c r="AC107" s="37" t="e">
        <f>bdrate($D107:$D110,F107:F110,$N107:$N110,P107:P110)</f>
        <v>#VALUE!</v>
      </c>
      <c r="AD107" s="38" t="e">
        <f>bdrate($D107:$D110,G107:G110,$N107:$N110,Q107:Q110)</f>
        <v>#VALUE!</v>
      </c>
      <c r="AE107" s="36" t="e">
        <f>bdrateOld($D107:$D110,E107:E110,$N107:$N110,O107:O110)</f>
        <v>#VALUE!</v>
      </c>
      <c r="AF107" s="37" t="e">
        <f>bdrateOld($D107:$D110,F107:F110,$N107:$N110,P107:P110)</f>
        <v>#VALUE!</v>
      </c>
      <c r="AG107" s="38" t="e">
        <f>bdrateOld($D107:$D110,G107:G110,$N107:$N110,Q107:Q110)</f>
        <v>#VALUE!</v>
      </c>
    </row>
    <row r="108" spans="1:33" x14ac:dyDescent="0.2">
      <c r="A108" s="12"/>
      <c r="C108" s="12">
        <v>27</v>
      </c>
      <c r="D108" s="13">
        <f>Reference!B106</f>
        <v>4074.9079000000002</v>
      </c>
      <c r="E108" s="14">
        <f>Reference!C106</f>
        <v>45.501899999999999</v>
      </c>
      <c r="F108" s="14">
        <f>Reference!D106</f>
        <v>45.249400000000001</v>
      </c>
      <c r="G108" s="14">
        <f>Reference!E106</f>
        <v>45.591500000000003</v>
      </c>
      <c r="H108" s="14">
        <f>Reference!F106</f>
        <v>22124</v>
      </c>
      <c r="I108" s="14">
        <f>Reference!G106</f>
        <v>15.736000000000001</v>
      </c>
      <c r="J108" s="14">
        <f t="shared" si="14"/>
        <v>6.1455555555555552</v>
      </c>
      <c r="K108" s="26">
        <f>Reference!H106</f>
        <v>3177412</v>
      </c>
      <c r="L108" s="27">
        <f>Reference!I106</f>
        <v>526532</v>
      </c>
      <c r="N108" s="13">
        <f>Test!B106</f>
        <v>0</v>
      </c>
      <c r="O108" s="14">
        <f>Test!C106</f>
        <v>0</v>
      </c>
      <c r="P108" s="14">
        <f>Test!D106</f>
        <v>0</v>
      </c>
      <c r="Q108" s="14">
        <f>Test!E106</f>
        <v>0</v>
      </c>
      <c r="R108" s="14">
        <f>Test!F106</f>
        <v>0</v>
      </c>
      <c r="S108" s="14">
        <f>Test!G106</f>
        <v>0</v>
      </c>
      <c r="T108" s="14">
        <f t="shared" si="15"/>
        <v>0</v>
      </c>
      <c r="U108" s="26">
        <f>Test!H106</f>
        <v>0</v>
      </c>
      <c r="V108" s="27">
        <f>Test!I106</f>
        <v>0</v>
      </c>
      <c r="W108" s="14">
        <f t="shared" si="16"/>
        <v>0</v>
      </c>
      <c r="X108" s="14">
        <f t="shared" si="17"/>
        <v>0</v>
      </c>
      <c r="Y108" s="14">
        <f t="shared" si="13"/>
        <v>0</v>
      </c>
      <c r="Z108" s="22">
        <f t="shared" si="13"/>
        <v>0</v>
      </c>
      <c r="AA108" s="39"/>
      <c r="AB108" s="40"/>
      <c r="AC108" s="41"/>
      <c r="AD108" s="42"/>
      <c r="AE108" s="40"/>
      <c r="AF108" s="41"/>
      <c r="AG108" s="42"/>
    </row>
    <row r="109" spans="1:33" x14ac:dyDescent="0.2">
      <c r="A109" s="12"/>
      <c r="B109" s="12"/>
      <c r="C109" s="12">
        <v>32</v>
      </c>
      <c r="D109" s="13">
        <f>Reference!B107</f>
        <v>2970.3836999999999</v>
      </c>
      <c r="E109" s="14">
        <f>Reference!C107</f>
        <v>40.9148</v>
      </c>
      <c r="F109" s="14">
        <f>Reference!D107</f>
        <v>41.0047</v>
      </c>
      <c r="G109" s="14">
        <f>Reference!E107</f>
        <v>41.577500000000001</v>
      </c>
      <c r="H109" s="14">
        <f>Reference!F107</f>
        <v>20117</v>
      </c>
      <c r="I109" s="14">
        <f>Reference!G107</f>
        <v>14.151</v>
      </c>
      <c r="J109" s="14">
        <f t="shared" si="14"/>
        <v>5.588055555555556</v>
      </c>
      <c r="K109" s="26">
        <f>Reference!H107</f>
        <v>3173596</v>
      </c>
      <c r="L109" s="27">
        <f>Reference!I107</f>
        <v>508828</v>
      </c>
      <c r="N109" s="13">
        <f>Test!B107</f>
        <v>0</v>
      </c>
      <c r="O109" s="14">
        <f>Test!C107</f>
        <v>0</v>
      </c>
      <c r="P109" s="14">
        <f>Test!D107</f>
        <v>0</v>
      </c>
      <c r="Q109" s="14">
        <f>Test!E107</f>
        <v>0</v>
      </c>
      <c r="R109" s="14">
        <f>Test!F107</f>
        <v>0</v>
      </c>
      <c r="S109" s="14">
        <f>Test!G107</f>
        <v>0</v>
      </c>
      <c r="T109" s="14">
        <f t="shared" si="15"/>
        <v>0</v>
      </c>
      <c r="U109" s="26">
        <f>Test!H107</f>
        <v>0</v>
      </c>
      <c r="V109" s="27">
        <f>Test!I107</f>
        <v>0</v>
      </c>
      <c r="W109" s="14">
        <f t="shared" si="16"/>
        <v>0</v>
      </c>
      <c r="X109" s="14">
        <f t="shared" si="17"/>
        <v>0</v>
      </c>
      <c r="Y109" s="14">
        <f t="shared" si="13"/>
        <v>0</v>
      </c>
      <c r="Z109" s="22">
        <f t="shared" si="13"/>
        <v>0</v>
      </c>
      <c r="AA109" s="39"/>
      <c r="AB109" s="40"/>
      <c r="AC109" s="41"/>
      <c r="AD109" s="42"/>
      <c r="AE109" s="40"/>
      <c r="AF109" s="41"/>
      <c r="AG109" s="42"/>
    </row>
    <row r="110" spans="1:33" x14ac:dyDescent="0.2">
      <c r="A110" s="12"/>
      <c r="B110" s="15"/>
      <c r="C110" s="15">
        <v>37</v>
      </c>
      <c r="D110" s="16">
        <f>Reference!B108</f>
        <v>2193.3742000000002</v>
      </c>
      <c r="E110" s="17">
        <f>Reference!C108</f>
        <v>36.458199999999998</v>
      </c>
      <c r="F110" s="17">
        <f>Reference!D108</f>
        <v>38.298200000000001</v>
      </c>
      <c r="G110" s="17">
        <f>Reference!E108</f>
        <v>38.952399999999997</v>
      </c>
      <c r="H110" s="17">
        <f>Reference!F108</f>
        <v>19837</v>
      </c>
      <c r="I110" s="17">
        <f>Reference!G108</f>
        <v>14.57</v>
      </c>
      <c r="J110" s="17">
        <f t="shared" si="14"/>
        <v>5.5102777777777776</v>
      </c>
      <c r="K110" s="26">
        <f>Reference!H108</f>
        <v>3169496</v>
      </c>
      <c r="L110" s="27">
        <f>Reference!I108</f>
        <v>500496</v>
      </c>
      <c r="N110" s="16">
        <f>Test!B108</f>
        <v>0</v>
      </c>
      <c r="O110" s="17">
        <f>Test!C108</f>
        <v>0</v>
      </c>
      <c r="P110" s="17">
        <f>Test!D108</f>
        <v>0</v>
      </c>
      <c r="Q110" s="17">
        <f>Test!E108</f>
        <v>0</v>
      </c>
      <c r="R110" s="17">
        <f>Test!F108</f>
        <v>0</v>
      </c>
      <c r="S110" s="17">
        <f>Test!G108</f>
        <v>0</v>
      </c>
      <c r="T110" s="17">
        <f t="shared" si="15"/>
        <v>0</v>
      </c>
      <c r="U110" s="26">
        <f>Test!H108</f>
        <v>0</v>
      </c>
      <c r="V110" s="27">
        <f>Test!I108</f>
        <v>0</v>
      </c>
      <c r="W110" s="14">
        <f t="shared" si="16"/>
        <v>0</v>
      </c>
      <c r="X110" s="14">
        <f t="shared" si="17"/>
        <v>0</v>
      </c>
      <c r="Y110" s="14">
        <f t="shared" si="13"/>
        <v>0</v>
      </c>
      <c r="Z110" s="22">
        <f t="shared" si="13"/>
        <v>0</v>
      </c>
      <c r="AA110" s="39"/>
      <c r="AB110" s="43"/>
      <c r="AC110" s="44"/>
      <c r="AD110" s="45"/>
      <c r="AE110" s="43"/>
      <c r="AF110" s="44"/>
      <c r="AG110" s="45"/>
    </row>
    <row r="111" spans="1:33" x14ac:dyDescent="0.2">
      <c r="A111" s="12"/>
      <c r="B111" s="9" t="s">
        <v>118</v>
      </c>
      <c r="C111" s="9">
        <v>22</v>
      </c>
      <c r="D111" s="10">
        <f>Reference!B109</f>
        <v>3321.2840000000001</v>
      </c>
      <c r="E111" s="11">
        <f>Reference!C109</f>
        <v>53.728200000000001</v>
      </c>
      <c r="F111" s="11">
        <f>Reference!D109</f>
        <v>49.716799999999999</v>
      </c>
      <c r="G111" s="11">
        <f>Reference!E109</f>
        <v>49.737299999999998</v>
      </c>
      <c r="H111" s="11">
        <f>Reference!F109</f>
        <v>32463</v>
      </c>
      <c r="I111" s="11">
        <f>Reference!G109</f>
        <v>24.138000000000002</v>
      </c>
      <c r="J111" s="11">
        <f t="shared" si="14"/>
        <v>9.0175000000000001</v>
      </c>
      <c r="K111" s="24">
        <f>Reference!H109</f>
        <v>3146008</v>
      </c>
      <c r="L111" s="25">
        <f>Reference!I109</f>
        <v>507868</v>
      </c>
      <c r="N111" s="10">
        <f>Test!B109</f>
        <v>0</v>
      </c>
      <c r="O111" s="11">
        <f>Test!C109</f>
        <v>0</v>
      </c>
      <c r="P111" s="11">
        <f>Test!D109</f>
        <v>0</v>
      </c>
      <c r="Q111" s="11">
        <f>Test!E109</f>
        <v>0</v>
      </c>
      <c r="R111" s="11">
        <f>Test!F109</f>
        <v>0</v>
      </c>
      <c r="S111" s="11">
        <f>Test!G109</f>
        <v>0</v>
      </c>
      <c r="T111" s="11">
        <f t="shared" si="15"/>
        <v>0</v>
      </c>
      <c r="U111" s="24">
        <f>Test!H109</f>
        <v>0</v>
      </c>
      <c r="V111" s="25">
        <f>Test!I109</f>
        <v>0</v>
      </c>
      <c r="W111" s="14">
        <f t="shared" si="16"/>
        <v>0</v>
      </c>
      <c r="X111" s="14">
        <f t="shared" si="17"/>
        <v>0</v>
      </c>
      <c r="Y111" s="14">
        <f t="shared" si="13"/>
        <v>0</v>
      </c>
      <c r="Z111" s="22">
        <f t="shared" si="13"/>
        <v>0</v>
      </c>
      <c r="AA111" s="39"/>
      <c r="AB111" s="36" t="e">
        <f>bdrate($D111:$D114,E111:E114,$N111:$N114,O111:O114)</f>
        <v>#VALUE!</v>
      </c>
      <c r="AC111" s="37" t="e">
        <f>bdrate($D111:$D114,F111:F114,$N111:$N114,P111:P114)</f>
        <v>#VALUE!</v>
      </c>
      <c r="AD111" s="37" t="e">
        <f>bdrate($D111:$D114,G111:G114,$N111:$N114,Q111:Q114)</f>
        <v>#VALUE!</v>
      </c>
      <c r="AE111" s="46" t="e">
        <f>bdrateOld($D111:$D114,E111:E114,$N111:$N114,O111:O114)</f>
        <v>#VALUE!</v>
      </c>
      <c r="AF111" s="47" t="e">
        <f>bdrateOld($D111:$D114,F111:F114,$N111:$N114,P111:P114)</f>
        <v>#VALUE!</v>
      </c>
      <c r="AG111" s="49" t="e">
        <f>bdrateOld($D111:$D114,G111:G114,$N111:$N114,Q111:Q114)</f>
        <v>#VALUE!</v>
      </c>
    </row>
    <row r="112" spans="1:33" x14ac:dyDescent="0.2">
      <c r="A112" s="12"/>
      <c r="B112" s="12"/>
      <c r="C112" s="12">
        <v>27</v>
      </c>
      <c r="D112" s="13">
        <f>Reference!B110</f>
        <v>2733.5151999999998</v>
      </c>
      <c r="E112" s="14">
        <f>Reference!C110</f>
        <v>48.902000000000001</v>
      </c>
      <c r="F112" s="14">
        <f>Reference!D110</f>
        <v>46.772599999999997</v>
      </c>
      <c r="G112" s="14">
        <f>Reference!E110</f>
        <v>46.600900000000003</v>
      </c>
      <c r="H112" s="14">
        <f>Reference!F110</f>
        <v>32301</v>
      </c>
      <c r="I112" s="14">
        <f>Reference!G110</f>
        <v>22.085000000000001</v>
      </c>
      <c r="J112" s="14">
        <f t="shared" si="14"/>
        <v>8.9725000000000001</v>
      </c>
      <c r="K112" s="26">
        <f>Reference!H110</f>
        <v>3142896</v>
      </c>
      <c r="L112" s="27">
        <f>Reference!I110</f>
        <v>484148</v>
      </c>
      <c r="N112" s="13">
        <f>Test!B110</f>
        <v>0</v>
      </c>
      <c r="O112" s="14">
        <f>Test!C110</f>
        <v>0</v>
      </c>
      <c r="P112" s="14">
        <f>Test!D110</f>
        <v>0</v>
      </c>
      <c r="Q112" s="14">
        <f>Test!E110</f>
        <v>0</v>
      </c>
      <c r="R112" s="14">
        <f>Test!F110</f>
        <v>0</v>
      </c>
      <c r="S112" s="14">
        <f>Test!G110</f>
        <v>0</v>
      </c>
      <c r="T112" s="14">
        <f t="shared" si="15"/>
        <v>0</v>
      </c>
      <c r="U112" s="26">
        <f>Test!H110</f>
        <v>0</v>
      </c>
      <c r="V112" s="27">
        <f>Test!I110</f>
        <v>0</v>
      </c>
      <c r="W112" s="14">
        <f t="shared" si="16"/>
        <v>0</v>
      </c>
      <c r="X112" s="14">
        <f t="shared" si="17"/>
        <v>0</v>
      </c>
      <c r="Y112" s="14">
        <f t="shared" si="13"/>
        <v>0</v>
      </c>
      <c r="Z112" s="22">
        <f t="shared" si="13"/>
        <v>0</v>
      </c>
      <c r="AA112" s="39"/>
      <c r="AB112" s="40"/>
      <c r="AC112" s="41"/>
      <c r="AD112" s="41"/>
      <c r="AE112" s="40"/>
      <c r="AF112" s="41"/>
      <c r="AG112" s="42"/>
    </row>
    <row r="113" spans="1:33" ht="12.75" customHeight="1" x14ac:dyDescent="0.2">
      <c r="A113" s="12"/>
      <c r="B113" s="12"/>
      <c r="C113" s="12">
        <v>32</v>
      </c>
      <c r="D113" s="13">
        <f>Reference!B111</f>
        <v>2270.5328</v>
      </c>
      <c r="E113" s="14">
        <f>Reference!C111</f>
        <v>43.959800000000001</v>
      </c>
      <c r="F113" s="14">
        <f>Reference!D111</f>
        <v>43.648200000000003</v>
      </c>
      <c r="G113" s="14">
        <f>Reference!E111</f>
        <v>43.175800000000002</v>
      </c>
      <c r="H113" s="14">
        <f>Reference!F111</f>
        <v>28914</v>
      </c>
      <c r="I113" s="14">
        <f>Reference!G111</f>
        <v>19.907</v>
      </c>
      <c r="J113" s="14">
        <f t="shared" si="14"/>
        <v>8.0316666666666663</v>
      </c>
      <c r="K113" s="26">
        <f>Reference!H111</f>
        <v>3139484</v>
      </c>
      <c r="L113" s="27">
        <f>Reference!I111</f>
        <v>475860</v>
      </c>
      <c r="N113" s="13">
        <f>Test!B111</f>
        <v>0</v>
      </c>
      <c r="O113" s="14">
        <f>Test!C111</f>
        <v>0</v>
      </c>
      <c r="P113" s="14">
        <f>Test!D111</f>
        <v>0</v>
      </c>
      <c r="Q113" s="14">
        <f>Test!E111</f>
        <v>0</v>
      </c>
      <c r="R113" s="14">
        <f>Test!F111</f>
        <v>0</v>
      </c>
      <c r="S113" s="14">
        <f>Test!G111</f>
        <v>0</v>
      </c>
      <c r="T113" s="14">
        <f t="shared" si="15"/>
        <v>0</v>
      </c>
      <c r="U113" s="26">
        <f>Test!H111</f>
        <v>0</v>
      </c>
      <c r="V113" s="27">
        <f>Test!I111</f>
        <v>0</v>
      </c>
      <c r="W113" s="14">
        <f t="shared" si="16"/>
        <v>0</v>
      </c>
      <c r="X113" s="14">
        <f t="shared" si="17"/>
        <v>0</v>
      </c>
      <c r="Y113" s="14">
        <f>U113/K113</f>
        <v>0</v>
      </c>
      <c r="Z113" s="22">
        <f>V113/L113</f>
        <v>0</v>
      </c>
      <c r="AA113" s="39"/>
      <c r="AB113" s="40"/>
      <c r="AC113" s="41"/>
      <c r="AD113" s="41"/>
      <c r="AE113" s="40"/>
      <c r="AF113" s="41"/>
      <c r="AG113" s="42"/>
    </row>
    <row r="114" spans="1:33" ht="12.75" customHeight="1" x14ac:dyDescent="0.2">
      <c r="A114" s="12"/>
      <c r="B114" s="15"/>
      <c r="C114" s="15">
        <v>37</v>
      </c>
      <c r="D114" s="16">
        <f>Reference!B112</f>
        <v>1895.6143999999999</v>
      </c>
      <c r="E114" s="17">
        <f>Reference!C112</f>
        <v>38.402200000000001</v>
      </c>
      <c r="F114" s="17">
        <f>Reference!D112</f>
        <v>41.334600000000002</v>
      </c>
      <c r="G114" s="17">
        <f>Reference!E112</f>
        <v>41.003900000000002</v>
      </c>
      <c r="H114" s="17">
        <f>Reference!F112</f>
        <v>27581</v>
      </c>
      <c r="I114" s="17">
        <f>Reference!G112</f>
        <v>19.111000000000001</v>
      </c>
      <c r="J114" s="17">
        <f t="shared" si="14"/>
        <v>7.6613888888888892</v>
      </c>
      <c r="K114" s="26">
        <f>Reference!H112</f>
        <v>3139584</v>
      </c>
      <c r="L114" s="27">
        <f>Reference!I112</f>
        <v>470548</v>
      </c>
      <c r="N114" s="16">
        <f>Test!B112</f>
        <v>0</v>
      </c>
      <c r="O114" s="17">
        <f>Test!C112</f>
        <v>0</v>
      </c>
      <c r="P114" s="17">
        <f>Test!D112</f>
        <v>0</v>
      </c>
      <c r="Q114" s="17">
        <f>Test!E112</f>
        <v>0</v>
      </c>
      <c r="R114" s="17">
        <f>Test!F112</f>
        <v>0</v>
      </c>
      <c r="S114" s="17">
        <f>Test!G112</f>
        <v>0</v>
      </c>
      <c r="T114" s="17">
        <f t="shared" si="15"/>
        <v>0</v>
      </c>
      <c r="U114" s="26">
        <f>Test!H112</f>
        <v>0</v>
      </c>
      <c r="V114" s="27">
        <f>Test!I112</f>
        <v>0</v>
      </c>
      <c r="W114" s="14">
        <f t="shared" si="16"/>
        <v>0</v>
      </c>
      <c r="X114" s="14">
        <f t="shared" si="17"/>
        <v>0</v>
      </c>
      <c r="Y114" s="14">
        <f t="shared" si="13"/>
        <v>0</v>
      </c>
      <c r="Z114" s="22">
        <f t="shared" si="13"/>
        <v>0</v>
      </c>
      <c r="AA114" s="39"/>
      <c r="AB114" s="43"/>
      <c r="AC114" s="44"/>
      <c r="AD114" s="44"/>
      <c r="AE114" s="43"/>
      <c r="AF114" s="44"/>
      <c r="AG114" s="45"/>
    </row>
    <row r="115" spans="1:33" x14ac:dyDescent="0.2">
      <c r="A115" s="12"/>
      <c r="B115" s="9" t="s">
        <v>119</v>
      </c>
      <c r="C115" s="9">
        <v>22</v>
      </c>
      <c r="D115" s="10">
        <f>Reference!B113</f>
        <v>2993.7031999999999</v>
      </c>
      <c r="E115" s="11">
        <f>Reference!C113</f>
        <v>56.6126</v>
      </c>
      <c r="F115" s="11">
        <f>Reference!D113</f>
        <v>54.106400000000001</v>
      </c>
      <c r="G115" s="11">
        <f>Reference!E113</f>
        <v>52.928800000000003</v>
      </c>
      <c r="H115" s="11">
        <f>Reference!F113</f>
        <v>23278</v>
      </c>
      <c r="I115" s="11">
        <f>Reference!G113</f>
        <v>21.669</v>
      </c>
      <c r="J115" s="11">
        <f t="shared" si="14"/>
        <v>6.4661111111111111</v>
      </c>
      <c r="K115" s="24">
        <f>Reference!H113</f>
        <v>3142176</v>
      </c>
      <c r="L115" s="25">
        <f>Reference!I113</f>
        <v>527660</v>
      </c>
      <c r="N115" s="10">
        <f>Test!B113</f>
        <v>0</v>
      </c>
      <c r="O115" s="11">
        <f>Test!C113</f>
        <v>0</v>
      </c>
      <c r="P115" s="11">
        <f>Test!D113</f>
        <v>0</v>
      </c>
      <c r="Q115" s="11">
        <f>Test!E113</f>
        <v>0</v>
      </c>
      <c r="R115" s="11">
        <f>Test!F113</f>
        <v>0</v>
      </c>
      <c r="S115" s="11">
        <f>Test!G113</f>
        <v>0</v>
      </c>
      <c r="T115" s="11">
        <f t="shared" si="15"/>
        <v>0</v>
      </c>
      <c r="U115" s="24">
        <f>Test!H113</f>
        <v>0</v>
      </c>
      <c r="V115" s="25">
        <f>Test!I113</f>
        <v>0</v>
      </c>
      <c r="W115" s="14">
        <f t="shared" si="16"/>
        <v>0</v>
      </c>
      <c r="X115" s="14">
        <f t="shared" si="17"/>
        <v>0</v>
      </c>
      <c r="Y115" s="14">
        <f t="shared" si="13"/>
        <v>0</v>
      </c>
      <c r="Z115" s="22">
        <f t="shared" si="13"/>
        <v>0</v>
      </c>
      <c r="AA115" s="39"/>
      <c r="AB115" s="36" t="e">
        <f>bdrate($D115:$D118,E115:E118,$N115:$N118,O115:O118)</f>
        <v>#VALUE!</v>
      </c>
      <c r="AC115" s="37" t="e">
        <f>bdrate($D115:$D118,F115:F118,$N115:$N118,P115:P118)</f>
        <v>#VALUE!</v>
      </c>
      <c r="AD115" s="37" t="e">
        <f>bdrate($D115:$D118,G115:G118,$N115:$N118,Q115:Q118)</f>
        <v>#VALUE!</v>
      </c>
      <c r="AE115" s="46" t="e">
        <f>bdrateOld($D115:$D118,E115:E118,$N115:$N118,O115:O118)</f>
        <v>#VALUE!</v>
      </c>
      <c r="AF115" s="47" t="e">
        <f>bdrateOld($D115:$D118,F115:F118,$N115:$N118,P115:P118)</f>
        <v>#VALUE!</v>
      </c>
      <c r="AG115" s="49" t="e">
        <f>bdrateOld($D115:$D118,G115:G118,$N115:$N118,Q115:Q118)</f>
        <v>#VALUE!</v>
      </c>
    </row>
    <row r="116" spans="1:33" x14ac:dyDescent="0.2">
      <c r="A116" s="12"/>
      <c r="B116" s="12"/>
      <c r="C116" s="12">
        <v>27</v>
      </c>
      <c r="D116" s="13">
        <f>Reference!B114</f>
        <v>2317.8312000000001</v>
      </c>
      <c r="E116" s="14">
        <f>Reference!C114</f>
        <v>50.451700000000002</v>
      </c>
      <c r="F116" s="14">
        <f>Reference!D114</f>
        <v>48.473100000000002</v>
      </c>
      <c r="G116" s="14">
        <f>Reference!E114</f>
        <v>46.520299999999999</v>
      </c>
      <c r="H116" s="14">
        <f>Reference!F114</f>
        <v>23050</v>
      </c>
      <c r="I116" s="14">
        <f>Reference!G114</f>
        <v>21.231000000000002</v>
      </c>
      <c r="J116" s="14">
        <f t="shared" si="14"/>
        <v>6.4027777777777777</v>
      </c>
      <c r="K116" s="26">
        <f>Reference!H114</f>
        <v>3142572</v>
      </c>
      <c r="L116" s="27">
        <f>Reference!I114</f>
        <v>527336</v>
      </c>
      <c r="N116" s="13">
        <f>Test!B114</f>
        <v>0</v>
      </c>
      <c r="O116" s="14">
        <f>Test!C114</f>
        <v>0</v>
      </c>
      <c r="P116" s="14">
        <f>Test!D114</f>
        <v>0</v>
      </c>
      <c r="Q116" s="14">
        <f>Test!E114</f>
        <v>0</v>
      </c>
      <c r="R116" s="14">
        <f>Test!F114</f>
        <v>0</v>
      </c>
      <c r="S116" s="14">
        <f>Test!G114</f>
        <v>0</v>
      </c>
      <c r="T116" s="14">
        <f t="shared" si="15"/>
        <v>0</v>
      </c>
      <c r="U116" s="26">
        <f>Test!H114</f>
        <v>0</v>
      </c>
      <c r="V116" s="27">
        <f>Test!I114</f>
        <v>0</v>
      </c>
      <c r="W116" s="14">
        <f t="shared" si="16"/>
        <v>0</v>
      </c>
      <c r="X116" s="14">
        <f t="shared" si="17"/>
        <v>0</v>
      </c>
      <c r="Y116" s="14">
        <f t="shared" si="13"/>
        <v>0</v>
      </c>
      <c r="Z116" s="22">
        <f t="shared" si="13"/>
        <v>0</v>
      </c>
      <c r="AA116" s="39"/>
      <c r="AB116" s="40"/>
      <c r="AC116" s="41"/>
      <c r="AD116" s="41"/>
      <c r="AE116" s="40"/>
      <c r="AF116" s="41"/>
      <c r="AG116" s="42"/>
    </row>
    <row r="117" spans="1:33" x14ac:dyDescent="0.2">
      <c r="A117" s="12"/>
      <c r="B117" s="12"/>
      <c r="C117" s="12">
        <v>32</v>
      </c>
      <c r="D117" s="13">
        <f>Reference!B115</f>
        <v>1771.3696</v>
      </c>
      <c r="E117" s="14">
        <f>Reference!C115</f>
        <v>45.040100000000002</v>
      </c>
      <c r="F117" s="14">
        <f>Reference!D115</f>
        <v>43.939399999999999</v>
      </c>
      <c r="G117" s="14">
        <f>Reference!E115</f>
        <v>41.331200000000003</v>
      </c>
      <c r="H117" s="14">
        <f>Reference!F115</f>
        <v>22955</v>
      </c>
      <c r="I117" s="14">
        <f>Reference!G115</f>
        <v>21.201000000000001</v>
      </c>
      <c r="J117" s="14">
        <f t="shared" si="14"/>
        <v>6.3763888888888891</v>
      </c>
      <c r="K117" s="26">
        <f>Reference!H115</f>
        <v>3143672</v>
      </c>
      <c r="L117" s="27">
        <f>Reference!I115</f>
        <v>512900</v>
      </c>
      <c r="N117" s="13">
        <f>Test!B115</f>
        <v>0</v>
      </c>
      <c r="O117" s="14">
        <f>Test!C115</f>
        <v>0</v>
      </c>
      <c r="P117" s="14">
        <f>Test!D115</f>
        <v>0</v>
      </c>
      <c r="Q117" s="14">
        <f>Test!E115</f>
        <v>0</v>
      </c>
      <c r="R117" s="14">
        <f>Test!F115</f>
        <v>0</v>
      </c>
      <c r="S117" s="14">
        <f>Test!G115</f>
        <v>0</v>
      </c>
      <c r="T117" s="14">
        <f t="shared" si="15"/>
        <v>0</v>
      </c>
      <c r="U117" s="26">
        <f>Test!H115</f>
        <v>0</v>
      </c>
      <c r="V117" s="27">
        <f>Test!I115</f>
        <v>0</v>
      </c>
      <c r="W117" s="14">
        <f t="shared" si="16"/>
        <v>0</v>
      </c>
      <c r="X117" s="14">
        <f t="shared" si="17"/>
        <v>0</v>
      </c>
      <c r="Y117" s="14">
        <f t="shared" si="13"/>
        <v>0</v>
      </c>
      <c r="Z117" s="22">
        <f t="shared" si="13"/>
        <v>0</v>
      </c>
      <c r="AA117" s="39"/>
      <c r="AB117" s="40"/>
      <c r="AC117" s="41"/>
      <c r="AD117" s="41"/>
      <c r="AE117" s="40"/>
      <c r="AF117" s="41"/>
      <c r="AG117" s="42"/>
    </row>
    <row r="118" spans="1:33" x14ac:dyDescent="0.2">
      <c r="A118" s="12"/>
      <c r="B118" s="15"/>
      <c r="C118" s="15">
        <v>37</v>
      </c>
      <c r="D118" s="16">
        <f>Reference!B116</f>
        <v>1356.7719999999999</v>
      </c>
      <c r="E118" s="17">
        <f>Reference!C116</f>
        <v>39.5991</v>
      </c>
      <c r="F118" s="17">
        <f>Reference!D116</f>
        <v>41.349400000000003</v>
      </c>
      <c r="G118" s="17">
        <f>Reference!E116</f>
        <v>38.576099999999997</v>
      </c>
      <c r="H118" s="17">
        <f>Reference!F116</f>
        <v>21319</v>
      </c>
      <c r="I118" s="17">
        <f>Reference!G116</f>
        <v>21.042999999999999</v>
      </c>
      <c r="J118" s="17">
        <f t="shared" si="14"/>
        <v>5.9219444444444447</v>
      </c>
      <c r="K118" s="26">
        <f>Reference!H116</f>
        <v>3140916</v>
      </c>
      <c r="L118" s="27">
        <f>Reference!I116</f>
        <v>503724</v>
      </c>
      <c r="N118" s="16">
        <f>Test!B116</f>
        <v>0</v>
      </c>
      <c r="O118" s="17">
        <f>Test!C116</f>
        <v>0</v>
      </c>
      <c r="P118" s="17">
        <f>Test!D116</f>
        <v>0</v>
      </c>
      <c r="Q118" s="17">
        <f>Test!E116</f>
        <v>0</v>
      </c>
      <c r="R118" s="17">
        <f>Test!F116</f>
        <v>0</v>
      </c>
      <c r="S118" s="17">
        <f>Test!G116</f>
        <v>0</v>
      </c>
      <c r="T118" s="17">
        <f t="shared" si="15"/>
        <v>0</v>
      </c>
      <c r="U118" s="26">
        <f>Test!H116</f>
        <v>0</v>
      </c>
      <c r="V118" s="27">
        <f>Test!I116</f>
        <v>0</v>
      </c>
      <c r="W118" s="14">
        <f t="shared" si="16"/>
        <v>0</v>
      </c>
      <c r="X118" s="14">
        <f t="shared" si="17"/>
        <v>0</v>
      </c>
      <c r="Y118" s="14">
        <f t="shared" si="13"/>
        <v>0</v>
      </c>
      <c r="Z118" s="22">
        <f t="shared" si="13"/>
        <v>0</v>
      </c>
      <c r="AA118" s="39"/>
      <c r="AB118" s="43"/>
      <c r="AC118" s="44"/>
      <c r="AD118" s="44"/>
      <c r="AE118" s="43"/>
      <c r="AF118" s="44"/>
      <c r="AG118" s="45"/>
    </row>
    <row r="119" spans="1:33" x14ac:dyDescent="0.2">
      <c r="A119" s="12"/>
      <c r="B119" s="9" t="s">
        <v>120</v>
      </c>
      <c r="C119" s="9">
        <v>22</v>
      </c>
      <c r="D119" s="10">
        <f>Reference!B117</f>
        <v>10203.148800000001</v>
      </c>
      <c r="E119" s="11">
        <f>Reference!C117</f>
        <v>49.167299999999997</v>
      </c>
      <c r="F119" s="11">
        <f>Reference!D117</f>
        <v>48.459499999999998</v>
      </c>
      <c r="G119" s="11">
        <f>Reference!E117</f>
        <v>48.707299999999996</v>
      </c>
      <c r="H119" s="11">
        <f>Reference!F117</f>
        <v>60453</v>
      </c>
      <c r="I119" s="11">
        <f>Reference!G117</f>
        <v>32.89</v>
      </c>
      <c r="J119" s="11">
        <f t="shared" si="14"/>
        <v>16.7925</v>
      </c>
      <c r="K119" s="24">
        <f>Reference!H117</f>
        <v>3217696</v>
      </c>
      <c r="L119" s="25">
        <f>Reference!I117</f>
        <v>530528</v>
      </c>
      <c r="N119" s="10">
        <f>Test!B117</f>
        <v>0</v>
      </c>
      <c r="O119" s="11">
        <f>Test!C117</f>
        <v>0</v>
      </c>
      <c r="P119" s="11">
        <f>Test!D117</f>
        <v>0</v>
      </c>
      <c r="Q119" s="11">
        <f>Test!E117</f>
        <v>0</v>
      </c>
      <c r="R119" s="11">
        <f>Test!F117</f>
        <v>0</v>
      </c>
      <c r="S119" s="11">
        <f>Test!G117</f>
        <v>0</v>
      </c>
      <c r="T119" s="11">
        <f t="shared" si="15"/>
        <v>0</v>
      </c>
      <c r="U119" s="24">
        <f>Test!H117</f>
        <v>0</v>
      </c>
      <c r="V119" s="25">
        <f>Test!I117</f>
        <v>0</v>
      </c>
      <c r="W119" s="14">
        <f t="shared" si="16"/>
        <v>0</v>
      </c>
      <c r="X119" s="14">
        <f t="shared" si="17"/>
        <v>0</v>
      </c>
      <c r="Y119" s="14">
        <f t="shared" si="13"/>
        <v>0</v>
      </c>
      <c r="Z119" s="22">
        <f t="shared" si="13"/>
        <v>0</v>
      </c>
      <c r="AA119" s="39"/>
      <c r="AB119" s="36" t="e">
        <f>bdrate($D119:$D122,E119:E122,$N119:$N122,O119:O122)</f>
        <v>#VALUE!</v>
      </c>
      <c r="AC119" s="37" t="e">
        <f>bdrate($D119:$D122,F119:F122,$N119:$N122,P119:P122)</f>
        <v>#VALUE!</v>
      </c>
      <c r="AD119" s="37" t="e">
        <f>bdrate($D119:$D122,G119:G122,$N119:$N122,Q119:Q122)</f>
        <v>#VALUE!</v>
      </c>
      <c r="AE119" s="46" t="e">
        <f>bdrateOld($D119:$D122,E119:E122,$N119:$N122,O119:O122)</f>
        <v>#VALUE!</v>
      </c>
      <c r="AF119" s="47" t="e">
        <f>bdrateOld($D119:$D122,F119:F122,$N119:$N122,P119:P122)</f>
        <v>#VALUE!</v>
      </c>
      <c r="AG119" s="49" t="e">
        <f>bdrateOld($D119:$D122,G119:G122,$N119:$N122,Q119:Q122)</f>
        <v>#VALUE!</v>
      </c>
    </row>
    <row r="120" spans="1:33" x14ac:dyDescent="0.2">
      <c r="A120" s="12"/>
      <c r="B120" s="12"/>
      <c r="C120" s="12">
        <v>27</v>
      </c>
      <c r="D120" s="13">
        <f>Reference!B118</f>
        <v>8175.7816000000003</v>
      </c>
      <c r="E120" s="14">
        <f>Reference!C118</f>
        <v>44.692100000000003</v>
      </c>
      <c r="F120" s="14">
        <f>Reference!D118</f>
        <v>45.064</v>
      </c>
      <c r="G120" s="14">
        <f>Reference!E118</f>
        <v>45.444800000000001</v>
      </c>
      <c r="H120" s="14">
        <f>Reference!F118</f>
        <v>53566</v>
      </c>
      <c r="I120" s="14">
        <f>Reference!G118</f>
        <v>28.501000000000001</v>
      </c>
      <c r="J120" s="14">
        <f t="shared" si="14"/>
        <v>14.879444444444445</v>
      </c>
      <c r="K120" s="26">
        <f>Reference!H118</f>
        <v>3204136</v>
      </c>
      <c r="L120" s="27">
        <f>Reference!I118</f>
        <v>511544</v>
      </c>
      <c r="N120" s="13">
        <f>Test!B118</f>
        <v>0</v>
      </c>
      <c r="O120" s="14">
        <f>Test!C118</f>
        <v>0</v>
      </c>
      <c r="P120" s="14">
        <f>Test!D118</f>
        <v>0</v>
      </c>
      <c r="Q120" s="14">
        <f>Test!E118</f>
        <v>0</v>
      </c>
      <c r="R120" s="14">
        <f>Test!F118</f>
        <v>0</v>
      </c>
      <c r="S120" s="14">
        <f>Test!G118</f>
        <v>0</v>
      </c>
      <c r="T120" s="14">
        <f t="shared" si="15"/>
        <v>0</v>
      </c>
      <c r="U120" s="26">
        <f>Test!H118</f>
        <v>0</v>
      </c>
      <c r="V120" s="27">
        <f>Test!I118</f>
        <v>0</v>
      </c>
      <c r="W120" s="14">
        <f t="shared" si="16"/>
        <v>0</v>
      </c>
      <c r="X120" s="14">
        <f t="shared" si="17"/>
        <v>0</v>
      </c>
      <c r="Y120" s="14">
        <f t="shared" si="13"/>
        <v>0</v>
      </c>
      <c r="Z120" s="22">
        <f t="shared" si="13"/>
        <v>0</v>
      </c>
      <c r="AA120" s="39"/>
      <c r="AB120" s="40"/>
      <c r="AC120" s="41"/>
      <c r="AD120" s="41"/>
      <c r="AE120" s="40"/>
      <c r="AF120" s="41"/>
      <c r="AG120" s="42"/>
    </row>
    <row r="121" spans="1:33" x14ac:dyDescent="0.2">
      <c r="A121" s="12"/>
      <c r="B121" s="12"/>
      <c r="C121" s="12">
        <v>32</v>
      </c>
      <c r="D121" s="13">
        <f>Reference!B119</f>
        <v>6587.6592000000001</v>
      </c>
      <c r="E121" s="14">
        <f>Reference!C119</f>
        <v>40.173499999999997</v>
      </c>
      <c r="F121" s="14">
        <f>Reference!D119</f>
        <v>41.857399999999998</v>
      </c>
      <c r="G121" s="14">
        <f>Reference!E119</f>
        <v>42.527099999999997</v>
      </c>
      <c r="H121" s="14">
        <f>Reference!F119</f>
        <v>54650</v>
      </c>
      <c r="I121" s="14">
        <f>Reference!G119</f>
        <v>27.725999999999999</v>
      </c>
      <c r="J121" s="14">
        <f t="shared" si="14"/>
        <v>15.180555555555555</v>
      </c>
      <c r="K121" s="26">
        <f>Reference!H119</f>
        <v>3200208</v>
      </c>
      <c r="L121" s="27">
        <f>Reference!I119</f>
        <v>509500</v>
      </c>
      <c r="N121" s="13">
        <f>Test!B119</f>
        <v>0</v>
      </c>
      <c r="O121" s="14">
        <f>Test!C119</f>
        <v>0</v>
      </c>
      <c r="P121" s="14">
        <f>Test!D119</f>
        <v>0</v>
      </c>
      <c r="Q121" s="14">
        <f>Test!E119</f>
        <v>0</v>
      </c>
      <c r="R121" s="14">
        <f>Test!F119</f>
        <v>0</v>
      </c>
      <c r="S121" s="14">
        <f>Test!G119</f>
        <v>0</v>
      </c>
      <c r="T121" s="14">
        <f t="shared" si="15"/>
        <v>0</v>
      </c>
      <c r="U121" s="26">
        <f>Test!H119</f>
        <v>0</v>
      </c>
      <c r="V121" s="27">
        <f>Test!I119</f>
        <v>0</v>
      </c>
      <c r="W121" s="14">
        <f t="shared" si="16"/>
        <v>0</v>
      </c>
      <c r="X121" s="14">
        <f t="shared" si="17"/>
        <v>0</v>
      </c>
      <c r="Y121" s="14">
        <f t="shared" si="13"/>
        <v>0</v>
      </c>
      <c r="Z121" s="22">
        <f t="shared" si="13"/>
        <v>0</v>
      </c>
      <c r="AA121" s="39"/>
      <c r="AB121" s="40"/>
      <c r="AC121" s="41"/>
      <c r="AD121" s="41"/>
      <c r="AE121" s="40"/>
      <c r="AF121" s="41"/>
      <c r="AG121" s="42"/>
    </row>
    <row r="122" spans="1:33" x14ac:dyDescent="0.2">
      <c r="A122" s="15"/>
      <c r="B122" s="15"/>
      <c r="C122" s="15">
        <v>37</v>
      </c>
      <c r="D122" s="16">
        <f>Reference!B120</f>
        <v>5076.0608000000002</v>
      </c>
      <c r="E122" s="17">
        <f>Reference!C120</f>
        <v>35.216200000000001</v>
      </c>
      <c r="F122" s="17">
        <f>Reference!D120</f>
        <v>39.392200000000003</v>
      </c>
      <c r="G122" s="17">
        <f>Reference!E120</f>
        <v>40.061900000000001</v>
      </c>
      <c r="H122" s="17">
        <f>Reference!F120</f>
        <v>49445</v>
      </c>
      <c r="I122" s="17">
        <f>Reference!G120</f>
        <v>25.372</v>
      </c>
      <c r="J122" s="17">
        <f t="shared" si="14"/>
        <v>13.734722222222222</v>
      </c>
      <c r="K122" s="28">
        <f>Reference!H120</f>
        <v>3198080</v>
      </c>
      <c r="L122" s="29">
        <f>Reference!I120</f>
        <v>519840</v>
      </c>
      <c r="N122" s="16">
        <f>Test!B120</f>
        <v>0</v>
      </c>
      <c r="O122" s="17">
        <f>Test!C120</f>
        <v>0</v>
      </c>
      <c r="P122" s="17">
        <f>Test!D120</f>
        <v>0</v>
      </c>
      <c r="Q122" s="17">
        <f>Test!E120</f>
        <v>0</v>
      </c>
      <c r="R122" s="17">
        <f>Test!F120</f>
        <v>0</v>
      </c>
      <c r="S122" s="17">
        <f>Test!G120</f>
        <v>0</v>
      </c>
      <c r="T122" s="17">
        <f t="shared" si="15"/>
        <v>0</v>
      </c>
      <c r="U122" s="28">
        <f>Test!H120</f>
        <v>0</v>
      </c>
      <c r="V122" s="29">
        <f>Test!I120</f>
        <v>0</v>
      </c>
      <c r="W122" s="17">
        <f t="shared" si="16"/>
        <v>0</v>
      </c>
      <c r="X122" s="17">
        <f t="shared" si="17"/>
        <v>0</v>
      </c>
      <c r="Y122" s="17">
        <f t="shared" si="13"/>
        <v>0</v>
      </c>
      <c r="Z122" s="23">
        <f t="shared" si="13"/>
        <v>0</v>
      </c>
      <c r="AA122" s="48"/>
      <c r="AB122" s="43"/>
      <c r="AC122" s="44"/>
      <c r="AD122" s="44"/>
      <c r="AE122" s="43"/>
      <c r="AF122" s="44"/>
      <c r="AG122" s="45"/>
    </row>
    <row r="123" spans="1:33" x14ac:dyDescent="0.2">
      <c r="B123" s="2" t="s">
        <v>19</v>
      </c>
      <c r="I123" s="39">
        <f>GEOMEAN(I3:I14)</f>
        <v>39.969381406240991</v>
      </c>
      <c r="J123" s="39">
        <f>GEOMEAN(J3:J14)</f>
        <v>9.5064863618955666</v>
      </c>
      <c r="K123" s="39"/>
      <c r="L123" s="50"/>
      <c r="S123" s="39" t="e">
        <f>GEOMEAN(S3:S14)</f>
        <v>#NUM!</v>
      </c>
      <c r="T123" s="39" t="e">
        <f>GEOMEAN(T3:T14)</f>
        <v>#NUM!</v>
      </c>
      <c r="U123" s="39"/>
      <c r="V123" s="50"/>
      <c r="W123" s="39" t="e">
        <f>GEOMEAN(W3:W14)</f>
        <v>#NUM!</v>
      </c>
      <c r="X123" s="39" t="e">
        <f>GEOMEAN(X3:X14)</f>
        <v>#NUM!</v>
      </c>
      <c r="Y123" s="39" t="e">
        <f>GEOMEAN(Y3:Y14)</f>
        <v>#NUM!</v>
      </c>
      <c r="Z123" s="50" t="e">
        <f>GEOMEAN(Z3:Z14)</f>
        <v>#NUM!</v>
      </c>
      <c r="AB123" s="36" t="e">
        <f t="shared" ref="AB123:AG123" si="18">AVERAGE(AB3:AB14)</f>
        <v>#VALUE!</v>
      </c>
      <c r="AC123" s="37" t="e">
        <f t="shared" si="18"/>
        <v>#VALUE!</v>
      </c>
      <c r="AD123" s="38" t="e">
        <f t="shared" si="18"/>
        <v>#VALUE!</v>
      </c>
      <c r="AE123" s="36" t="e">
        <f t="shared" si="18"/>
        <v>#VALUE!</v>
      </c>
      <c r="AF123" s="37" t="e">
        <f t="shared" si="18"/>
        <v>#VALUE!</v>
      </c>
      <c r="AG123" s="38" t="e">
        <f t="shared" si="18"/>
        <v>#VALUE!</v>
      </c>
    </row>
    <row r="124" spans="1:33" x14ac:dyDescent="0.2">
      <c r="B124" s="2" t="s">
        <v>21</v>
      </c>
      <c r="I124" s="39">
        <f>GEOMEAN(I15:I26)</f>
        <v>52.970294325445934</v>
      </c>
      <c r="J124" s="39">
        <f>GEOMEAN(J15:J26)</f>
        <v>14.820902779986497</v>
      </c>
      <c r="K124" s="39"/>
      <c r="L124" s="50"/>
      <c r="S124" s="39" t="e">
        <f>GEOMEAN(S15:S26)</f>
        <v>#NUM!</v>
      </c>
      <c r="T124" s="39" t="e">
        <f>GEOMEAN(T15:T26)</f>
        <v>#NUM!</v>
      </c>
      <c r="U124" s="39"/>
      <c r="V124" s="50"/>
      <c r="W124" s="39" t="e">
        <f>GEOMEAN(W15:W26)</f>
        <v>#NUM!</v>
      </c>
      <c r="X124" s="39" t="e">
        <f>GEOMEAN(X15:X26)</f>
        <v>#NUM!</v>
      </c>
      <c r="Y124" s="39" t="e">
        <f>GEOMEAN(Y15:Y26)</f>
        <v>#NUM!</v>
      </c>
      <c r="Z124" s="50" t="e">
        <f>GEOMEAN(Z15:Z26)</f>
        <v>#NUM!</v>
      </c>
      <c r="AB124" s="46" t="e">
        <f t="shared" ref="AB124:AG124" si="19">AVERAGE(AB15:AB26)</f>
        <v>#VALUE!</v>
      </c>
      <c r="AC124" s="47" t="e">
        <f t="shared" si="19"/>
        <v>#VALUE!</v>
      </c>
      <c r="AD124" s="49" t="e">
        <f t="shared" si="19"/>
        <v>#VALUE!</v>
      </c>
      <c r="AE124" s="46" t="e">
        <f t="shared" si="19"/>
        <v>#VALUE!</v>
      </c>
      <c r="AF124" s="47" t="e">
        <f t="shared" si="19"/>
        <v>#VALUE!</v>
      </c>
      <c r="AG124" s="49" t="e">
        <f t="shared" si="19"/>
        <v>#VALUE!</v>
      </c>
    </row>
    <row r="125" spans="1:33" x14ac:dyDescent="0.2">
      <c r="B125" s="2" t="s">
        <v>22</v>
      </c>
      <c r="I125" s="39">
        <f>GEOMEAN(I27:I46)</f>
        <v>29.433015003052187</v>
      </c>
      <c r="J125" s="39">
        <f>GEOMEAN(J27:J46)</f>
        <v>8.2482565257092446</v>
      </c>
      <c r="K125" s="39"/>
      <c r="L125" s="50"/>
      <c r="S125" s="39" t="e">
        <f>GEOMEAN(S27:S46)</f>
        <v>#NUM!</v>
      </c>
      <c r="T125" s="39" t="e">
        <f>GEOMEAN(T27:T46)</f>
        <v>#NUM!</v>
      </c>
      <c r="U125" s="39"/>
      <c r="V125" s="50"/>
      <c r="W125" s="39" t="e">
        <f>GEOMEAN(W27:W46)</f>
        <v>#NUM!</v>
      </c>
      <c r="X125" s="39" t="e">
        <f>GEOMEAN(X27:X46)</f>
        <v>#NUM!</v>
      </c>
      <c r="Y125" s="39" t="e">
        <f>GEOMEAN(Y27:Y46)</f>
        <v>#NUM!</v>
      </c>
      <c r="Z125" s="50" t="e">
        <f>GEOMEAN(Z27:Z46)</f>
        <v>#NUM!</v>
      </c>
      <c r="AB125" s="46" t="e">
        <f t="shared" ref="AB125:AG125" si="20">AVERAGE(AB27:AB46)</f>
        <v>#VALUE!</v>
      </c>
      <c r="AC125" s="47" t="e">
        <f t="shared" si="20"/>
        <v>#VALUE!</v>
      </c>
      <c r="AD125" s="49" t="e">
        <f t="shared" si="20"/>
        <v>#VALUE!</v>
      </c>
      <c r="AE125" s="46" t="e">
        <f t="shared" si="20"/>
        <v>#VALUE!</v>
      </c>
      <c r="AF125" s="47" t="e">
        <f t="shared" si="20"/>
        <v>#VALUE!</v>
      </c>
      <c r="AG125" s="49" t="e">
        <f t="shared" si="20"/>
        <v>#VALUE!</v>
      </c>
    </row>
    <row r="126" spans="1:33" x14ac:dyDescent="0.2">
      <c r="B126" s="2" t="s">
        <v>23</v>
      </c>
      <c r="I126" s="39">
        <f>GEOMEAN(I47:I62)</f>
        <v>6.9203675137486558</v>
      </c>
      <c r="J126" s="39">
        <f>GEOMEAN(J47:J62)</f>
        <v>1.8918005212736109</v>
      </c>
      <c r="K126" s="39"/>
      <c r="L126" s="50"/>
      <c r="S126" s="39" t="e">
        <f>GEOMEAN(S47:S62)</f>
        <v>#NUM!</v>
      </c>
      <c r="T126" s="39" t="e">
        <f>GEOMEAN(T47:T62)</f>
        <v>#NUM!</v>
      </c>
      <c r="U126" s="39"/>
      <c r="V126" s="50"/>
      <c r="W126" s="39" t="e">
        <f>GEOMEAN(W47:W62)</f>
        <v>#NUM!</v>
      </c>
      <c r="X126" s="39" t="e">
        <f>GEOMEAN(X47:X62)</f>
        <v>#NUM!</v>
      </c>
      <c r="Y126" s="39" t="e">
        <f>GEOMEAN(Y47:Y62)</f>
        <v>#NUM!</v>
      </c>
      <c r="Z126" s="50" t="e">
        <f>GEOMEAN(Z47:Z62)</f>
        <v>#NUM!</v>
      </c>
      <c r="AB126" s="46" t="e">
        <f t="shared" ref="AB126:AG126" si="21">AVERAGE(AB47:AB62)</f>
        <v>#VALUE!</v>
      </c>
      <c r="AC126" s="47" t="e">
        <f t="shared" si="21"/>
        <v>#VALUE!</v>
      </c>
      <c r="AD126" s="49" t="e">
        <f t="shared" si="21"/>
        <v>#VALUE!</v>
      </c>
      <c r="AE126" s="46" t="e">
        <f t="shared" si="21"/>
        <v>#VALUE!</v>
      </c>
      <c r="AF126" s="47" t="e">
        <f t="shared" si="21"/>
        <v>#VALUE!</v>
      </c>
      <c r="AG126" s="49" t="e">
        <f t="shared" si="21"/>
        <v>#VALUE!</v>
      </c>
    </row>
    <row r="127" spans="1:33" x14ac:dyDescent="0.2">
      <c r="B127" s="2" t="s">
        <v>27</v>
      </c>
      <c r="I127" s="39">
        <f>GEOMEAN(I63:I78)</f>
        <v>1.9878392488082597</v>
      </c>
      <c r="J127" s="39">
        <f>GEOMEAN(J63:J78)</f>
        <v>0.54005165716052195</v>
      </c>
      <c r="K127" s="39"/>
      <c r="L127" s="50"/>
      <c r="S127" s="39" t="e">
        <f>GEOMEAN(S63:S78)</f>
        <v>#NUM!</v>
      </c>
      <c r="T127" s="39" t="e">
        <f>GEOMEAN(T63:T78)</f>
        <v>#NUM!</v>
      </c>
      <c r="U127" s="39"/>
      <c r="V127" s="50"/>
      <c r="W127" s="39" t="e">
        <f>GEOMEAN(W63:W78)</f>
        <v>#NUM!</v>
      </c>
      <c r="X127" s="39" t="e">
        <f>GEOMEAN(X63:X78)</f>
        <v>#NUM!</v>
      </c>
      <c r="Y127" s="39" t="e">
        <f>GEOMEAN(Y63:Y78)</f>
        <v>#NUM!</v>
      </c>
      <c r="Z127" s="50" t="e">
        <f>GEOMEAN(Z63:Z78)</f>
        <v>#NUM!</v>
      </c>
      <c r="AB127" s="46" t="e">
        <f t="shared" ref="AB127:AG127" si="22">AVERAGE(AB63:AB78)</f>
        <v>#VALUE!</v>
      </c>
      <c r="AC127" s="47" t="e">
        <f t="shared" si="22"/>
        <v>#VALUE!</v>
      </c>
      <c r="AD127" s="49" t="e">
        <f t="shared" si="22"/>
        <v>#VALUE!</v>
      </c>
      <c r="AE127" s="46" t="e">
        <f t="shared" si="22"/>
        <v>#VALUE!</v>
      </c>
      <c r="AF127" s="47" t="e">
        <f t="shared" si="22"/>
        <v>#VALUE!</v>
      </c>
      <c r="AG127" s="49" t="e">
        <f t="shared" si="22"/>
        <v>#VALUE!</v>
      </c>
    </row>
    <row r="128" spans="1:33" x14ac:dyDescent="0.2">
      <c r="B128" s="2" t="s">
        <v>24</v>
      </c>
      <c r="I128" s="39">
        <f>GEOMEAN(I79:I90)</f>
        <v>13.081123523960761</v>
      </c>
      <c r="J128" s="39">
        <f>GEOMEAN(J79:J90)</f>
        <v>2.7330064894697594</v>
      </c>
      <c r="K128" s="39"/>
      <c r="L128" s="50"/>
      <c r="S128" s="39" t="e">
        <f>GEOMEAN(S79:S90)</f>
        <v>#NUM!</v>
      </c>
      <c r="T128" s="39" t="e">
        <f>GEOMEAN(T79:T90)</f>
        <v>#NUM!</v>
      </c>
      <c r="U128" s="39"/>
      <c r="V128" s="50"/>
      <c r="W128" s="39" t="e">
        <f>GEOMEAN(W79:W90)</f>
        <v>#NUM!</v>
      </c>
      <c r="X128" s="39" t="e">
        <f>GEOMEAN(X79:X90)</f>
        <v>#NUM!</v>
      </c>
      <c r="Y128" s="39" t="e">
        <f>GEOMEAN(Y79:Y90)</f>
        <v>#NUM!</v>
      </c>
      <c r="Z128" s="50" t="e">
        <f>GEOMEAN(Z79:Z90)</f>
        <v>#NUM!</v>
      </c>
      <c r="AB128" s="46" t="e">
        <f t="shared" ref="AB128:AG128" si="23">AVERAGE(AB79:AB88)</f>
        <v>#VALUE!</v>
      </c>
      <c r="AC128" s="47" t="e">
        <f t="shared" si="23"/>
        <v>#VALUE!</v>
      </c>
      <c r="AD128" s="49" t="e">
        <f t="shared" si="23"/>
        <v>#VALUE!</v>
      </c>
      <c r="AE128" s="46" t="e">
        <f t="shared" si="23"/>
        <v>#VALUE!</v>
      </c>
      <c r="AF128" s="47" t="e">
        <f t="shared" si="23"/>
        <v>#VALUE!</v>
      </c>
      <c r="AG128" s="49" t="e">
        <f t="shared" si="23"/>
        <v>#VALUE!</v>
      </c>
    </row>
    <row r="129" spans="1:33" x14ac:dyDescent="0.2">
      <c r="B129" s="2" t="s">
        <v>28</v>
      </c>
      <c r="I129" s="39">
        <f>GEOMEAN(I91:I106)</f>
        <v>10.83249698762881</v>
      </c>
      <c r="J129" s="39">
        <f>GEOMEAN(J91:J106)</f>
        <v>3.9313507812127297</v>
      </c>
      <c r="K129" s="39"/>
      <c r="L129" s="50"/>
      <c r="S129" s="39" t="e">
        <f>GEOMEAN(S91:S106)</f>
        <v>#NUM!</v>
      </c>
      <c r="T129" s="39" t="e">
        <f>GEOMEAN(T91:T106)</f>
        <v>#NUM!</v>
      </c>
      <c r="U129" s="39"/>
      <c r="V129" s="50"/>
      <c r="W129" s="39" t="e">
        <f>GEOMEAN(W91:W106)</f>
        <v>#NUM!</v>
      </c>
      <c r="X129" s="39" t="e">
        <f>GEOMEAN(X91:X106)</f>
        <v>#NUM!</v>
      </c>
      <c r="Y129" s="39" t="e">
        <f>GEOMEAN(Y91:Y106)</f>
        <v>#NUM!</v>
      </c>
      <c r="Z129" s="50" t="e">
        <f>GEOMEAN(Z91:Z106)</f>
        <v>#NUM!</v>
      </c>
      <c r="AB129" s="46" t="e">
        <f t="shared" ref="AB129:AG129" si="24">AVERAGE(AB91:AB106)</f>
        <v>#VALUE!</v>
      </c>
      <c r="AC129" s="47" t="e">
        <f t="shared" si="24"/>
        <v>#VALUE!</v>
      </c>
      <c r="AD129" s="49" t="e">
        <f t="shared" si="24"/>
        <v>#VALUE!</v>
      </c>
      <c r="AE129" s="46" t="e">
        <f t="shared" si="24"/>
        <v>#VALUE!</v>
      </c>
      <c r="AF129" s="47" t="e">
        <f t="shared" si="24"/>
        <v>#VALUE!</v>
      </c>
      <c r="AG129" s="49" t="e">
        <f t="shared" si="24"/>
        <v>#VALUE!</v>
      </c>
    </row>
    <row r="130" spans="1:33" x14ac:dyDescent="0.2">
      <c r="B130" s="2" t="s">
        <v>121</v>
      </c>
      <c r="I130" s="39">
        <f>GEOMEAN(I107:I122)</f>
        <v>21.12315969924132</v>
      </c>
      <c r="J130" s="39">
        <f>GEOMEAN(J107:J122)</f>
        <v>8.2957474989434719</v>
      </c>
      <c r="K130" s="39"/>
      <c r="L130" s="50"/>
      <c r="S130" s="39" t="e">
        <f>GEOMEAN(S107:S122)</f>
        <v>#NUM!</v>
      </c>
      <c r="T130" s="39" t="e">
        <f>GEOMEAN(T107:T122)</f>
        <v>#NUM!</v>
      </c>
      <c r="U130" s="39"/>
      <c r="V130" s="50"/>
      <c r="W130" s="39" t="e">
        <f>GEOMEAN(W107:W122)</f>
        <v>#NUM!</v>
      </c>
      <c r="X130" s="39" t="e">
        <f>GEOMEAN(X107:X122)</f>
        <v>#NUM!</v>
      </c>
      <c r="Y130" s="39" t="e">
        <f>GEOMEAN(Y107:Y122)</f>
        <v>#NUM!</v>
      </c>
      <c r="Z130" s="50" t="e">
        <f>GEOMEAN(Z107:Z122)</f>
        <v>#NUM!</v>
      </c>
      <c r="AB130" s="46" t="e">
        <f t="shared" ref="AB130:AG130" si="25">AVERAGE(AB107:AB122)</f>
        <v>#VALUE!</v>
      </c>
      <c r="AC130" s="47" t="e">
        <f t="shared" si="25"/>
        <v>#VALUE!</v>
      </c>
      <c r="AD130" s="49" t="e">
        <f t="shared" si="25"/>
        <v>#VALUE!</v>
      </c>
      <c r="AE130" s="46" t="e">
        <f t="shared" si="25"/>
        <v>#VALUE!</v>
      </c>
      <c r="AF130" s="47" t="e">
        <f t="shared" si="25"/>
        <v>#VALUE!</v>
      </c>
      <c r="AG130" s="49" t="e">
        <f t="shared" si="25"/>
        <v>#VALUE!</v>
      </c>
    </row>
    <row r="131" spans="1:33" x14ac:dyDescent="0.2">
      <c r="A131" s="51"/>
      <c r="B131" s="52" t="s">
        <v>34</v>
      </c>
      <c r="C131" s="52"/>
      <c r="D131" s="52"/>
      <c r="E131" s="52"/>
      <c r="F131" s="52"/>
      <c r="G131" s="52"/>
      <c r="H131" s="52"/>
      <c r="I131" s="53">
        <f>GEOMEAN(I3:I62,I79:I90)</f>
        <v>21.632456138907735</v>
      </c>
      <c r="J131" s="53">
        <f>GEOMEAN(J3:J62,J79:J90)</f>
        <v>5.584643518328452</v>
      </c>
      <c r="K131" s="53"/>
      <c r="L131" s="54"/>
      <c r="M131" s="52"/>
      <c r="N131" s="52"/>
      <c r="O131" s="52"/>
      <c r="P131" s="52"/>
      <c r="Q131" s="52"/>
      <c r="R131" s="52"/>
      <c r="S131" s="53" t="e">
        <f>GEOMEAN(S3:S62,S79:S90)</f>
        <v>#NUM!</v>
      </c>
      <c r="T131" s="53" t="e">
        <f>GEOMEAN(T3:T62,T79:T90)</f>
        <v>#NUM!</v>
      </c>
      <c r="U131" s="53"/>
      <c r="V131" s="54"/>
      <c r="W131" s="53" t="e">
        <f>GEOMEAN(W3:W62,W79:W90)</f>
        <v>#NUM!</v>
      </c>
      <c r="X131" s="53" t="e">
        <f>GEOMEAN(X3:X62,X79:X90)</f>
        <v>#NUM!</v>
      </c>
      <c r="Y131" s="53" t="e">
        <f>GEOMEAN(Y3:Y62,Y79:Y90)</f>
        <v>#NUM!</v>
      </c>
      <c r="Z131" s="54" t="e">
        <f>GEOMEAN(Z3:Z62,Z79:Z90)</f>
        <v>#NUM!</v>
      </c>
      <c r="AA131" s="52"/>
      <c r="AB131" s="59" t="e">
        <f t="shared" ref="AB131:AG131" si="26">AVERAGE(AB3:AB62,AB79:AB90)</f>
        <v>#VALUE!</v>
      </c>
      <c r="AC131" s="60" t="e">
        <f t="shared" si="26"/>
        <v>#VALUE!</v>
      </c>
      <c r="AD131" s="61" t="e">
        <f t="shared" si="26"/>
        <v>#VALUE!</v>
      </c>
      <c r="AE131" s="59" t="e">
        <f t="shared" si="26"/>
        <v>#VALUE!</v>
      </c>
      <c r="AF131" s="60" t="e">
        <f t="shared" si="26"/>
        <v>#VALUE!</v>
      </c>
      <c r="AG131" s="61" t="e">
        <f t="shared" si="26"/>
        <v>#VALUE!</v>
      </c>
    </row>
    <row r="132" spans="1:33" x14ac:dyDescent="0.2">
      <c r="B132" s="2" t="s">
        <v>122</v>
      </c>
      <c r="I132" s="55">
        <f>GEOMEAN(I3:I106)</f>
        <v>13.470938663213655</v>
      </c>
      <c r="J132" s="55">
        <f>GEOMEAN(J3:J106)</f>
        <v>3.6936425928124463</v>
      </c>
      <c r="K132" s="55"/>
      <c r="L132" s="56"/>
      <c r="S132" s="55" t="e">
        <f>GEOMEAN(S3:S106)</f>
        <v>#NUM!</v>
      </c>
      <c r="T132" s="55" t="e">
        <f>GEOMEAN(T3:T106)</f>
        <v>#NUM!</v>
      </c>
      <c r="U132" s="55"/>
      <c r="V132" s="56"/>
      <c r="W132" s="55"/>
      <c r="X132" s="55"/>
      <c r="Y132" s="55"/>
      <c r="Z132" s="55"/>
    </row>
    <row r="133" spans="1:33" x14ac:dyDescent="0.2">
      <c r="B133" s="2" t="s">
        <v>123</v>
      </c>
      <c r="S133" s="57" t="e">
        <f>S132/I132</f>
        <v>#NUM!</v>
      </c>
      <c r="T133" s="57" t="e">
        <f>T132/J132</f>
        <v>#NUM!</v>
      </c>
      <c r="U133" s="57"/>
      <c r="V133" s="58"/>
      <c r="W133" s="57"/>
      <c r="X133" s="57"/>
      <c r="Y133" s="57"/>
      <c r="Z133" s="57"/>
    </row>
    <row r="134" spans="1:33" x14ac:dyDescent="0.2">
      <c r="B134" s="2" t="s">
        <v>124</v>
      </c>
      <c r="I134" s="55"/>
      <c r="J134" s="55"/>
      <c r="K134" s="55"/>
      <c r="L134" s="56"/>
      <c r="S134" s="55"/>
      <c r="T134" s="55"/>
      <c r="U134" s="55"/>
      <c r="V134" s="56"/>
      <c r="W134" s="55"/>
      <c r="X134" s="55"/>
      <c r="Y134" s="55"/>
      <c r="Z134" s="55"/>
    </row>
    <row r="136" spans="1:33" x14ac:dyDescent="0.2">
      <c r="B136" s="2" t="s">
        <v>125</v>
      </c>
    </row>
    <row r="137" spans="1:33" x14ac:dyDescent="0.2">
      <c r="B137" s="2" t="s">
        <v>19</v>
      </c>
      <c r="I137" s="39">
        <f>SUM(I$3:I$14)</f>
        <v>505.91500000000008</v>
      </c>
      <c r="J137" s="39">
        <f>SUM(J$3:J$14)</f>
        <v>147.07444444444445</v>
      </c>
      <c r="K137" s="39"/>
      <c r="L137" s="50"/>
      <c r="S137" s="39">
        <f>SUM(S$3:S$14)</f>
        <v>0</v>
      </c>
      <c r="T137" s="39">
        <f>SUM(T$3:T$14)</f>
        <v>0</v>
      </c>
      <c r="U137" s="39"/>
      <c r="V137" s="50"/>
      <c r="W137" s="39">
        <f>T137/J137</f>
        <v>0</v>
      </c>
      <c r="X137" s="39">
        <f>S137/I137</f>
        <v>0</v>
      </c>
      <c r="Y137" s="39"/>
      <c r="Z137" s="39"/>
    </row>
    <row r="138" spans="1:33" x14ac:dyDescent="0.2">
      <c r="B138" s="2" t="s">
        <v>21</v>
      </c>
      <c r="I138" s="39">
        <f>SUM(I$15:I$26)</f>
        <v>650.05500000000006</v>
      </c>
      <c r="J138" s="39">
        <f>SUM(J$15:J$26)</f>
        <v>207.96</v>
      </c>
      <c r="K138" s="39"/>
      <c r="L138" s="50"/>
      <c r="S138" s="39">
        <f>SUM(S$15:S$26)</f>
        <v>0</v>
      </c>
      <c r="T138" s="39">
        <f>SUM(T$15:T$26)</f>
        <v>0</v>
      </c>
      <c r="U138" s="39"/>
      <c r="V138" s="50"/>
      <c r="W138" s="39">
        <f t="shared" ref="W138:W145" si="27">T138/J138</f>
        <v>0</v>
      </c>
      <c r="X138" s="39">
        <f t="shared" ref="X138:X145" si="28">S138/I138</f>
        <v>0</v>
      </c>
      <c r="Y138" s="39"/>
      <c r="Z138" s="39"/>
    </row>
    <row r="139" spans="1:33" x14ac:dyDescent="0.2">
      <c r="B139" s="2" t="s">
        <v>22</v>
      </c>
      <c r="I139" s="39">
        <f>SUM(I$27:I$46)</f>
        <v>620.00499999999988</v>
      </c>
      <c r="J139" s="39">
        <f>SUM(J$27:J$46)</f>
        <v>189.10444444444443</v>
      </c>
      <c r="K139" s="39"/>
      <c r="L139" s="50"/>
      <c r="S139" s="39">
        <f>SUM(S$27:S$46)</f>
        <v>0</v>
      </c>
      <c r="T139" s="39">
        <f>SUM(T$27:T$46)</f>
        <v>0</v>
      </c>
      <c r="U139" s="39"/>
      <c r="V139" s="50"/>
      <c r="W139" s="39">
        <f t="shared" si="27"/>
        <v>0</v>
      </c>
      <c r="X139" s="39">
        <f t="shared" si="28"/>
        <v>0</v>
      </c>
      <c r="Y139" s="39"/>
      <c r="Z139" s="39"/>
    </row>
    <row r="140" spans="1:33" x14ac:dyDescent="0.2">
      <c r="B140" s="2" t="s">
        <v>23</v>
      </c>
      <c r="I140" s="39">
        <f>SUM(I$47:I$62)</f>
        <v>118.40899999999998</v>
      </c>
      <c r="J140" s="39">
        <f>SUM(J$47:J$62)</f>
        <v>32.538611111111109</v>
      </c>
      <c r="K140" s="39"/>
      <c r="L140" s="50"/>
      <c r="S140" s="39">
        <f>SUM(S$47:S$62)</f>
        <v>0</v>
      </c>
      <c r="T140" s="39">
        <f>SUM(T$47:T$62)</f>
        <v>0</v>
      </c>
      <c r="U140" s="39"/>
      <c r="V140" s="50"/>
      <c r="W140" s="39">
        <f t="shared" si="27"/>
        <v>0</v>
      </c>
      <c r="X140" s="39">
        <f t="shared" si="28"/>
        <v>0</v>
      </c>
      <c r="Y140" s="39"/>
      <c r="Z140" s="39"/>
    </row>
    <row r="141" spans="1:33" x14ac:dyDescent="0.2">
      <c r="B141" s="2" t="s">
        <v>27</v>
      </c>
      <c r="I141" s="39">
        <f>SUM(I$63:I$78)</f>
        <v>33.96</v>
      </c>
      <c r="J141" s="39">
        <f>SUM(J$63:J$78)</f>
        <v>9.2658333333333331</v>
      </c>
      <c r="K141" s="39"/>
      <c r="L141" s="50"/>
      <c r="S141" s="39">
        <f>SUM(S$63:S$78)</f>
        <v>0</v>
      </c>
      <c r="T141" s="39">
        <f>SUM(T$63:T$78)</f>
        <v>0</v>
      </c>
      <c r="U141" s="39"/>
      <c r="V141" s="50"/>
      <c r="W141" s="39">
        <f t="shared" si="27"/>
        <v>0</v>
      </c>
      <c r="X141" s="39">
        <f t="shared" si="28"/>
        <v>0</v>
      </c>
      <c r="Y141" s="39"/>
      <c r="Z141" s="39"/>
    </row>
    <row r="142" spans="1:33" x14ac:dyDescent="0.2">
      <c r="B142" s="2" t="s">
        <v>24</v>
      </c>
      <c r="I142" s="39">
        <f>SUM(I$79:I$90)</f>
        <v>159.58000000000001</v>
      </c>
      <c r="J142" s="39">
        <f>SUM(J$79:J$90)</f>
        <v>35.971111111111114</v>
      </c>
      <c r="K142" s="39"/>
      <c r="L142" s="50"/>
      <c r="S142" s="39">
        <f>SUM(S$79:S$90)</f>
        <v>0</v>
      </c>
      <c r="T142" s="39">
        <f>SUM(T$79:T$90)</f>
        <v>0</v>
      </c>
      <c r="U142" s="39"/>
      <c r="V142" s="50"/>
      <c r="W142" s="39">
        <f t="shared" si="27"/>
        <v>0</v>
      </c>
      <c r="X142" s="39">
        <f t="shared" si="28"/>
        <v>0</v>
      </c>
      <c r="Y142" s="39"/>
      <c r="Z142" s="39"/>
    </row>
    <row r="143" spans="1:33" x14ac:dyDescent="0.2">
      <c r="B143" s="2" t="s">
        <v>28</v>
      </c>
      <c r="I143" s="39">
        <f>SUM(I$91:I$106)</f>
        <v>247.01700000000002</v>
      </c>
      <c r="J143" s="39">
        <f>SUM(J$91:J$106)</f>
        <v>101.06972222222223</v>
      </c>
      <c r="K143" s="39"/>
      <c r="L143" s="50"/>
      <c r="S143" s="39">
        <f>SUM(S$91:S$106)</f>
        <v>0</v>
      </c>
      <c r="T143" s="39">
        <f>SUM(T$91:T$106)</f>
        <v>0</v>
      </c>
      <c r="U143" s="39"/>
      <c r="V143" s="50"/>
      <c r="W143" s="39">
        <f t="shared" si="27"/>
        <v>0</v>
      </c>
      <c r="X143" s="39">
        <f t="shared" si="28"/>
        <v>0</v>
      </c>
      <c r="Y143" s="39"/>
      <c r="Z143" s="39"/>
    </row>
    <row r="144" spans="1:33" x14ac:dyDescent="0.2">
      <c r="B144" s="2" t="s">
        <v>29</v>
      </c>
      <c r="I144" s="39">
        <f>SUM(I$107:I$122)</f>
        <v>346.96999999999997</v>
      </c>
      <c r="J144" s="39">
        <f>SUM(J$107:J$122)</f>
        <v>143.23861111111108</v>
      </c>
      <c r="K144" s="39"/>
      <c r="L144" s="50"/>
      <c r="S144" s="39">
        <f>SUM(S$107:S$122)</f>
        <v>0</v>
      </c>
      <c r="T144" s="39">
        <f>SUM(T$107:T$122)</f>
        <v>0</v>
      </c>
      <c r="U144" s="39"/>
      <c r="V144" s="50"/>
      <c r="W144" s="39">
        <f t="shared" si="27"/>
        <v>0</v>
      </c>
      <c r="X144" s="39">
        <f t="shared" si="28"/>
        <v>0</v>
      </c>
      <c r="Y144" s="39"/>
      <c r="Z144" s="39"/>
    </row>
    <row r="145" spans="2:26" x14ac:dyDescent="0.2">
      <c r="B145" s="2" t="s">
        <v>34</v>
      </c>
      <c r="I145" s="39">
        <f>SUM(I137:I144)</f>
        <v>2681.9109999999996</v>
      </c>
      <c r="J145" s="39">
        <f>SUM(J137:J144)</f>
        <v>866.22277777777776</v>
      </c>
      <c r="K145" s="39"/>
      <c r="L145" s="50"/>
      <c r="S145" s="39">
        <f>SUM(S137:S144)</f>
        <v>0</v>
      </c>
      <c r="T145" s="39">
        <f>SUM(T137:T144)</f>
        <v>0</v>
      </c>
      <c r="U145" s="39"/>
      <c r="V145" s="50"/>
      <c r="W145" s="39">
        <f t="shared" si="27"/>
        <v>0</v>
      </c>
      <c r="X145" s="39">
        <f t="shared" si="28"/>
        <v>0</v>
      </c>
      <c r="Y145" s="39"/>
      <c r="Z145" s="39"/>
    </row>
    <row r="146" spans="2:26" x14ac:dyDescent="0.2">
      <c r="W146" s="39"/>
      <c r="X146" s="39"/>
      <c r="Y146" s="39"/>
      <c r="Z146" s="39"/>
    </row>
    <row r="147" spans="2:26" x14ac:dyDescent="0.2">
      <c r="B147" s="2" t="s">
        <v>126</v>
      </c>
      <c r="W147" s="39"/>
      <c r="X147" s="39"/>
      <c r="Y147" s="39"/>
      <c r="Z147" s="39"/>
    </row>
    <row r="148" spans="2:26" x14ac:dyDescent="0.2">
      <c r="B148" s="2" t="s">
        <v>19</v>
      </c>
      <c r="I148" s="39">
        <f>MAX(I$3:I$14)</f>
        <v>67.393000000000001</v>
      </c>
      <c r="J148" s="39">
        <f>MAX(J$3:J$14)</f>
        <v>29.094999999999999</v>
      </c>
      <c r="K148" s="39"/>
      <c r="L148" s="50"/>
      <c r="S148" s="39">
        <f>MAX(S$3:S$14)</f>
        <v>0</v>
      </c>
      <c r="T148" s="39">
        <f>MAX(T$3:T$14)</f>
        <v>0</v>
      </c>
      <c r="U148" s="39"/>
      <c r="V148" s="50"/>
      <c r="W148" s="39">
        <f t="shared" ref="W148" si="29">T148/J148</f>
        <v>0</v>
      </c>
      <c r="X148" s="39">
        <f t="shared" ref="X148" si="30">S148/I148</f>
        <v>0</v>
      </c>
      <c r="Y148" s="39"/>
      <c r="Z148" s="39"/>
    </row>
    <row r="149" spans="2:26" x14ac:dyDescent="0.2">
      <c r="B149" s="2" t="s">
        <v>21</v>
      </c>
      <c r="I149" s="39">
        <f>MAX(I$15:I$26)</f>
        <v>80.703000000000003</v>
      </c>
      <c r="J149" s="39">
        <f>MAX(J$15:J$26)</f>
        <v>35.99722222222222</v>
      </c>
      <c r="K149" s="39"/>
      <c r="L149" s="50"/>
      <c r="S149" s="39">
        <f>MAX(S$15:S$26)</f>
        <v>0</v>
      </c>
      <c r="T149" s="39">
        <f>MAX(T$15:T$26)</f>
        <v>0</v>
      </c>
      <c r="U149" s="39"/>
      <c r="V149" s="50"/>
      <c r="W149" s="39">
        <f t="shared" ref="W149:W156" si="31">T149/J149</f>
        <v>0</v>
      </c>
      <c r="X149" s="39">
        <f t="shared" ref="X149:X156" si="32">S149/I149</f>
        <v>0</v>
      </c>
      <c r="Y149" s="39"/>
      <c r="Z149" s="39"/>
    </row>
    <row r="150" spans="2:26" x14ac:dyDescent="0.2">
      <c r="B150" s="2" t="s">
        <v>22</v>
      </c>
      <c r="I150" s="39">
        <f>MAX(I$27:I$46)</f>
        <v>60.439</v>
      </c>
      <c r="J150" s="39">
        <f>MAX(J$27:J$46)</f>
        <v>17.258611111111112</v>
      </c>
      <c r="K150" s="39"/>
      <c r="L150" s="50"/>
      <c r="S150" s="39">
        <f>MAX(S$27:S$46)</f>
        <v>0</v>
      </c>
      <c r="T150" s="39">
        <f>MAX(T$27:T$46)</f>
        <v>0</v>
      </c>
      <c r="U150" s="39"/>
      <c r="V150" s="50"/>
      <c r="W150" s="39">
        <f t="shared" si="31"/>
        <v>0</v>
      </c>
      <c r="X150" s="39">
        <f t="shared" si="32"/>
        <v>0</v>
      </c>
      <c r="Y150" s="39"/>
      <c r="Z150" s="39"/>
    </row>
    <row r="151" spans="2:26" x14ac:dyDescent="0.2">
      <c r="B151" s="2" t="s">
        <v>23</v>
      </c>
      <c r="I151" s="39">
        <f>MAX(I$47:I$62)</f>
        <v>12.961</v>
      </c>
      <c r="J151" s="39">
        <f>MAX(J$47:J$62)</f>
        <v>3.0975000000000001</v>
      </c>
      <c r="K151" s="39"/>
      <c r="L151" s="50"/>
      <c r="S151" s="39">
        <f>MAX(S$47:S$62)</f>
        <v>0</v>
      </c>
      <c r="T151" s="39">
        <f>MAX(T$47:T$62)</f>
        <v>0</v>
      </c>
      <c r="U151" s="39"/>
      <c r="V151" s="50"/>
      <c r="W151" s="39">
        <f t="shared" si="31"/>
        <v>0</v>
      </c>
      <c r="X151" s="39">
        <f t="shared" si="32"/>
        <v>0</v>
      </c>
      <c r="Y151" s="39"/>
      <c r="Z151" s="39"/>
    </row>
    <row r="152" spans="2:26" x14ac:dyDescent="0.2">
      <c r="B152" s="2" t="s">
        <v>27</v>
      </c>
      <c r="I152" s="39">
        <f>MAX(I$63:I$78)</f>
        <v>3.5870000000000002</v>
      </c>
      <c r="J152" s="39">
        <f>MAX(J$63:J$78)</f>
        <v>0.95111111111111113</v>
      </c>
      <c r="K152" s="39"/>
      <c r="L152" s="50"/>
      <c r="S152" s="39">
        <f>MAX(S$63:S$78)</f>
        <v>0</v>
      </c>
      <c r="T152" s="39">
        <f>MAX(T$63:T$78)</f>
        <v>0</v>
      </c>
      <c r="U152" s="39"/>
      <c r="V152" s="50"/>
      <c r="W152" s="39">
        <f t="shared" si="31"/>
        <v>0</v>
      </c>
      <c r="X152" s="39">
        <f t="shared" si="32"/>
        <v>0</v>
      </c>
      <c r="Y152" s="39"/>
      <c r="Z152" s="39"/>
    </row>
    <row r="153" spans="2:26" x14ac:dyDescent="0.2">
      <c r="B153" s="2" t="s">
        <v>24</v>
      </c>
      <c r="I153" s="39">
        <f>MAX(I$79:I$90)</f>
        <v>18.437999999999999</v>
      </c>
      <c r="J153" s="39">
        <f>MAX(J$79:J$90)</f>
        <v>5.4877777777777776</v>
      </c>
      <c r="K153" s="39"/>
      <c r="L153" s="50"/>
      <c r="S153" s="39">
        <f>MAX(S$79:S$90)</f>
        <v>0</v>
      </c>
      <c r="T153" s="39">
        <f>MAX(T$79:T$90)</f>
        <v>0</v>
      </c>
      <c r="U153" s="39"/>
      <c r="V153" s="50"/>
      <c r="W153" s="39">
        <f t="shared" si="31"/>
        <v>0</v>
      </c>
      <c r="X153" s="39">
        <f t="shared" si="32"/>
        <v>0</v>
      </c>
      <c r="Y153" s="39"/>
      <c r="Z153" s="39"/>
    </row>
    <row r="154" spans="2:26" x14ac:dyDescent="0.2">
      <c r="B154" s="2" t="s">
        <v>28</v>
      </c>
      <c r="I154" s="39">
        <f>MAX(I$91:I$106)</f>
        <v>51.226999999999997</v>
      </c>
      <c r="J154" s="39">
        <f>MAX(J$91:J$106)</f>
        <v>24.979722222222222</v>
      </c>
      <c r="K154" s="39"/>
      <c r="L154" s="50"/>
      <c r="S154" s="39">
        <f>MAX(S$91:S$106)</f>
        <v>0</v>
      </c>
      <c r="T154" s="39">
        <f>MAX(T$91:T$106)</f>
        <v>0</v>
      </c>
      <c r="U154" s="39"/>
      <c r="V154" s="50"/>
      <c r="W154" s="39">
        <f t="shared" si="31"/>
        <v>0</v>
      </c>
      <c r="X154" s="39">
        <f t="shared" si="32"/>
        <v>0</v>
      </c>
      <c r="Y154" s="39"/>
      <c r="Z154" s="39"/>
    </row>
    <row r="155" spans="2:26" x14ac:dyDescent="0.2">
      <c r="B155" s="2" t="s">
        <v>29</v>
      </c>
      <c r="I155" s="39">
        <f>MAX(I$107:I$122)</f>
        <v>32.89</v>
      </c>
      <c r="J155" s="39">
        <f>MAX(J$107:J$122)</f>
        <v>16.7925</v>
      </c>
      <c r="K155" s="39"/>
      <c r="L155" s="50"/>
      <c r="S155" s="39">
        <f>MAX(S$107:S$122)</f>
        <v>0</v>
      </c>
      <c r="T155" s="39">
        <f>MAX(T$107:T$122)</f>
        <v>0</v>
      </c>
      <c r="U155" s="39"/>
      <c r="V155" s="50"/>
      <c r="W155" s="39">
        <f t="shared" si="31"/>
        <v>0</v>
      </c>
      <c r="X155" s="39">
        <f t="shared" si="32"/>
        <v>0</v>
      </c>
      <c r="Y155" s="39"/>
      <c r="Z155" s="39"/>
    </row>
    <row r="156" spans="2:26" x14ac:dyDescent="0.2">
      <c r="B156" s="2" t="s">
        <v>34</v>
      </c>
      <c r="I156" s="39">
        <f>MAX(I148:I155)</f>
        <v>80.703000000000003</v>
      </c>
      <c r="J156" s="39">
        <f>MAX(J148:J155)</f>
        <v>35.99722222222222</v>
      </c>
      <c r="K156" s="39"/>
      <c r="L156" s="50"/>
      <c r="S156" s="39">
        <f>MAX(S148:S155)</f>
        <v>0</v>
      </c>
      <c r="T156" s="39">
        <f>MAX(T148:T155)</f>
        <v>0</v>
      </c>
      <c r="U156" s="39"/>
      <c r="V156" s="50"/>
      <c r="W156" s="39">
        <f t="shared" si="31"/>
        <v>0</v>
      </c>
      <c r="X156" s="39">
        <f t="shared" si="32"/>
        <v>0</v>
      </c>
      <c r="Y156" s="39"/>
      <c r="Z156" s="39"/>
    </row>
  </sheetData>
  <mergeCells count="4">
    <mergeCell ref="D1:L1"/>
    <mergeCell ref="N1:V1"/>
    <mergeCell ref="AB1:AD1"/>
    <mergeCell ref="AE1:AG1"/>
  </mergeCells>
  <phoneticPr fontId="7" type="noConversion"/>
  <conditionalFormatting sqref="AE3">
    <cfRule type="cellIs" dxfId="1179" priority="1211" operator="greaterThan">
      <formula>0.03</formula>
    </cfRule>
    <cfRule type="cellIs" dxfId="1178" priority="1212" stopIfTrue="1" operator="lessThan">
      <formula>-0.03</formula>
    </cfRule>
  </conditionalFormatting>
  <conditionalFormatting sqref="AF3">
    <cfRule type="cellIs" dxfId="1177" priority="1209" operator="greaterThan">
      <formula>0.03</formula>
    </cfRule>
    <cfRule type="cellIs" dxfId="1176" priority="1210" stopIfTrue="1" operator="lessThan">
      <formula>-0.03</formula>
    </cfRule>
  </conditionalFormatting>
  <conditionalFormatting sqref="AG3">
    <cfRule type="cellIs" dxfId="1175" priority="1207" operator="greaterThan">
      <formula>0.03</formula>
    </cfRule>
    <cfRule type="cellIs" dxfId="1174" priority="1208" stopIfTrue="1" operator="lessThan">
      <formula>-0.03</formula>
    </cfRule>
  </conditionalFormatting>
  <conditionalFormatting sqref="AE6:AF6">
    <cfRule type="cellIs" dxfId="1173" priority="1127" operator="greaterThan">
      <formula>0.03</formula>
    </cfRule>
    <cfRule type="cellIs" dxfId="1172" priority="1128" stopIfTrue="1" operator="lessThan">
      <formula>-0.03</formula>
    </cfRule>
  </conditionalFormatting>
  <conditionalFormatting sqref="AE7">
    <cfRule type="cellIs" dxfId="1171" priority="1205" operator="greaterThan">
      <formula>0.03</formula>
    </cfRule>
    <cfRule type="cellIs" dxfId="1170" priority="1206" stopIfTrue="1" operator="lessThan">
      <formula>-0.03</formula>
    </cfRule>
  </conditionalFormatting>
  <conditionalFormatting sqref="AF7">
    <cfRule type="cellIs" dxfId="1169" priority="1203" operator="greaterThan">
      <formula>0.03</formula>
    </cfRule>
    <cfRule type="cellIs" dxfId="1168" priority="1204" stopIfTrue="1" operator="lessThan">
      <formula>-0.03</formula>
    </cfRule>
  </conditionalFormatting>
  <conditionalFormatting sqref="AG7">
    <cfRule type="cellIs" dxfId="1167" priority="1201" operator="greaterThan">
      <formula>0.03</formula>
    </cfRule>
    <cfRule type="cellIs" dxfId="1166" priority="1202" stopIfTrue="1" operator="lessThan">
      <formula>-0.03</formula>
    </cfRule>
  </conditionalFormatting>
  <conditionalFormatting sqref="AE10:AF10">
    <cfRule type="cellIs" dxfId="1165" priority="1125" operator="greaterThan">
      <formula>0.03</formula>
    </cfRule>
    <cfRule type="cellIs" dxfId="1164" priority="1126" stopIfTrue="1" operator="lessThan">
      <formula>-0.03</formula>
    </cfRule>
  </conditionalFormatting>
  <conditionalFormatting sqref="AE11">
    <cfRule type="cellIs" dxfId="1163" priority="1199" operator="greaterThan">
      <formula>0.03</formula>
    </cfRule>
    <cfRule type="cellIs" dxfId="1162" priority="1200" stopIfTrue="1" operator="lessThan">
      <formula>-0.03</formula>
    </cfRule>
  </conditionalFormatting>
  <conditionalFormatting sqref="AF11">
    <cfRule type="cellIs" dxfId="1161" priority="1197" operator="greaterThan">
      <formula>0.03</formula>
    </cfRule>
    <cfRule type="cellIs" dxfId="1160" priority="1198" stopIfTrue="1" operator="lessThan">
      <formula>-0.03</formula>
    </cfRule>
  </conditionalFormatting>
  <conditionalFormatting sqref="AG11">
    <cfRule type="cellIs" dxfId="1159" priority="1195" operator="greaterThan">
      <formula>0.03</formula>
    </cfRule>
    <cfRule type="cellIs" dxfId="1158" priority="1196" stopIfTrue="1" operator="lessThan">
      <formula>-0.03</formula>
    </cfRule>
  </conditionalFormatting>
  <conditionalFormatting sqref="AE14:AF14">
    <cfRule type="cellIs" dxfId="1157" priority="1123" operator="greaterThan">
      <formula>0.03</formula>
    </cfRule>
    <cfRule type="cellIs" dxfId="1156" priority="1124" stopIfTrue="1" operator="lessThan">
      <formula>-0.03</formula>
    </cfRule>
  </conditionalFormatting>
  <conditionalFormatting sqref="AE15">
    <cfRule type="cellIs" dxfId="1155" priority="481" operator="greaterThan">
      <formula>0.03</formula>
    </cfRule>
    <cfRule type="cellIs" dxfId="1154" priority="482" stopIfTrue="1" operator="lessThan">
      <formula>-0.03</formula>
    </cfRule>
  </conditionalFormatting>
  <conditionalFormatting sqref="AF15">
    <cfRule type="cellIs" dxfId="1153" priority="479" operator="greaterThan">
      <formula>0.03</formula>
    </cfRule>
    <cfRule type="cellIs" dxfId="1152" priority="480" stopIfTrue="1" operator="lessThan">
      <formula>-0.03</formula>
    </cfRule>
  </conditionalFormatting>
  <conditionalFormatting sqref="AG15">
    <cfRule type="cellIs" dxfId="1151" priority="477" operator="greaterThan">
      <formula>0.03</formula>
    </cfRule>
    <cfRule type="cellIs" dxfId="1150" priority="478" stopIfTrue="1" operator="lessThan">
      <formula>-0.03</formula>
    </cfRule>
  </conditionalFormatting>
  <conditionalFormatting sqref="AE18:AF18">
    <cfRule type="cellIs" dxfId="1149" priority="457" operator="greaterThan">
      <formula>0.03</formula>
    </cfRule>
    <cfRule type="cellIs" dxfId="1148" priority="458" stopIfTrue="1" operator="lessThan">
      <formula>-0.03</formula>
    </cfRule>
  </conditionalFormatting>
  <conditionalFormatting sqref="AE19">
    <cfRule type="cellIs" dxfId="1147" priority="475" operator="greaterThan">
      <formula>0.03</formula>
    </cfRule>
    <cfRule type="cellIs" dxfId="1146" priority="476" stopIfTrue="1" operator="lessThan">
      <formula>-0.03</formula>
    </cfRule>
  </conditionalFormatting>
  <conditionalFormatting sqref="AF19">
    <cfRule type="cellIs" dxfId="1145" priority="473" operator="greaterThan">
      <formula>0.03</formula>
    </cfRule>
    <cfRule type="cellIs" dxfId="1144" priority="474" stopIfTrue="1" operator="lessThan">
      <formula>-0.03</formula>
    </cfRule>
  </conditionalFormatting>
  <conditionalFormatting sqref="AG19">
    <cfRule type="cellIs" dxfId="1143" priority="471" operator="greaterThan">
      <formula>0.03</formula>
    </cfRule>
    <cfRule type="cellIs" dxfId="1142" priority="472" stopIfTrue="1" operator="lessThan">
      <formula>-0.03</formula>
    </cfRule>
  </conditionalFormatting>
  <conditionalFormatting sqref="AE22:AF22">
    <cfRule type="cellIs" dxfId="1141" priority="455" operator="greaterThan">
      <formula>0.03</formula>
    </cfRule>
    <cfRule type="cellIs" dxfId="1140" priority="456" stopIfTrue="1" operator="lessThan">
      <formula>-0.03</formula>
    </cfRule>
  </conditionalFormatting>
  <conditionalFormatting sqref="AE23">
    <cfRule type="cellIs" dxfId="1139" priority="469" operator="greaterThan">
      <formula>0.03</formula>
    </cfRule>
    <cfRule type="cellIs" dxfId="1138" priority="470" stopIfTrue="1" operator="lessThan">
      <formula>-0.03</formula>
    </cfRule>
  </conditionalFormatting>
  <conditionalFormatting sqref="AF23">
    <cfRule type="cellIs" dxfId="1137" priority="467" operator="greaterThan">
      <formula>0.03</formula>
    </cfRule>
    <cfRule type="cellIs" dxfId="1136" priority="468" stopIfTrue="1" operator="lessThan">
      <formula>-0.03</formula>
    </cfRule>
  </conditionalFormatting>
  <conditionalFormatting sqref="AG23">
    <cfRule type="cellIs" dxfId="1135" priority="465" operator="greaterThan">
      <formula>0.03</formula>
    </cfRule>
    <cfRule type="cellIs" dxfId="1134" priority="466" stopIfTrue="1" operator="lessThan">
      <formula>-0.03</formula>
    </cfRule>
  </conditionalFormatting>
  <conditionalFormatting sqref="AE26:AF26">
    <cfRule type="cellIs" dxfId="1133" priority="453" operator="greaterThan">
      <formula>0.03</formula>
    </cfRule>
    <cfRule type="cellIs" dxfId="1132" priority="454" stopIfTrue="1" operator="lessThan">
      <formula>-0.03</formula>
    </cfRule>
  </conditionalFormatting>
  <conditionalFormatting sqref="AE27">
    <cfRule type="cellIs" dxfId="1131" priority="407" operator="greaterThan">
      <formula>0.03</formula>
    </cfRule>
    <cfRule type="cellIs" dxfId="1130" priority="408" stopIfTrue="1" operator="lessThan">
      <formula>-0.03</formula>
    </cfRule>
  </conditionalFormatting>
  <conditionalFormatting sqref="AF27">
    <cfRule type="cellIs" dxfId="1129" priority="405" operator="greaterThan">
      <formula>0.03</formula>
    </cfRule>
    <cfRule type="cellIs" dxfId="1128" priority="406" stopIfTrue="1" operator="lessThan">
      <formula>-0.03</formula>
    </cfRule>
  </conditionalFormatting>
  <conditionalFormatting sqref="AG27">
    <cfRule type="cellIs" dxfId="1127" priority="403" operator="greaterThan">
      <formula>0.03</formula>
    </cfRule>
    <cfRule type="cellIs" dxfId="1126" priority="404" stopIfTrue="1" operator="lessThan">
      <formula>-0.03</formula>
    </cfRule>
  </conditionalFormatting>
  <conditionalFormatting sqref="AE30:AF30">
    <cfRule type="cellIs" dxfId="1125" priority="401" operator="greaterThan">
      <formula>0.03</formula>
    </cfRule>
    <cfRule type="cellIs" dxfId="1124" priority="402" stopIfTrue="1" operator="lessThan">
      <formula>-0.03</formula>
    </cfRule>
  </conditionalFormatting>
  <conditionalFormatting sqref="AE31">
    <cfRule type="cellIs" dxfId="1123" priority="387" operator="greaterThan">
      <formula>0.03</formula>
    </cfRule>
    <cfRule type="cellIs" dxfId="1122" priority="388" stopIfTrue="1" operator="lessThan">
      <formula>-0.03</formula>
    </cfRule>
  </conditionalFormatting>
  <conditionalFormatting sqref="AF31">
    <cfRule type="cellIs" dxfId="1121" priority="385" operator="greaterThan">
      <formula>0.03</formula>
    </cfRule>
    <cfRule type="cellIs" dxfId="1120" priority="386" stopIfTrue="1" operator="lessThan">
      <formula>-0.03</formula>
    </cfRule>
  </conditionalFormatting>
  <conditionalFormatting sqref="AG31">
    <cfRule type="cellIs" dxfId="1119" priority="383" operator="greaterThan">
      <formula>0.03</formula>
    </cfRule>
    <cfRule type="cellIs" dxfId="1118" priority="384" stopIfTrue="1" operator="lessThan">
      <formula>-0.03</formula>
    </cfRule>
  </conditionalFormatting>
  <conditionalFormatting sqref="AE34:AF34">
    <cfRule type="cellIs" dxfId="1117" priority="375" operator="greaterThan">
      <formula>0.03</formula>
    </cfRule>
    <cfRule type="cellIs" dxfId="1116" priority="376" stopIfTrue="1" operator="lessThan">
      <formula>-0.03</formula>
    </cfRule>
  </conditionalFormatting>
  <conditionalFormatting sqref="AE35">
    <cfRule type="cellIs" dxfId="1115" priority="381" operator="greaterThan">
      <formula>0.03</formula>
    </cfRule>
    <cfRule type="cellIs" dxfId="1114" priority="382" stopIfTrue="1" operator="lessThan">
      <formula>-0.03</formula>
    </cfRule>
  </conditionalFormatting>
  <conditionalFormatting sqref="AF35">
    <cfRule type="cellIs" dxfId="1113" priority="379" operator="greaterThan">
      <formula>0.03</formula>
    </cfRule>
    <cfRule type="cellIs" dxfId="1112" priority="380" stopIfTrue="1" operator="lessThan">
      <formula>-0.03</formula>
    </cfRule>
  </conditionalFormatting>
  <conditionalFormatting sqref="AG35">
    <cfRule type="cellIs" dxfId="1111" priority="377" operator="greaterThan">
      <formula>0.03</formula>
    </cfRule>
    <cfRule type="cellIs" dxfId="1110" priority="378" stopIfTrue="1" operator="lessThan">
      <formula>-0.03</formula>
    </cfRule>
  </conditionalFormatting>
  <conditionalFormatting sqref="AE38:AF38">
    <cfRule type="cellIs" dxfId="1109" priority="373" operator="greaterThan">
      <formula>0.03</formula>
    </cfRule>
    <cfRule type="cellIs" dxfId="1108" priority="374" stopIfTrue="1" operator="lessThan">
      <formula>-0.03</formula>
    </cfRule>
  </conditionalFormatting>
  <conditionalFormatting sqref="AE39">
    <cfRule type="cellIs" dxfId="1107" priority="349" operator="greaterThan">
      <formula>0.03</formula>
    </cfRule>
    <cfRule type="cellIs" dxfId="1106" priority="350" stopIfTrue="1" operator="lessThan">
      <formula>-0.03</formula>
    </cfRule>
  </conditionalFormatting>
  <conditionalFormatting sqref="AF39">
    <cfRule type="cellIs" dxfId="1105" priority="347" operator="greaterThan">
      <formula>0.03</formula>
    </cfRule>
    <cfRule type="cellIs" dxfId="1104" priority="348" stopIfTrue="1" operator="lessThan">
      <formula>-0.03</formula>
    </cfRule>
  </conditionalFormatting>
  <conditionalFormatting sqref="AG39">
    <cfRule type="cellIs" dxfId="1103" priority="345" operator="greaterThan">
      <formula>0.03</formula>
    </cfRule>
    <cfRule type="cellIs" dxfId="1102" priority="346" stopIfTrue="1" operator="lessThan">
      <formula>-0.03</formula>
    </cfRule>
  </conditionalFormatting>
  <conditionalFormatting sqref="AE42:AF42">
    <cfRule type="cellIs" dxfId="1101" priority="337" operator="greaterThan">
      <formula>0.03</formula>
    </cfRule>
    <cfRule type="cellIs" dxfId="1100" priority="338" stopIfTrue="1" operator="lessThan">
      <formula>-0.03</formula>
    </cfRule>
  </conditionalFormatting>
  <conditionalFormatting sqref="AE43">
    <cfRule type="cellIs" dxfId="1099" priority="343" operator="greaterThan">
      <formula>0.03</formula>
    </cfRule>
    <cfRule type="cellIs" dxfId="1098" priority="344" stopIfTrue="1" operator="lessThan">
      <formula>-0.03</formula>
    </cfRule>
  </conditionalFormatting>
  <conditionalFormatting sqref="AF43">
    <cfRule type="cellIs" dxfId="1097" priority="341" operator="greaterThan">
      <formula>0.03</formula>
    </cfRule>
    <cfRule type="cellIs" dxfId="1096" priority="342" stopIfTrue="1" operator="lessThan">
      <formula>-0.03</formula>
    </cfRule>
  </conditionalFormatting>
  <conditionalFormatting sqref="AG43">
    <cfRule type="cellIs" dxfId="1095" priority="339" operator="greaterThan">
      <formula>0.03</formula>
    </cfRule>
    <cfRule type="cellIs" dxfId="1094" priority="340" stopIfTrue="1" operator="lessThan">
      <formula>-0.03</formula>
    </cfRule>
  </conditionalFormatting>
  <conditionalFormatting sqref="AE46:AF46">
    <cfRule type="cellIs" dxfId="1093" priority="335" operator="greaterThan">
      <formula>0.03</formula>
    </cfRule>
    <cfRule type="cellIs" dxfId="1092" priority="336" stopIfTrue="1" operator="lessThan">
      <formula>-0.03</formula>
    </cfRule>
  </conditionalFormatting>
  <conditionalFormatting sqref="AE47">
    <cfRule type="cellIs" dxfId="1091" priority="311" operator="greaterThan">
      <formula>0.03</formula>
    </cfRule>
    <cfRule type="cellIs" dxfId="1090" priority="312" stopIfTrue="1" operator="lessThan">
      <formula>-0.03</formula>
    </cfRule>
  </conditionalFormatting>
  <conditionalFormatting sqref="AF47">
    <cfRule type="cellIs" dxfId="1089" priority="309" operator="greaterThan">
      <formula>0.03</formula>
    </cfRule>
    <cfRule type="cellIs" dxfId="1088" priority="310" stopIfTrue="1" operator="lessThan">
      <formula>-0.03</formula>
    </cfRule>
  </conditionalFormatting>
  <conditionalFormatting sqref="AG47">
    <cfRule type="cellIs" dxfId="1087" priority="307" operator="greaterThan">
      <formula>0.03</formula>
    </cfRule>
    <cfRule type="cellIs" dxfId="1086" priority="308" stopIfTrue="1" operator="lessThan">
      <formula>-0.03</formula>
    </cfRule>
  </conditionalFormatting>
  <conditionalFormatting sqref="AE50:AF50">
    <cfRule type="cellIs" dxfId="1085" priority="287" operator="greaterThan">
      <formula>0.03</formula>
    </cfRule>
    <cfRule type="cellIs" dxfId="1084" priority="288" stopIfTrue="1" operator="lessThan">
      <formula>-0.03</formula>
    </cfRule>
  </conditionalFormatting>
  <conditionalFormatting sqref="AE51">
    <cfRule type="cellIs" dxfId="1083" priority="305" operator="greaterThan">
      <formula>0.03</formula>
    </cfRule>
    <cfRule type="cellIs" dxfId="1082" priority="306" stopIfTrue="1" operator="lessThan">
      <formula>-0.03</formula>
    </cfRule>
  </conditionalFormatting>
  <conditionalFormatting sqref="AF51">
    <cfRule type="cellIs" dxfId="1081" priority="303" operator="greaterThan">
      <formula>0.03</formula>
    </cfRule>
    <cfRule type="cellIs" dxfId="1080" priority="304" stopIfTrue="1" operator="lessThan">
      <formula>-0.03</formula>
    </cfRule>
  </conditionalFormatting>
  <conditionalFormatting sqref="AG51">
    <cfRule type="cellIs" dxfId="1079" priority="301" operator="greaterThan">
      <formula>0.03</formula>
    </cfRule>
    <cfRule type="cellIs" dxfId="1078" priority="302" stopIfTrue="1" operator="lessThan">
      <formula>-0.03</formula>
    </cfRule>
  </conditionalFormatting>
  <conditionalFormatting sqref="AE54:AF54">
    <cfRule type="cellIs" dxfId="1077" priority="285" operator="greaterThan">
      <formula>0.03</formula>
    </cfRule>
    <cfRule type="cellIs" dxfId="1076" priority="286" stopIfTrue="1" operator="lessThan">
      <formula>-0.03</formula>
    </cfRule>
  </conditionalFormatting>
  <conditionalFormatting sqref="AE55">
    <cfRule type="cellIs" dxfId="1075" priority="299" operator="greaterThan">
      <formula>0.03</formula>
    </cfRule>
    <cfRule type="cellIs" dxfId="1074" priority="300" stopIfTrue="1" operator="lessThan">
      <formula>-0.03</formula>
    </cfRule>
  </conditionalFormatting>
  <conditionalFormatting sqref="AF55">
    <cfRule type="cellIs" dxfId="1073" priority="297" operator="greaterThan">
      <formula>0.03</formula>
    </cfRule>
    <cfRule type="cellIs" dxfId="1072" priority="298" stopIfTrue="1" operator="lessThan">
      <formula>-0.03</formula>
    </cfRule>
  </conditionalFormatting>
  <conditionalFormatting sqref="AG55">
    <cfRule type="cellIs" dxfId="1071" priority="295" operator="greaterThan">
      <formula>0.03</formula>
    </cfRule>
    <cfRule type="cellIs" dxfId="1070" priority="296" stopIfTrue="1" operator="lessThan">
      <formula>-0.03</formula>
    </cfRule>
  </conditionalFormatting>
  <conditionalFormatting sqref="AE58:AF58">
    <cfRule type="cellIs" dxfId="1069" priority="283" operator="greaterThan">
      <formula>0.03</formula>
    </cfRule>
    <cfRule type="cellIs" dxfId="1068" priority="284" stopIfTrue="1" operator="lessThan">
      <formula>-0.03</formula>
    </cfRule>
  </conditionalFormatting>
  <conditionalFormatting sqref="AE59">
    <cfRule type="cellIs" dxfId="1067" priority="293" operator="greaterThan">
      <formula>0.03</formula>
    </cfRule>
    <cfRule type="cellIs" dxfId="1066" priority="294" stopIfTrue="1" operator="lessThan">
      <formula>-0.03</formula>
    </cfRule>
  </conditionalFormatting>
  <conditionalFormatting sqref="AF59">
    <cfRule type="cellIs" dxfId="1065" priority="291" operator="greaterThan">
      <formula>0.03</formula>
    </cfRule>
    <cfRule type="cellIs" dxfId="1064" priority="292" stopIfTrue="1" operator="lessThan">
      <formula>-0.03</formula>
    </cfRule>
  </conditionalFormatting>
  <conditionalFormatting sqref="AG59">
    <cfRule type="cellIs" dxfId="1063" priority="289" operator="greaterThan">
      <formula>0.03</formula>
    </cfRule>
    <cfRule type="cellIs" dxfId="1062" priority="290" stopIfTrue="1" operator="lessThan">
      <formula>-0.03</formula>
    </cfRule>
  </conditionalFormatting>
  <conditionalFormatting sqref="AE62:AF62">
    <cfRule type="cellIs" dxfId="1061" priority="281" operator="greaterThan">
      <formula>0.03</formula>
    </cfRule>
    <cfRule type="cellIs" dxfId="1060" priority="282" stopIfTrue="1" operator="lessThan">
      <formula>-0.03</formula>
    </cfRule>
  </conditionalFormatting>
  <conditionalFormatting sqref="AE63">
    <cfRule type="cellIs" dxfId="1059" priority="237" operator="greaterThan">
      <formula>0.03</formula>
    </cfRule>
    <cfRule type="cellIs" dxfId="1058" priority="238" stopIfTrue="1" operator="lessThan">
      <formula>-0.03</formula>
    </cfRule>
  </conditionalFormatting>
  <conditionalFormatting sqref="AF63">
    <cfRule type="cellIs" dxfId="1057" priority="235" operator="greaterThan">
      <formula>0.03</formula>
    </cfRule>
    <cfRule type="cellIs" dxfId="1056" priority="236" stopIfTrue="1" operator="lessThan">
      <formula>-0.03</formula>
    </cfRule>
  </conditionalFormatting>
  <conditionalFormatting sqref="AG63">
    <cfRule type="cellIs" dxfId="1055" priority="233" operator="greaterThan">
      <formula>0.03</formula>
    </cfRule>
    <cfRule type="cellIs" dxfId="1054" priority="234" stopIfTrue="1" operator="lessThan">
      <formula>-0.03</formula>
    </cfRule>
  </conditionalFormatting>
  <conditionalFormatting sqref="AE66:AF66">
    <cfRule type="cellIs" dxfId="1053" priority="213" operator="greaterThan">
      <formula>0.03</formula>
    </cfRule>
    <cfRule type="cellIs" dxfId="1052" priority="214" stopIfTrue="1" operator="lessThan">
      <formula>-0.03</formula>
    </cfRule>
  </conditionalFormatting>
  <conditionalFormatting sqref="AE67">
    <cfRule type="cellIs" dxfId="1051" priority="231" operator="greaterThan">
      <formula>0.03</formula>
    </cfRule>
    <cfRule type="cellIs" dxfId="1050" priority="232" stopIfTrue="1" operator="lessThan">
      <formula>-0.03</formula>
    </cfRule>
  </conditionalFormatting>
  <conditionalFormatting sqref="AF67">
    <cfRule type="cellIs" dxfId="1049" priority="229" operator="greaterThan">
      <formula>0.03</formula>
    </cfRule>
    <cfRule type="cellIs" dxfId="1048" priority="230" stopIfTrue="1" operator="lessThan">
      <formula>-0.03</formula>
    </cfRule>
  </conditionalFormatting>
  <conditionalFormatting sqref="AG67">
    <cfRule type="cellIs" dxfId="1047" priority="227" operator="greaterThan">
      <formula>0.03</formula>
    </cfRule>
    <cfRule type="cellIs" dxfId="1046" priority="228" stopIfTrue="1" operator="lessThan">
      <formula>-0.03</formula>
    </cfRule>
  </conditionalFormatting>
  <conditionalFormatting sqref="AE70:AF70">
    <cfRule type="cellIs" dxfId="1045" priority="211" operator="greaterThan">
      <formula>0.03</formula>
    </cfRule>
    <cfRule type="cellIs" dxfId="1044" priority="212" stopIfTrue="1" operator="lessThan">
      <formula>-0.03</formula>
    </cfRule>
  </conditionalFormatting>
  <conditionalFormatting sqref="AE71">
    <cfRule type="cellIs" dxfId="1043" priority="225" operator="greaterThan">
      <formula>0.03</formula>
    </cfRule>
    <cfRule type="cellIs" dxfId="1042" priority="226" stopIfTrue="1" operator="lessThan">
      <formula>-0.03</formula>
    </cfRule>
  </conditionalFormatting>
  <conditionalFormatting sqref="AF71">
    <cfRule type="cellIs" dxfId="1041" priority="223" operator="greaterThan">
      <formula>0.03</formula>
    </cfRule>
    <cfRule type="cellIs" dxfId="1040" priority="224" stopIfTrue="1" operator="lessThan">
      <formula>-0.03</formula>
    </cfRule>
  </conditionalFormatting>
  <conditionalFormatting sqref="AG71">
    <cfRule type="cellIs" dxfId="1039" priority="221" operator="greaterThan">
      <formula>0.03</formula>
    </cfRule>
    <cfRule type="cellIs" dxfId="1038" priority="222" stopIfTrue="1" operator="lessThan">
      <formula>-0.03</formula>
    </cfRule>
  </conditionalFormatting>
  <conditionalFormatting sqref="AE74:AF74">
    <cfRule type="cellIs" dxfId="1037" priority="209" operator="greaterThan">
      <formula>0.03</formula>
    </cfRule>
    <cfRule type="cellIs" dxfId="1036" priority="210" stopIfTrue="1" operator="lessThan">
      <formula>-0.03</formula>
    </cfRule>
  </conditionalFormatting>
  <conditionalFormatting sqref="AE75">
    <cfRule type="cellIs" dxfId="1035" priority="219" operator="greaterThan">
      <formula>0.03</formula>
    </cfRule>
    <cfRule type="cellIs" dxfId="1034" priority="220" stopIfTrue="1" operator="lessThan">
      <formula>-0.03</formula>
    </cfRule>
  </conditionalFormatting>
  <conditionalFormatting sqref="AF75">
    <cfRule type="cellIs" dxfId="1033" priority="217" operator="greaterThan">
      <formula>0.03</formula>
    </cfRule>
    <cfRule type="cellIs" dxfId="1032" priority="218" stopIfTrue="1" operator="lessThan">
      <formula>-0.03</formula>
    </cfRule>
  </conditionalFormatting>
  <conditionalFormatting sqref="AG75">
    <cfRule type="cellIs" dxfId="1031" priority="215" operator="greaterThan">
      <formula>0.03</formula>
    </cfRule>
    <cfRule type="cellIs" dxfId="1030" priority="216" stopIfTrue="1" operator="lessThan">
      <formula>-0.03</formula>
    </cfRule>
  </conditionalFormatting>
  <conditionalFormatting sqref="AE78:AF78">
    <cfRule type="cellIs" dxfId="1029" priority="207" operator="greaterThan">
      <formula>0.03</formula>
    </cfRule>
    <cfRule type="cellIs" dxfId="1028" priority="208" stopIfTrue="1" operator="lessThan">
      <formula>-0.03</formula>
    </cfRule>
  </conditionalFormatting>
  <conditionalFormatting sqref="AE79">
    <cfRule type="cellIs" dxfId="1027" priority="89" operator="greaterThan">
      <formula>0.03</formula>
    </cfRule>
    <cfRule type="cellIs" dxfId="1026" priority="90" stopIfTrue="1" operator="lessThan">
      <formula>-0.03</formula>
    </cfRule>
  </conditionalFormatting>
  <conditionalFormatting sqref="AF79">
    <cfRule type="cellIs" dxfId="1025" priority="87" operator="greaterThan">
      <formula>0.03</formula>
    </cfRule>
    <cfRule type="cellIs" dxfId="1024" priority="88" stopIfTrue="1" operator="lessThan">
      <formula>-0.03</formula>
    </cfRule>
  </conditionalFormatting>
  <conditionalFormatting sqref="AG79">
    <cfRule type="cellIs" dxfId="1023" priority="85" operator="greaterThan">
      <formula>0.03</formula>
    </cfRule>
    <cfRule type="cellIs" dxfId="1022" priority="86" stopIfTrue="1" operator="lessThan">
      <formula>-0.03</formula>
    </cfRule>
  </conditionalFormatting>
  <conditionalFormatting sqref="AE82:AF82">
    <cfRule type="cellIs" dxfId="1021" priority="71" operator="greaterThan">
      <formula>0.03</formula>
    </cfRule>
    <cfRule type="cellIs" dxfId="1020" priority="72" stopIfTrue="1" operator="lessThan">
      <formula>-0.03</formula>
    </cfRule>
  </conditionalFormatting>
  <conditionalFormatting sqref="AE83">
    <cfRule type="cellIs" dxfId="1019" priority="83" operator="greaterThan">
      <formula>0.03</formula>
    </cfRule>
    <cfRule type="cellIs" dxfId="1018" priority="84" stopIfTrue="1" operator="lessThan">
      <formula>-0.03</formula>
    </cfRule>
  </conditionalFormatting>
  <conditionalFormatting sqref="AF83">
    <cfRule type="cellIs" dxfId="1017" priority="81" operator="greaterThan">
      <formula>0.03</formula>
    </cfRule>
    <cfRule type="cellIs" dxfId="1016" priority="82" stopIfTrue="1" operator="lessThan">
      <formula>-0.03</formula>
    </cfRule>
  </conditionalFormatting>
  <conditionalFormatting sqref="AG83">
    <cfRule type="cellIs" dxfId="1015" priority="79" operator="greaterThan">
      <formula>0.03</formula>
    </cfRule>
    <cfRule type="cellIs" dxfId="1014" priority="80" stopIfTrue="1" operator="lessThan">
      <formula>-0.03</formula>
    </cfRule>
  </conditionalFormatting>
  <conditionalFormatting sqref="AE86:AF86">
    <cfRule type="cellIs" dxfId="1013" priority="69" operator="greaterThan">
      <formula>0.03</formula>
    </cfRule>
    <cfRule type="cellIs" dxfId="1012" priority="70" stopIfTrue="1" operator="lessThan">
      <formula>-0.03</formula>
    </cfRule>
  </conditionalFormatting>
  <conditionalFormatting sqref="AE87">
    <cfRule type="cellIs" dxfId="1011" priority="77" operator="greaterThan">
      <formula>0.03</formula>
    </cfRule>
    <cfRule type="cellIs" dxfId="1010" priority="78" stopIfTrue="1" operator="lessThan">
      <formula>-0.03</formula>
    </cfRule>
  </conditionalFormatting>
  <conditionalFormatting sqref="AF87">
    <cfRule type="cellIs" dxfId="1009" priority="75" operator="greaterThan">
      <formula>0.03</formula>
    </cfRule>
    <cfRule type="cellIs" dxfId="1008" priority="76" stopIfTrue="1" operator="lessThan">
      <formula>-0.03</formula>
    </cfRule>
  </conditionalFormatting>
  <conditionalFormatting sqref="AG87">
    <cfRule type="cellIs" dxfId="1007" priority="73" operator="greaterThan">
      <formula>0.03</formula>
    </cfRule>
    <cfRule type="cellIs" dxfId="1006" priority="74" stopIfTrue="1" operator="lessThan">
      <formula>-0.03</formula>
    </cfRule>
  </conditionalFormatting>
  <conditionalFormatting sqref="AE90:AF90">
    <cfRule type="cellIs" dxfId="1005" priority="67" operator="greaterThan">
      <formula>0.03</formula>
    </cfRule>
    <cfRule type="cellIs" dxfId="1004" priority="68" stopIfTrue="1" operator="lessThan">
      <formula>-0.03</formula>
    </cfRule>
  </conditionalFormatting>
  <conditionalFormatting sqref="AE91">
    <cfRule type="cellIs" dxfId="1003" priority="163" operator="greaterThan">
      <formula>0.03</formula>
    </cfRule>
    <cfRule type="cellIs" dxfId="1002" priority="164" stopIfTrue="1" operator="lessThan">
      <formula>-0.03</formula>
    </cfRule>
  </conditionalFormatting>
  <conditionalFormatting sqref="AF91">
    <cfRule type="cellIs" dxfId="1001" priority="161" operator="greaterThan">
      <formula>0.03</formula>
    </cfRule>
    <cfRule type="cellIs" dxfId="1000" priority="162" stopIfTrue="1" operator="lessThan">
      <formula>-0.03</formula>
    </cfRule>
  </conditionalFormatting>
  <conditionalFormatting sqref="AG91">
    <cfRule type="cellIs" dxfId="999" priority="159" operator="greaterThan">
      <formula>0.03</formula>
    </cfRule>
    <cfRule type="cellIs" dxfId="998" priority="160" stopIfTrue="1" operator="lessThan">
      <formula>-0.03</formula>
    </cfRule>
  </conditionalFormatting>
  <conditionalFormatting sqref="AE94:AF94">
    <cfRule type="cellIs" dxfId="997" priority="139" operator="greaterThan">
      <formula>0.03</formula>
    </cfRule>
    <cfRule type="cellIs" dxfId="996" priority="140" stopIfTrue="1" operator="lessThan">
      <formula>-0.03</formula>
    </cfRule>
  </conditionalFormatting>
  <conditionalFormatting sqref="AE95">
    <cfRule type="cellIs" dxfId="995" priority="157" operator="greaterThan">
      <formula>0.03</formula>
    </cfRule>
    <cfRule type="cellIs" dxfId="994" priority="158" stopIfTrue="1" operator="lessThan">
      <formula>-0.03</formula>
    </cfRule>
  </conditionalFormatting>
  <conditionalFormatting sqref="AF95">
    <cfRule type="cellIs" dxfId="993" priority="155" operator="greaterThan">
      <formula>0.03</formula>
    </cfRule>
    <cfRule type="cellIs" dxfId="992" priority="156" stopIfTrue="1" operator="lessThan">
      <formula>-0.03</formula>
    </cfRule>
  </conditionalFormatting>
  <conditionalFormatting sqref="AG95">
    <cfRule type="cellIs" dxfId="991" priority="153" operator="greaterThan">
      <formula>0.03</formula>
    </cfRule>
    <cfRule type="cellIs" dxfId="990" priority="154" stopIfTrue="1" operator="lessThan">
      <formula>-0.03</formula>
    </cfRule>
  </conditionalFormatting>
  <conditionalFormatting sqref="AE98:AF98">
    <cfRule type="cellIs" dxfId="989" priority="137" operator="greaterThan">
      <formula>0.03</formula>
    </cfRule>
    <cfRule type="cellIs" dxfId="988" priority="138" stopIfTrue="1" operator="lessThan">
      <formula>-0.03</formula>
    </cfRule>
  </conditionalFormatting>
  <conditionalFormatting sqref="AE99">
    <cfRule type="cellIs" dxfId="987" priority="151" operator="greaterThan">
      <formula>0.03</formula>
    </cfRule>
    <cfRule type="cellIs" dxfId="986" priority="152" stopIfTrue="1" operator="lessThan">
      <formula>-0.03</formula>
    </cfRule>
  </conditionalFormatting>
  <conditionalFormatting sqref="AF99">
    <cfRule type="cellIs" dxfId="985" priority="149" operator="greaterThan">
      <formula>0.03</formula>
    </cfRule>
    <cfRule type="cellIs" dxfId="984" priority="150" stopIfTrue="1" operator="lessThan">
      <formula>-0.03</formula>
    </cfRule>
  </conditionalFormatting>
  <conditionalFormatting sqref="AG99">
    <cfRule type="cellIs" dxfId="983" priority="147" operator="greaterThan">
      <formula>0.03</formula>
    </cfRule>
    <cfRule type="cellIs" dxfId="982" priority="148" stopIfTrue="1" operator="lessThan">
      <formula>-0.03</formula>
    </cfRule>
  </conditionalFormatting>
  <conditionalFormatting sqref="AE102:AF102">
    <cfRule type="cellIs" dxfId="981" priority="135" operator="greaterThan">
      <formula>0.03</formula>
    </cfRule>
    <cfRule type="cellIs" dxfId="980" priority="136" stopIfTrue="1" operator="lessThan">
      <formula>-0.03</formula>
    </cfRule>
  </conditionalFormatting>
  <conditionalFormatting sqref="AE103">
    <cfRule type="cellIs" dxfId="979" priority="145" operator="greaterThan">
      <formula>0.03</formula>
    </cfRule>
    <cfRule type="cellIs" dxfId="978" priority="146" stopIfTrue="1" operator="lessThan">
      <formula>-0.03</formula>
    </cfRule>
  </conditionalFormatting>
  <conditionalFormatting sqref="AF103">
    <cfRule type="cellIs" dxfId="977" priority="143" operator="greaterThan">
      <formula>0.03</formula>
    </cfRule>
    <cfRule type="cellIs" dxfId="976" priority="144" stopIfTrue="1" operator="lessThan">
      <formula>-0.03</formula>
    </cfRule>
  </conditionalFormatting>
  <conditionalFormatting sqref="AG103">
    <cfRule type="cellIs" dxfId="975" priority="141" operator="greaterThan">
      <formula>0.03</formula>
    </cfRule>
    <cfRule type="cellIs" dxfId="974" priority="142" stopIfTrue="1" operator="lessThan">
      <formula>-0.03</formula>
    </cfRule>
  </conditionalFormatting>
  <conditionalFormatting sqref="AE106:AF106">
    <cfRule type="cellIs" dxfId="973" priority="133" operator="greaterThan">
      <formula>0.03</formula>
    </cfRule>
    <cfRule type="cellIs" dxfId="972" priority="134" stopIfTrue="1" operator="lessThan">
      <formula>-0.03</formula>
    </cfRule>
  </conditionalFormatting>
  <conditionalFormatting sqref="AE107">
    <cfRule type="cellIs" dxfId="971" priority="33" operator="greaterThan">
      <formula>0.03</formula>
    </cfRule>
    <cfRule type="cellIs" dxfId="970" priority="34" stopIfTrue="1" operator="lessThan">
      <formula>-0.03</formula>
    </cfRule>
  </conditionalFormatting>
  <conditionalFormatting sqref="AF107">
    <cfRule type="cellIs" dxfId="969" priority="31" operator="greaterThan">
      <formula>0.03</formula>
    </cfRule>
    <cfRule type="cellIs" dxfId="968" priority="32" stopIfTrue="1" operator="lessThan">
      <formula>-0.03</formula>
    </cfRule>
  </conditionalFormatting>
  <conditionalFormatting sqref="AG107">
    <cfRule type="cellIs" dxfId="967" priority="29" operator="greaterThan">
      <formula>0.03</formula>
    </cfRule>
    <cfRule type="cellIs" dxfId="966" priority="30" stopIfTrue="1" operator="lessThan">
      <formula>-0.03</formula>
    </cfRule>
  </conditionalFormatting>
  <conditionalFormatting sqref="AE110:AF110">
    <cfRule type="cellIs" dxfId="965" priority="9" operator="greaterThan">
      <formula>0.03</formula>
    </cfRule>
    <cfRule type="cellIs" dxfId="964" priority="10" stopIfTrue="1" operator="lessThan">
      <formula>-0.03</formula>
    </cfRule>
  </conditionalFormatting>
  <conditionalFormatting sqref="AE111">
    <cfRule type="cellIs" dxfId="963" priority="27" operator="greaterThan">
      <formula>0.03</formula>
    </cfRule>
    <cfRule type="cellIs" dxfId="962" priority="28" stopIfTrue="1" operator="lessThan">
      <formula>-0.03</formula>
    </cfRule>
  </conditionalFormatting>
  <conditionalFormatting sqref="AF111">
    <cfRule type="cellIs" dxfId="961" priority="25" operator="greaterThan">
      <formula>0.03</formula>
    </cfRule>
    <cfRule type="cellIs" dxfId="960" priority="26" stopIfTrue="1" operator="lessThan">
      <formula>-0.03</formula>
    </cfRule>
  </conditionalFormatting>
  <conditionalFormatting sqref="AG111">
    <cfRule type="cellIs" dxfId="959" priority="23" operator="greaterThan">
      <formula>0.03</formula>
    </cfRule>
    <cfRule type="cellIs" dxfId="958" priority="24" stopIfTrue="1" operator="lessThan">
      <formula>-0.03</formula>
    </cfRule>
  </conditionalFormatting>
  <conditionalFormatting sqref="AE114:AF114">
    <cfRule type="cellIs" dxfId="957" priority="7" operator="greaterThan">
      <formula>0.03</formula>
    </cfRule>
    <cfRule type="cellIs" dxfId="956" priority="8" stopIfTrue="1" operator="lessThan">
      <formula>-0.03</formula>
    </cfRule>
  </conditionalFormatting>
  <conditionalFormatting sqref="AE115">
    <cfRule type="cellIs" dxfId="955" priority="21" operator="greaterThan">
      <formula>0.03</formula>
    </cfRule>
    <cfRule type="cellIs" dxfId="954" priority="22" stopIfTrue="1" operator="lessThan">
      <formula>-0.03</formula>
    </cfRule>
  </conditionalFormatting>
  <conditionalFormatting sqref="AF115">
    <cfRule type="cellIs" dxfId="953" priority="19" operator="greaterThan">
      <formula>0.03</formula>
    </cfRule>
    <cfRule type="cellIs" dxfId="952" priority="20" stopIfTrue="1" operator="lessThan">
      <formula>-0.03</formula>
    </cfRule>
  </conditionalFormatting>
  <conditionalFormatting sqref="AG115">
    <cfRule type="cellIs" dxfId="951" priority="17" operator="greaterThan">
      <formula>0.03</formula>
    </cfRule>
    <cfRule type="cellIs" dxfId="950" priority="18" stopIfTrue="1" operator="lessThan">
      <formula>-0.03</formula>
    </cfRule>
  </conditionalFormatting>
  <conditionalFormatting sqref="AE118:AF118">
    <cfRule type="cellIs" dxfId="949" priority="5" operator="greaterThan">
      <formula>0.03</formula>
    </cfRule>
    <cfRule type="cellIs" dxfId="948" priority="6" stopIfTrue="1" operator="lessThan">
      <formula>-0.03</formula>
    </cfRule>
  </conditionalFormatting>
  <conditionalFormatting sqref="AE119">
    <cfRule type="cellIs" dxfId="947" priority="15" operator="greaterThan">
      <formula>0.03</formula>
    </cfRule>
    <cfRule type="cellIs" dxfId="946" priority="16" stopIfTrue="1" operator="lessThan">
      <formula>-0.03</formula>
    </cfRule>
  </conditionalFormatting>
  <conditionalFormatting sqref="AF119">
    <cfRule type="cellIs" dxfId="945" priority="13" operator="greaterThan">
      <formula>0.03</formula>
    </cfRule>
    <cfRule type="cellIs" dxfId="944" priority="14" stopIfTrue="1" operator="lessThan">
      <formula>-0.03</formula>
    </cfRule>
  </conditionalFormatting>
  <conditionalFormatting sqref="AG119">
    <cfRule type="cellIs" dxfId="943" priority="11" operator="greaterThan">
      <formula>0.03</formula>
    </cfRule>
    <cfRule type="cellIs" dxfId="942" priority="12" stopIfTrue="1" operator="lessThan">
      <formula>-0.03</formula>
    </cfRule>
  </conditionalFormatting>
  <conditionalFormatting sqref="AE122:AF122">
    <cfRule type="cellIs" dxfId="941" priority="3" operator="greaterThan">
      <formula>0.03</formula>
    </cfRule>
    <cfRule type="cellIs" dxfId="940" priority="4" stopIfTrue="1" operator="lessThan">
      <formula>-0.03</formula>
    </cfRule>
  </conditionalFormatting>
  <conditionalFormatting sqref="AB124:AG124">
    <cfRule type="cellIs" dxfId="939" priority="499" operator="greaterThan">
      <formula>0.03</formula>
    </cfRule>
    <cfRule type="cellIs" dxfId="938" priority="500" stopIfTrue="1" operator="lessThan">
      <formula>-0.03</formula>
    </cfRule>
  </conditionalFormatting>
  <conditionalFormatting sqref="AB126:AG126">
    <cfRule type="cellIs" dxfId="937" priority="591" operator="greaterThan">
      <formula>0.03</formula>
    </cfRule>
    <cfRule type="cellIs" dxfId="936" priority="592" stopIfTrue="1" operator="lessThan">
      <formula>-0.03</formula>
    </cfRule>
  </conditionalFormatting>
  <conditionalFormatting sqref="AB129:AG129">
    <cfRule type="cellIs" dxfId="935" priority="589" operator="greaterThan">
      <formula>0.03</formula>
    </cfRule>
    <cfRule type="cellIs" dxfId="934" priority="590" stopIfTrue="1" operator="lessThan">
      <formula>-0.03</formula>
    </cfRule>
  </conditionalFormatting>
  <conditionalFormatting sqref="AB130:AG130">
    <cfRule type="cellIs" dxfId="933" priority="1" operator="greaterThan">
      <formula>0.03</formula>
    </cfRule>
    <cfRule type="cellIs" dxfId="932" priority="2" stopIfTrue="1" operator="lessThan">
      <formula>-0.03</formula>
    </cfRule>
  </conditionalFormatting>
  <conditionalFormatting sqref="AB131:AG131">
    <cfRule type="cellIs" dxfId="931" priority="597" operator="greaterThan">
      <formula>0.03</formula>
    </cfRule>
    <cfRule type="cellIs" dxfId="930" priority="598" stopIfTrue="1" operator="lessThan">
      <formula>-0.03</formula>
    </cfRule>
  </conditionalFormatting>
  <conditionalFormatting sqref="AB3:AD14">
    <cfRule type="cellIs" dxfId="929" priority="1213" operator="greaterThan">
      <formula>0.03</formula>
    </cfRule>
    <cfRule type="cellIs" dxfId="928" priority="1214" stopIfTrue="1" operator="lessThan">
      <formula>-0.03</formula>
    </cfRule>
  </conditionalFormatting>
  <conditionalFormatting sqref="AB15:AD26">
    <cfRule type="cellIs" dxfId="927" priority="483" operator="greaterThan">
      <formula>0.03</formula>
    </cfRule>
    <cfRule type="cellIs" dxfId="926" priority="484" stopIfTrue="1" operator="lessThan">
      <formula>-0.03</formula>
    </cfRule>
  </conditionalFormatting>
  <conditionalFormatting sqref="AB27:AD30">
    <cfRule type="cellIs" dxfId="925" priority="409" operator="greaterThan">
      <formula>0.03</formula>
    </cfRule>
    <cfRule type="cellIs" dxfId="924" priority="410" stopIfTrue="1" operator="lessThan">
      <formula>-0.03</formula>
    </cfRule>
  </conditionalFormatting>
  <conditionalFormatting sqref="AB31:AD38">
    <cfRule type="cellIs" dxfId="923" priority="389" operator="greaterThan">
      <formula>0.03</formula>
    </cfRule>
    <cfRule type="cellIs" dxfId="922" priority="390" stopIfTrue="1" operator="lessThan">
      <formula>-0.03</formula>
    </cfRule>
  </conditionalFormatting>
  <conditionalFormatting sqref="AB39:AD46">
    <cfRule type="cellIs" dxfId="921" priority="351" operator="greaterThan">
      <formula>0.03</formula>
    </cfRule>
    <cfRule type="cellIs" dxfId="920" priority="352" stopIfTrue="1" operator="lessThan">
      <formula>-0.03</formula>
    </cfRule>
  </conditionalFormatting>
  <conditionalFormatting sqref="AB47:AD62">
    <cfRule type="cellIs" dxfId="919" priority="313" operator="greaterThan">
      <formula>0.03</formula>
    </cfRule>
    <cfRule type="cellIs" dxfId="918" priority="314" stopIfTrue="1" operator="lessThan">
      <formula>-0.03</formula>
    </cfRule>
  </conditionalFormatting>
  <conditionalFormatting sqref="AB63:AD78">
    <cfRule type="cellIs" dxfId="917" priority="239" operator="greaterThan">
      <formula>0.03</formula>
    </cfRule>
    <cfRule type="cellIs" dxfId="916" priority="240" stopIfTrue="1" operator="lessThan">
      <formula>-0.03</formula>
    </cfRule>
  </conditionalFormatting>
  <conditionalFormatting sqref="AB79:AD90">
    <cfRule type="cellIs" dxfId="915" priority="91" operator="greaterThan">
      <formula>0.03</formula>
    </cfRule>
    <cfRule type="cellIs" dxfId="914" priority="92" stopIfTrue="1" operator="lessThan">
      <formula>-0.03</formula>
    </cfRule>
  </conditionalFormatting>
  <conditionalFormatting sqref="AB91:AD106">
    <cfRule type="cellIs" dxfId="913" priority="165" operator="greaterThan">
      <formula>0.03</formula>
    </cfRule>
    <cfRule type="cellIs" dxfId="912" priority="166" stopIfTrue="1" operator="lessThan">
      <formula>-0.03</formula>
    </cfRule>
  </conditionalFormatting>
  <conditionalFormatting sqref="AB107:AD122">
    <cfRule type="cellIs" dxfId="911" priority="35" operator="greaterThan">
      <formula>0.03</formula>
    </cfRule>
    <cfRule type="cellIs" dxfId="910" priority="36" stopIfTrue="1" operator="lessThan">
      <formula>-0.03</formula>
    </cfRule>
  </conditionalFormatting>
  <conditionalFormatting sqref="AB123:AG123 AB125:AG125">
    <cfRule type="cellIs" dxfId="909" priority="593" operator="greaterThan">
      <formula>0.03</formula>
    </cfRule>
    <cfRule type="cellIs" dxfId="908" priority="594" stopIfTrue="1" operator="lessThan">
      <formula>-0.03</formula>
    </cfRule>
  </conditionalFormatting>
  <conditionalFormatting sqref="AB127:AG128">
    <cfRule type="cellIs" dxfId="907" priority="595" operator="greaterThan">
      <formula>0.03</formula>
    </cfRule>
    <cfRule type="cellIs" dxfId="906" priority="596" stopIfTrue="1" operator="lessThan">
      <formula>-0.03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L156"/>
  <sheetViews>
    <sheetView topLeftCell="H65" zoomScaleNormal="100" workbookViewId="0">
      <selection activeCell="AH131" sqref="AH131"/>
    </sheetView>
  </sheetViews>
  <sheetFormatPr defaultColWidth="9" defaultRowHeight="12" x14ac:dyDescent="0.2"/>
  <cols>
    <col min="1" max="1" width="8.25" style="2" customWidth="1"/>
    <col min="2" max="2" width="14.75" style="2" customWidth="1"/>
    <col min="3" max="3" width="7.75" style="2" customWidth="1"/>
    <col min="4" max="4" width="9.75" style="2" customWidth="1"/>
    <col min="5" max="7" width="6.75" style="2" customWidth="1"/>
    <col min="8" max="8" width="9.125" style="2" customWidth="1"/>
    <col min="9" max="10" width="8.75" style="2" customWidth="1"/>
    <col min="11" max="11" width="11.875" style="2" customWidth="1"/>
    <col min="12" max="12" width="11.875" style="3" customWidth="1"/>
    <col min="13" max="13" width="2.75" style="2" customWidth="1"/>
    <col min="14" max="14" width="9.75" style="2" customWidth="1"/>
    <col min="15" max="17" width="6.75" style="2" customWidth="1"/>
    <col min="18" max="18" width="9.125" style="2" customWidth="1"/>
    <col min="19" max="20" width="8.75" style="2" customWidth="1"/>
    <col min="21" max="21" width="11.875" style="2" customWidth="1"/>
    <col min="22" max="22" width="11.875" style="3" customWidth="1"/>
    <col min="23" max="24" width="5.625" style="2" customWidth="1"/>
    <col min="25" max="25" width="9.875" style="2" customWidth="1"/>
    <col min="26" max="26" width="10.875" style="2" customWidth="1"/>
    <col min="27" max="27" width="2.75" style="2" customWidth="1"/>
    <col min="28" max="33" width="8.75" style="2" customWidth="1"/>
    <col min="34" max="64" width="10.75" style="2" customWidth="1"/>
    <col min="65" max="16384" width="9" style="2"/>
  </cols>
  <sheetData>
    <row r="1" spans="1:33" ht="12.75" customHeight="1" x14ac:dyDescent="0.2">
      <c r="D1" s="142" t="s">
        <v>95</v>
      </c>
      <c r="E1" s="143"/>
      <c r="F1" s="143"/>
      <c r="G1" s="143"/>
      <c r="H1" s="143"/>
      <c r="I1" s="143"/>
      <c r="J1" s="143"/>
      <c r="K1" s="143"/>
      <c r="L1" s="144"/>
      <c r="N1" s="142" t="s">
        <v>96</v>
      </c>
      <c r="O1" s="143"/>
      <c r="P1" s="143"/>
      <c r="Q1" s="143"/>
      <c r="R1" s="143"/>
      <c r="S1" s="143"/>
      <c r="T1" s="143"/>
      <c r="U1" s="143"/>
      <c r="V1" s="144"/>
      <c r="W1" s="30"/>
      <c r="X1" s="30"/>
      <c r="Y1" s="30"/>
      <c r="Z1" s="32"/>
      <c r="AA1" s="33"/>
      <c r="AB1" s="142" t="s">
        <v>97</v>
      </c>
      <c r="AC1" s="143"/>
      <c r="AD1" s="144"/>
      <c r="AE1" s="142" t="s">
        <v>98</v>
      </c>
      <c r="AF1" s="143"/>
      <c r="AG1" s="144"/>
    </row>
    <row r="2" spans="1:33" ht="12.75" customHeight="1" x14ac:dyDescent="0.2">
      <c r="A2" s="4"/>
      <c r="B2" s="5"/>
      <c r="C2" s="6" t="s">
        <v>99</v>
      </c>
      <c r="D2" s="7" t="s">
        <v>59</v>
      </c>
      <c r="E2" s="8" t="s">
        <v>60</v>
      </c>
      <c r="F2" s="8" t="s">
        <v>61</v>
      </c>
      <c r="G2" s="8" t="s">
        <v>62</v>
      </c>
      <c r="H2" s="8" t="s">
        <v>100</v>
      </c>
      <c r="I2" s="8" t="s">
        <v>101</v>
      </c>
      <c r="J2" s="8" t="s">
        <v>102</v>
      </c>
      <c r="K2" s="8" t="s">
        <v>103</v>
      </c>
      <c r="L2" s="19" t="s">
        <v>104</v>
      </c>
      <c r="M2" s="20"/>
      <c r="N2" s="7" t="s">
        <v>59</v>
      </c>
      <c r="O2" s="8" t="s">
        <v>60</v>
      </c>
      <c r="P2" s="8" t="s">
        <v>61</v>
      </c>
      <c r="Q2" s="8" t="s">
        <v>62</v>
      </c>
      <c r="R2" s="8" t="s">
        <v>100</v>
      </c>
      <c r="S2" s="8" t="s">
        <v>101</v>
      </c>
      <c r="T2" s="8" t="s">
        <v>102</v>
      </c>
      <c r="U2" s="8" t="s">
        <v>103</v>
      </c>
      <c r="V2" s="19" t="s">
        <v>104</v>
      </c>
      <c r="W2" s="31" t="s">
        <v>105</v>
      </c>
      <c r="X2" s="18" t="s">
        <v>106</v>
      </c>
      <c r="Y2" s="18" t="s">
        <v>107</v>
      </c>
      <c r="Z2" s="34" t="s">
        <v>108</v>
      </c>
      <c r="AA2" s="34"/>
      <c r="AB2" s="7" t="s">
        <v>9</v>
      </c>
      <c r="AC2" s="8" t="s">
        <v>10</v>
      </c>
      <c r="AD2" s="19" t="s">
        <v>11</v>
      </c>
      <c r="AE2" s="7" t="s">
        <v>9</v>
      </c>
      <c r="AF2" s="8" t="s">
        <v>10</v>
      </c>
      <c r="AG2" s="19" t="s">
        <v>11</v>
      </c>
    </row>
    <row r="3" spans="1:33" x14ac:dyDescent="0.2">
      <c r="A3" s="9" t="s">
        <v>19</v>
      </c>
      <c r="B3" s="9" t="s">
        <v>64</v>
      </c>
      <c r="C3" s="9">
        <v>22</v>
      </c>
      <c r="D3" s="10">
        <f>Reference!B121</f>
        <v>13744.9959</v>
      </c>
      <c r="E3" s="11">
        <f>Reference!C121</f>
        <v>40.2697</v>
      </c>
      <c r="F3" s="11">
        <f>Reference!D121</f>
        <v>49.483800000000002</v>
      </c>
      <c r="G3" s="11">
        <f>Reference!E121</f>
        <v>47.821599999999997</v>
      </c>
      <c r="H3" s="11">
        <f>Reference!F121</f>
        <v>1844769</v>
      </c>
      <c r="I3" s="11">
        <f>Reference!G121</f>
        <v>360.99299999999999</v>
      </c>
      <c r="J3" s="11">
        <f t="shared" ref="J3:J34" si="0">H3/3600</f>
        <v>512.43583333333333</v>
      </c>
      <c r="K3" s="24">
        <f>Reference!H121</f>
        <v>15153008</v>
      </c>
      <c r="L3" s="25">
        <f>Reference!I121</f>
        <v>2498136</v>
      </c>
      <c r="N3" s="10">
        <f>Test!B121</f>
        <v>0</v>
      </c>
      <c r="O3" s="11">
        <f>Test!C121</f>
        <v>0</v>
      </c>
      <c r="P3" s="11">
        <f>Test!D121</f>
        <v>0</v>
      </c>
      <c r="Q3" s="11">
        <f>Test!E121</f>
        <v>0</v>
      </c>
      <c r="R3" s="11">
        <f>Test!F121</f>
        <v>0</v>
      </c>
      <c r="S3" s="11">
        <f>Test!G121</f>
        <v>0</v>
      </c>
      <c r="T3" s="11">
        <f t="shared" ref="T3:T34" si="1">R3/3600</f>
        <v>0</v>
      </c>
      <c r="U3" s="24">
        <f>Test!H121</f>
        <v>0</v>
      </c>
      <c r="V3" s="25">
        <f>Test!I121</f>
        <v>0</v>
      </c>
      <c r="W3" s="11">
        <f t="shared" ref="W3:W34" si="2">R3/H3</f>
        <v>0</v>
      </c>
      <c r="X3" s="11">
        <f t="shared" ref="X3:X34" si="3">S3/I3</f>
        <v>0</v>
      </c>
      <c r="Y3" s="11">
        <f>U3/K3</f>
        <v>0</v>
      </c>
      <c r="Z3" s="21">
        <f>V3/L3</f>
        <v>0</v>
      </c>
      <c r="AA3" s="35"/>
      <c r="AB3" s="36" t="e">
        <f>bdrate($D3:$D6,E3:E6,$N3:$N6,O3:O6)</f>
        <v>#VALUE!</v>
      </c>
      <c r="AC3" s="37" t="e">
        <f>bdrate($D3:$D6,F3:F6,$N3:$N6,P3:P6)</f>
        <v>#VALUE!</v>
      </c>
      <c r="AD3" s="38" t="e">
        <f>bdrate($D3:$D6,G3:G6,$N3:$N6,Q3:Q6)</f>
        <v>#VALUE!</v>
      </c>
      <c r="AE3" s="36" t="e">
        <f>bdrateOld($D3:$D6,E3:E6,$N3:$N6,O3:O6)</f>
        <v>#VALUE!</v>
      </c>
      <c r="AF3" s="37" t="e">
        <f>bdrateOld($D3:$D6,F3:F6,$N3:$N6,P3:P6)</f>
        <v>#VALUE!</v>
      </c>
      <c r="AG3" s="38" t="e">
        <f>bdrateOld($D3:$D6,G3:G6,$N3:$N6,Q3:Q6)</f>
        <v>#VALUE!</v>
      </c>
    </row>
    <row r="4" spans="1:33" x14ac:dyDescent="0.2">
      <c r="A4" s="12" t="s">
        <v>109</v>
      </c>
      <c r="B4" s="12"/>
      <c r="C4" s="62">
        <v>27</v>
      </c>
      <c r="D4" s="13">
        <f>Reference!B122</f>
        <v>5702.4947000000002</v>
      </c>
      <c r="E4" s="14">
        <f>Reference!C122</f>
        <v>39.776499999999999</v>
      </c>
      <c r="F4" s="14">
        <f>Reference!D122</f>
        <v>48.810099999999998</v>
      </c>
      <c r="G4" s="14">
        <f>Reference!E122</f>
        <v>46.658999999999999</v>
      </c>
      <c r="H4" s="14">
        <f>Reference!F122</f>
        <v>1142716</v>
      </c>
      <c r="I4" s="14">
        <f>Reference!G122</f>
        <v>405.50599999999997</v>
      </c>
      <c r="J4" s="14">
        <f t="shared" si="0"/>
        <v>317.42111111111109</v>
      </c>
      <c r="K4" s="26">
        <f>Reference!H122</f>
        <v>15110872</v>
      </c>
      <c r="L4" s="27">
        <f>Reference!I122</f>
        <v>2367520</v>
      </c>
      <c r="N4" s="13">
        <f>Test!B122</f>
        <v>0</v>
      </c>
      <c r="O4" s="14">
        <f>Test!C122</f>
        <v>0</v>
      </c>
      <c r="P4" s="14">
        <f>Test!D122</f>
        <v>0</v>
      </c>
      <c r="Q4" s="14">
        <f>Test!E122</f>
        <v>0</v>
      </c>
      <c r="R4" s="14">
        <f>Test!F122</f>
        <v>0</v>
      </c>
      <c r="S4" s="14">
        <f>Test!G122</f>
        <v>0</v>
      </c>
      <c r="T4" s="14">
        <f t="shared" si="1"/>
        <v>0</v>
      </c>
      <c r="U4" s="26">
        <f>Test!H122</f>
        <v>0</v>
      </c>
      <c r="V4" s="27">
        <f>Test!I122</f>
        <v>0</v>
      </c>
      <c r="W4" s="14">
        <f t="shared" si="2"/>
        <v>0</v>
      </c>
      <c r="X4" s="14">
        <f t="shared" si="3"/>
        <v>0</v>
      </c>
      <c r="Y4" s="14">
        <f t="shared" ref="Y4:Z67" si="4">U4/K4</f>
        <v>0</v>
      </c>
      <c r="Z4" s="22">
        <f>V4/L4</f>
        <v>0</v>
      </c>
      <c r="AA4" s="39"/>
      <c r="AB4" s="40"/>
      <c r="AC4" s="41"/>
      <c r="AD4" s="42"/>
      <c r="AE4" s="40"/>
      <c r="AF4" s="41"/>
      <c r="AG4" s="42"/>
    </row>
    <row r="5" spans="1:33" x14ac:dyDescent="0.2">
      <c r="A5" s="12"/>
      <c r="B5" s="12"/>
      <c r="C5" s="62">
        <v>32</v>
      </c>
      <c r="D5" s="13">
        <f>Reference!B123</f>
        <v>3031.5135</v>
      </c>
      <c r="E5" s="14">
        <f>Reference!C123</f>
        <v>39.022399999999998</v>
      </c>
      <c r="F5" s="14">
        <f>Reference!D123</f>
        <v>47.9848</v>
      </c>
      <c r="G5" s="14">
        <f>Reference!E123</f>
        <v>45.355800000000002</v>
      </c>
      <c r="H5" s="14">
        <f>Reference!F123</f>
        <v>433814</v>
      </c>
      <c r="I5" s="14">
        <f>Reference!G123</f>
        <v>205.95099999999999</v>
      </c>
      <c r="J5" s="14">
        <f t="shared" si="0"/>
        <v>120.50388888888889</v>
      </c>
      <c r="K5" s="26">
        <f>Reference!H123</f>
        <v>9894304</v>
      </c>
      <c r="L5" s="27">
        <f>Reference!I123</f>
        <v>1310740</v>
      </c>
      <c r="N5" s="13">
        <f>Test!B123</f>
        <v>0</v>
      </c>
      <c r="O5" s="14">
        <f>Test!C123</f>
        <v>0</v>
      </c>
      <c r="P5" s="14">
        <f>Test!D123</f>
        <v>0</v>
      </c>
      <c r="Q5" s="14">
        <f>Test!E123</f>
        <v>0</v>
      </c>
      <c r="R5" s="14">
        <f>Test!F123</f>
        <v>0</v>
      </c>
      <c r="S5" s="14">
        <f>Test!G123</f>
        <v>0</v>
      </c>
      <c r="T5" s="14">
        <f t="shared" si="1"/>
        <v>0</v>
      </c>
      <c r="U5" s="26">
        <f>Test!H123</f>
        <v>0</v>
      </c>
      <c r="V5" s="27">
        <f>Test!I123</f>
        <v>0</v>
      </c>
      <c r="W5" s="14">
        <f t="shared" si="2"/>
        <v>0</v>
      </c>
      <c r="X5" s="14">
        <f t="shared" si="3"/>
        <v>0</v>
      </c>
      <c r="Y5" s="14">
        <f t="shared" si="4"/>
        <v>0</v>
      </c>
      <c r="Z5" s="22">
        <f t="shared" si="4"/>
        <v>0</v>
      </c>
      <c r="AA5" s="39"/>
      <c r="AB5" s="40"/>
      <c r="AC5" s="41"/>
      <c r="AD5" s="42"/>
      <c r="AE5" s="40"/>
      <c r="AF5" s="41"/>
      <c r="AG5" s="42"/>
    </row>
    <row r="6" spans="1:33" ht="12.75" customHeight="1" x14ac:dyDescent="0.2">
      <c r="A6" s="12"/>
      <c r="B6" s="15"/>
      <c r="C6" s="15">
        <v>37</v>
      </c>
      <c r="D6" s="13">
        <f>Reference!B124</f>
        <v>1622.3837000000001</v>
      </c>
      <c r="E6" s="14">
        <f>Reference!C124</f>
        <v>37.808999999999997</v>
      </c>
      <c r="F6" s="14">
        <f>Reference!D124</f>
        <v>46.950299999999999</v>
      </c>
      <c r="G6" s="14">
        <f>Reference!E124</f>
        <v>43.771000000000001</v>
      </c>
      <c r="H6" s="14">
        <f>Reference!F124</f>
        <v>194418</v>
      </c>
      <c r="I6" s="14">
        <f>Reference!G124</f>
        <v>103.06399999999999</v>
      </c>
      <c r="J6" s="17">
        <f t="shared" si="0"/>
        <v>54.005000000000003</v>
      </c>
      <c r="K6" s="26">
        <f>Reference!H124</f>
        <v>9351256</v>
      </c>
      <c r="L6" s="27">
        <f>Reference!I124</f>
        <v>1241788</v>
      </c>
      <c r="N6" s="16">
        <f>Test!B124</f>
        <v>0</v>
      </c>
      <c r="O6" s="17">
        <f>Test!C124</f>
        <v>0</v>
      </c>
      <c r="P6" s="17">
        <f>Test!D124</f>
        <v>0</v>
      </c>
      <c r="Q6" s="17">
        <f>Test!E124</f>
        <v>0</v>
      </c>
      <c r="R6" s="17">
        <f>Test!F124</f>
        <v>0</v>
      </c>
      <c r="S6" s="17">
        <f>Test!G124</f>
        <v>0</v>
      </c>
      <c r="T6" s="17">
        <f t="shared" si="1"/>
        <v>0</v>
      </c>
      <c r="U6" s="26">
        <f>Test!H124</f>
        <v>0</v>
      </c>
      <c r="V6" s="27">
        <f>Test!I124</f>
        <v>0</v>
      </c>
      <c r="W6" s="14">
        <f t="shared" si="2"/>
        <v>0</v>
      </c>
      <c r="X6" s="14">
        <f t="shared" si="3"/>
        <v>0</v>
      </c>
      <c r="Y6" s="14">
        <f t="shared" si="4"/>
        <v>0</v>
      </c>
      <c r="Z6" s="22">
        <f t="shared" si="4"/>
        <v>0</v>
      </c>
      <c r="AA6" s="39"/>
      <c r="AB6" s="43"/>
      <c r="AC6" s="44"/>
      <c r="AD6" s="45"/>
      <c r="AE6" s="43"/>
      <c r="AF6" s="44"/>
      <c r="AG6" s="45"/>
    </row>
    <row r="7" spans="1:33" x14ac:dyDescent="0.2">
      <c r="A7" s="12"/>
      <c r="B7" s="9" t="s">
        <v>66</v>
      </c>
      <c r="C7" s="9">
        <v>22</v>
      </c>
      <c r="D7" s="10">
        <f>Reference!B125</f>
        <v>12792.407999999999</v>
      </c>
      <c r="E7" s="11">
        <f>Reference!C125</f>
        <v>44.398800000000001</v>
      </c>
      <c r="F7" s="11">
        <f>Reference!D125</f>
        <v>49.769100000000002</v>
      </c>
      <c r="G7" s="11">
        <f>Reference!E125</f>
        <v>50.449800000000003</v>
      </c>
      <c r="H7" s="11">
        <f>Reference!F125</f>
        <v>2010758</v>
      </c>
      <c r="I7" s="11">
        <f>Reference!G125</f>
        <v>484.52300000000002</v>
      </c>
      <c r="J7" s="11">
        <f t="shared" si="0"/>
        <v>558.54388888888889</v>
      </c>
      <c r="K7" s="24">
        <f>Reference!H125</f>
        <v>15375536</v>
      </c>
      <c r="L7" s="25">
        <f>Reference!I125</f>
        <v>2429700</v>
      </c>
      <c r="N7" s="10">
        <f>Test!B125</f>
        <v>0</v>
      </c>
      <c r="O7" s="11">
        <f>Test!C125</f>
        <v>0</v>
      </c>
      <c r="P7" s="11">
        <f>Test!D125</f>
        <v>0</v>
      </c>
      <c r="Q7" s="11">
        <f>Test!E125</f>
        <v>0</v>
      </c>
      <c r="R7" s="11">
        <f>Test!F125</f>
        <v>0</v>
      </c>
      <c r="S7" s="11">
        <f>Test!G125</f>
        <v>0</v>
      </c>
      <c r="T7" s="11">
        <f t="shared" si="1"/>
        <v>0</v>
      </c>
      <c r="U7" s="24">
        <f>Test!H125</f>
        <v>0</v>
      </c>
      <c r="V7" s="25">
        <f>Test!I125</f>
        <v>0</v>
      </c>
      <c r="W7" s="14">
        <f t="shared" si="2"/>
        <v>0</v>
      </c>
      <c r="X7" s="14">
        <f t="shared" si="3"/>
        <v>0</v>
      </c>
      <c r="Y7" s="14">
        <f t="shared" si="4"/>
        <v>0</v>
      </c>
      <c r="Z7" s="22">
        <f t="shared" si="4"/>
        <v>0</v>
      </c>
      <c r="AA7" s="39"/>
      <c r="AB7" s="36" t="e">
        <f>bdrate($D7:$D10,E7:E10,$N7:$N10,O7:O10)</f>
        <v>#VALUE!</v>
      </c>
      <c r="AC7" s="37" t="e">
        <f>bdrate($D7:$D10,F7:F10,$N7:$N10,P7:P10)</f>
        <v>#VALUE!</v>
      </c>
      <c r="AD7" s="37" t="e">
        <f>bdrate($D7:$D10,G7:G10,$N7:$N10,Q7:Q10)</f>
        <v>#VALUE!</v>
      </c>
      <c r="AE7" s="46" t="e">
        <f>bdrateOld($D7:$D10,E7:E10,$N7:$N10,O7:O10)</f>
        <v>#VALUE!</v>
      </c>
      <c r="AF7" s="47" t="e">
        <f>bdrateOld($D7:$D10,F7:F10,$N7:$N10,P7:P10)</f>
        <v>#VALUE!</v>
      </c>
      <c r="AG7" s="49" t="e">
        <f>bdrateOld($D7:$D10,G7:G10,$N7:$N10,Q7:Q10)</f>
        <v>#VALUE!</v>
      </c>
    </row>
    <row r="8" spans="1:33" x14ac:dyDescent="0.2">
      <c r="A8" s="12"/>
      <c r="B8" s="12"/>
      <c r="C8" s="12">
        <v>27</v>
      </c>
      <c r="D8" s="13">
        <f>Reference!B126</f>
        <v>6374.9744000000001</v>
      </c>
      <c r="E8" s="14">
        <f>Reference!C126</f>
        <v>43.2592</v>
      </c>
      <c r="F8" s="14">
        <f>Reference!D126</f>
        <v>48.147399999999998</v>
      </c>
      <c r="G8" s="14">
        <f>Reference!E126</f>
        <v>48.550800000000002</v>
      </c>
      <c r="H8" s="14">
        <f>Reference!F126</f>
        <v>1111108</v>
      </c>
      <c r="I8" s="14">
        <f>Reference!G126</f>
        <v>443.334</v>
      </c>
      <c r="J8" s="14">
        <f t="shared" si="0"/>
        <v>308.64111111111112</v>
      </c>
      <c r="K8" s="26">
        <f>Reference!H126</f>
        <v>15251320</v>
      </c>
      <c r="L8" s="27">
        <f>Reference!I126</f>
        <v>2372116</v>
      </c>
      <c r="N8" s="13">
        <f>Test!B126</f>
        <v>0</v>
      </c>
      <c r="O8" s="14">
        <f>Test!C126</f>
        <v>0</v>
      </c>
      <c r="P8" s="14">
        <f>Test!D126</f>
        <v>0</v>
      </c>
      <c r="Q8" s="14">
        <f>Test!E126</f>
        <v>0</v>
      </c>
      <c r="R8" s="14">
        <f>Test!F126</f>
        <v>0</v>
      </c>
      <c r="S8" s="14">
        <f>Test!G126</f>
        <v>0</v>
      </c>
      <c r="T8" s="14">
        <f t="shared" si="1"/>
        <v>0</v>
      </c>
      <c r="U8" s="26">
        <f>Test!H126</f>
        <v>0</v>
      </c>
      <c r="V8" s="27">
        <f>Test!I126</f>
        <v>0</v>
      </c>
      <c r="W8" s="14">
        <f t="shared" si="2"/>
        <v>0</v>
      </c>
      <c r="X8" s="14">
        <f t="shared" si="3"/>
        <v>0</v>
      </c>
      <c r="Y8" s="14">
        <f t="shared" si="4"/>
        <v>0</v>
      </c>
      <c r="Z8" s="22">
        <f t="shared" si="4"/>
        <v>0</v>
      </c>
      <c r="AA8" s="39"/>
      <c r="AB8" s="40"/>
      <c r="AC8" s="41"/>
      <c r="AD8" s="41"/>
      <c r="AE8" s="40"/>
      <c r="AF8" s="41"/>
      <c r="AG8" s="42"/>
    </row>
    <row r="9" spans="1:33" x14ac:dyDescent="0.2">
      <c r="A9" s="12"/>
      <c r="B9" s="12"/>
      <c r="C9" s="12">
        <v>32</v>
      </c>
      <c r="D9" s="13">
        <f>Reference!B127</f>
        <v>3336.8352</v>
      </c>
      <c r="E9" s="14">
        <f>Reference!C127</f>
        <v>41.506500000000003</v>
      </c>
      <c r="F9" s="14">
        <f>Reference!D127</f>
        <v>46.277900000000002</v>
      </c>
      <c r="G9" s="14">
        <f>Reference!E127</f>
        <v>46.466700000000003</v>
      </c>
      <c r="H9" s="14">
        <f>Reference!F127</f>
        <v>389427</v>
      </c>
      <c r="I9" s="14">
        <f>Reference!G127</f>
        <v>150.185</v>
      </c>
      <c r="J9" s="14">
        <f t="shared" si="0"/>
        <v>108.17416666666666</v>
      </c>
      <c r="K9" s="26">
        <f>Reference!H127</f>
        <v>10265660</v>
      </c>
      <c r="L9" s="27">
        <f>Reference!I127</f>
        <v>1654888</v>
      </c>
      <c r="N9" s="13">
        <f>Test!B127</f>
        <v>0</v>
      </c>
      <c r="O9" s="14">
        <f>Test!C127</f>
        <v>0</v>
      </c>
      <c r="P9" s="14">
        <f>Test!D127</f>
        <v>0</v>
      </c>
      <c r="Q9" s="14">
        <f>Test!E127</f>
        <v>0</v>
      </c>
      <c r="R9" s="14">
        <f>Test!F127</f>
        <v>0</v>
      </c>
      <c r="S9" s="14">
        <f>Test!G127</f>
        <v>0</v>
      </c>
      <c r="T9" s="14">
        <f t="shared" si="1"/>
        <v>0</v>
      </c>
      <c r="U9" s="26">
        <f>Test!H127</f>
        <v>0</v>
      </c>
      <c r="V9" s="27">
        <f>Test!I127</f>
        <v>0</v>
      </c>
      <c r="W9" s="14">
        <f t="shared" si="2"/>
        <v>0</v>
      </c>
      <c r="X9" s="14">
        <f t="shared" si="3"/>
        <v>0</v>
      </c>
      <c r="Y9" s="14">
        <f t="shared" si="4"/>
        <v>0</v>
      </c>
      <c r="Z9" s="22">
        <f t="shared" si="4"/>
        <v>0</v>
      </c>
      <c r="AA9" s="39"/>
      <c r="AB9" s="40"/>
      <c r="AC9" s="41"/>
      <c r="AD9" s="41"/>
      <c r="AE9" s="40"/>
      <c r="AF9" s="41"/>
      <c r="AG9" s="42"/>
    </row>
    <row r="10" spans="1:33" ht="12.75" customHeight="1" x14ac:dyDescent="0.2">
      <c r="A10" s="12"/>
      <c r="B10" s="15"/>
      <c r="C10" s="15">
        <v>37</v>
      </c>
      <c r="D10" s="13">
        <f>Reference!B128</f>
        <v>1745.8463999999999</v>
      </c>
      <c r="E10" s="14">
        <f>Reference!C128</f>
        <v>39.486499999999999</v>
      </c>
      <c r="F10" s="14">
        <f>Reference!D128</f>
        <v>44.607300000000002</v>
      </c>
      <c r="G10" s="14">
        <f>Reference!E128</f>
        <v>44.640700000000002</v>
      </c>
      <c r="H10" s="14">
        <f>Reference!F128</f>
        <v>204168</v>
      </c>
      <c r="I10" s="14">
        <f>Reference!G128</f>
        <v>87.552000000000007</v>
      </c>
      <c r="J10" s="17">
        <f t="shared" si="0"/>
        <v>56.713333333333331</v>
      </c>
      <c r="K10" s="26">
        <f>Reference!H128</f>
        <v>8270568</v>
      </c>
      <c r="L10" s="27">
        <f>Reference!I128</f>
        <v>1265480</v>
      </c>
      <c r="N10" s="16">
        <f>Test!B128</f>
        <v>0</v>
      </c>
      <c r="O10" s="17">
        <f>Test!C128</f>
        <v>0</v>
      </c>
      <c r="P10" s="17">
        <f>Test!D128</f>
        <v>0</v>
      </c>
      <c r="Q10" s="17">
        <f>Test!E128</f>
        <v>0</v>
      </c>
      <c r="R10" s="17">
        <f>Test!F128</f>
        <v>0</v>
      </c>
      <c r="S10" s="17">
        <f>Test!G128</f>
        <v>0</v>
      </c>
      <c r="T10" s="17">
        <f t="shared" si="1"/>
        <v>0</v>
      </c>
      <c r="U10" s="26">
        <f>Test!H128</f>
        <v>0</v>
      </c>
      <c r="V10" s="27">
        <f>Test!I128</f>
        <v>0</v>
      </c>
      <c r="W10" s="14">
        <f t="shared" si="2"/>
        <v>0</v>
      </c>
      <c r="X10" s="14">
        <f t="shared" si="3"/>
        <v>0</v>
      </c>
      <c r="Y10" s="14">
        <f t="shared" si="4"/>
        <v>0</v>
      </c>
      <c r="Z10" s="22">
        <f t="shared" si="4"/>
        <v>0</v>
      </c>
      <c r="AA10" s="39"/>
      <c r="AB10" s="43"/>
      <c r="AC10" s="44"/>
      <c r="AD10" s="44"/>
      <c r="AE10" s="43"/>
      <c r="AF10" s="44"/>
      <c r="AG10" s="45"/>
    </row>
    <row r="11" spans="1:33" x14ac:dyDescent="0.2">
      <c r="A11" s="12"/>
      <c r="B11" s="9" t="s">
        <v>67</v>
      </c>
      <c r="C11" s="9">
        <v>22</v>
      </c>
      <c r="D11" s="10">
        <f>Reference!B129</f>
        <v>43486.761599999998</v>
      </c>
      <c r="E11" s="11">
        <f>Reference!C129</f>
        <v>39.380200000000002</v>
      </c>
      <c r="F11" s="11">
        <f>Reference!D129</f>
        <v>41.323300000000003</v>
      </c>
      <c r="G11" s="11">
        <f>Reference!E129</f>
        <v>42.954900000000002</v>
      </c>
      <c r="H11" s="11">
        <f>Reference!F129</f>
        <v>3486562</v>
      </c>
      <c r="I11" s="11">
        <f>Reference!G129</f>
        <v>466.005</v>
      </c>
      <c r="J11" s="11">
        <f t="shared" si="0"/>
        <v>968.48944444444442</v>
      </c>
      <c r="K11" s="24">
        <f>Reference!H129</f>
        <v>15090804</v>
      </c>
      <c r="L11" s="25">
        <f>Reference!I129</f>
        <v>2934776</v>
      </c>
      <c r="N11" s="10">
        <f>Test!B129</f>
        <v>0</v>
      </c>
      <c r="O11" s="11">
        <f>Test!C129</f>
        <v>0</v>
      </c>
      <c r="P11" s="11">
        <f>Test!D129</f>
        <v>0</v>
      </c>
      <c r="Q11" s="11">
        <f>Test!E129</f>
        <v>0</v>
      </c>
      <c r="R11" s="11">
        <f>Test!F129</f>
        <v>0</v>
      </c>
      <c r="S11" s="11">
        <f>Test!G129</f>
        <v>0</v>
      </c>
      <c r="T11" s="11">
        <f t="shared" si="1"/>
        <v>0</v>
      </c>
      <c r="U11" s="24">
        <f>Test!H129</f>
        <v>0</v>
      </c>
      <c r="V11" s="25">
        <f>Test!I129</f>
        <v>0</v>
      </c>
      <c r="W11" s="14">
        <f t="shared" si="2"/>
        <v>0</v>
      </c>
      <c r="X11" s="14">
        <f t="shared" si="3"/>
        <v>0</v>
      </c>
      <c r="Y11" s="14">
        <f t="shared" si="4"/>
        <v>0</v>
      </c>
      <c r="Z11" s="22">
        <f t="shared" si="4"/>
        <v>0</v>
      </c>
      <c r="AA11" s="39"/>
      <c r="AB11" s="36" t="e">
        <f>bdrate($D11:$D14,E11:E14,$N11:$N14,O11:O14)</f>
        <v>#VALUE!</v>
      </c>
      <c r="AC11" s="37" t="e">
        <f>bdrate($D11:$D14,F11:F14,$N11:$N14,P11:P14)</f>
        <v>#VALUE!</v>
      </c>
      <c r="AD11" s="37" t="e">
        <f>bdrate($D11:$D14,G11:G14,$N11:$N14,Q11:Q14)</f>
        <v>#VALUE!</v>
      </c>
      <c r="AE11" s="46" t="e">
        <f>bdrateOld($D11:$D14,E11:E14,$N11:$N14,O11:O14)</f>
        <v>#VALUE!</v>
      </c>
      <c r="AF11" s="47" t="e">
        <f>bdrateOld($D11:$D14,F11:F14,$N11:$N14,P11:P14)</f>
        <v>#VALUE!</v>
      </c>
      <c r="AG11" s="49" t="e">
        <f>bdrateOld($D11:$D14,G11:G14,$N11:$N14,Q11:Q14)</f>
        <v>#VALUE!</v>
      </c>
    </row>
    <row r="12" spans="1:33" x14ac:dyDescent="0.2">
      <c r="A12" s="12"/>
      <c r="B12" s="12"/>
      <c r="C12" s="12">
        <v>27</v>
      </c>
      <c r="D12" s="13">
        <f>Reference!B130</f>
        <v>10474.9288</v>
      </c>
      <c r="E12" s="14">
        <f>Reference!C130</f>
        <v>37.681600000000003</v>
      </c>
      <c r="F12" s="14">
        <f>Reference!D130</f>
        <v>37.713299999999997</v>
      </c>
      <c r="G12" s="14">
        <f>Reference!E130</f>
        <v>41.754100000000001</v>
      </c>
      <c r="H12" s="14">
        <f>Reference!F130</f>
        <v>2066209</v>
      </c>
      <c r="I12" s="14">
        <f>Reference!G130</f>
        <v>318.84199999999998</v>
      </c>
      <c r="J12" s="14">
        <f t="shared" si="0"/>
        <v>573.9469444444444</v>
      </c>
      <c r="K12" s="26">
        <f>Reference!H130</f>
        <v>15008912</v>
      </c>
      <c r="L12" s="27">
        <f>Reference!I130</f>
        <v>2821892</v>
      </c>
      <c r="N12" s="13">
        <f>Test!B130</f>
        <v>0</v>
      </c>
      <c r="O12" s="14">
        <f>Test!C130</f>
        <v>0</v>
      </c>
      <c r="P12" s="14">
        <f>Test!D130</f>
        <v>0</v>
      </c>
      <c r="Q12" s="14">
        <f>Test!E130</f>
        <v>0</v>
      </c>
      <c r="R12" s="14">
        <f>Test!F130</f>
        <v>0</v>
      </c>
      <c r="S12" s="14">
        <f>Test!G130</f>
        <v>0</v>
      </c>
      <c r="T12" s="14">
        <f t="shared" si="1"/>
        <v>0</v>
      </c>
      <c r="U12" s="26">
        <f>Test!H130</f>
        <v>0</v>
      </c>
      <c r="V12" s="27">
        <f>Test!I130</f>
        <v>0</v>
      </c>
      <c r="W12" s="14">
        <f t="shared" si="2"/>
        <v>0</v>
      </c>
      <c r="X12" s="14">
        <f t="shared" si="3"/>
        <v>0</v>
      </c>
      <c r="Y12" s="14">
        <f t="shared" si="4"/>
        <v>0</v>
      </c>
      <c r="Z12" s="22">
        <f t="shared" si="4"/>
        <v>0</v>
      </c>
      <c r="AA12" s="39"/>
      <c r="AB12" s="40"/>
      <c r="AC12" s="41"/>
      <c r="AD12" s="41"/>
      <c r="AE12" s="40"/>
      <c r="AF12" s="41"/>
      <c r="AG12" s="42"/>
    </row>
    <row r="13" spans="1:33" x14ac:dyDescent="0.2">
      <c r="A13" s="12"/>
      <c r="B13" s="12"/>
      <c r="C13" s="12">
        <v>32</v>
      </c>
      <c r="D13" s="13">
        <f>Reference!B131</f>
        <v>5551.2448000000004</v>
      </c>
      <c r="E13" s="14">
        <f>Reference!C131</f>
        <v>36.7502</v>
      </c>
      <c r="F13" s="14">
        <f>Reference!D131</f>
        <v>35.7607</v>
      </c>
      <c r="G13" s="14">
        <f>Reference!E131</f>
        <v>40.561500000000002</v>
      </c>
      <c r="H13" s="14">
        <f>Reference!F131</f>
        <v>1296916</v>
      </c>
      <c r="I13" s="14">
        <f>Reference!G131</f>
        <v>226.833</v>
      </c>
      <c r="J13" s="14">
        <f t="shared" si="0"/>
        <v>360.25444444444446</v>
      </c>
      <c r="K13" s="26">
        <f>Reference!H131</f>
        <v>14932136</v>
      </c>
      <c r="L13" s="27">
        <f>Reference!I131</f>
        <v>2903660</v>
      </c>
      <c r="N13" s="13">
        <f>Test!B131</f>
        <v>0</v>
      </c>
      <c r="O13" s="14">
        <f>Test!C131</f>
        <v>0</v>
      </c>
      <c r="P13" s="14">
        <f>Test!D131</f>
        <v>0</v>
      </c>
      <c r="Q13" s="14">
        <f>Test!E131</f>
        <v>0</v>
      </c>
      <c r="R13" s="14">
        <f>Test!F131</f>
        <v>0</v>
      </c>
      <c r="S13" s="14">
        <f>Test!G131</f>
        <v>0</v>
      </c>
      <c r="T13" s="14">
        <f t="shared" si="1"/>
        <v>0</v>
      </c>
      <c r="U13" s="26">
        <f>Test!H131</f>
        <v>0</v>
      </c>
      <c r="V13" s="27">
        <f>Test!I131</f>
        <v>0</v>
      </c>
      <c r="W13" s="14">
        <f t="shared" si="2"/>
        <v>0</v>
      </c>
      <c r="X13" s="14">
        <f t="shared" si="3"/>
        <v>0</v>
      </c>
      <c r="Y13" s="14">
        <f t="shared" si="4"/>
        <v>0</v>
      </c>
      <c r="Z13" s="22">
        <f t="shared" si="4"/>
        <v>0</v>
      </c>
      <c r="AA13" s="39"/>
      <c r="AB13" s="40"/>
      <c r="AC13" s="41"/>
      <c r="AD13" s="41"/>
      <c r="AE13" s="40"/>
      <c r="AF13" s="41"/>
      <c r="AG13" s="42"/>
    </row>
    <row r="14" spans="1:33" ht="12.75" customHeight="1" x14ac:dyDescent="0.2">
      <c r="A14" s="12"/>
      <c r="B14" s="15"/>
      <c r="C14" s="15">
        <v>37</v>
      </c>
      <c r="D14" s="13">
        <f>Reference!B132</f>
        <v>2668.6648</v>
      </c>
      <c r="E14" s="14">
        <f>Reference!C132</f>
        <v>35.444400000000002</v>
      </c>
      <c r="F14" s="14">
        <f>Reference!D132</f>
        <v>33.0139</v>
      </c>
      <c r="G14" s="14">
        <f>Reference!E132</f>
        <v>38.823599999999999</v>
      </c>
      <c r="H14" s="14">
        <f>Reference!F132</f>
        <v>536630</v>
      </c>
      <c r="I14" s="14">
        <f>Reference!G132</f>
        <v>113.05800000000001</v>
      </c>
      <c r="J14" s="17">
        <f t="shared" si="0"/>
        <v>149.0638888888889</v>
      </c>
      <c r="K14" s="26">
        <f>Reference!H132</f>
        <v>15008004</v>
      </c>
      <c r="L14" s="27">
        <f>Reference!I132</f>
        <v>2476084</v>
      </c>
      <c r="N14" s="16">
        <f>Test!B132</f>
        <v>0</v>
      </c>
      <c r="O14" s="17">
        <f>Test!C132</f>
        <v>0</v>
      </c>
      <c r="P14" s="17">
        <f>Test!D132</f>
        <v>0</v>
      </c>
      <c r="Q14" s="17">
        <f>Test!E132</f>
        <v>0</v>
      </c>
      <c r="R14" s="17">
        <f>Test!F132</f>
        <v>0</v>
      </c>
      <c r="S14" s="17">
        <f>Test!G132</f>
        <v>0</v>
      </c>
      <c r="T14" s="17">
        <f t="shared" si="1"/>
        <v>0</v>
      </c>
      <c r="U14" s="26">
        <f>Test!H132</f>
        <v>0</v>
      </c>
      <c r="V14" s="27">
        <f>Test!I132</f>
        <v>0</v>
      </c>
      <c r="W14" s="14">
        <f t="shared" si="2"/>
        <v>0</v>
      </c>
      <c r="X14" s="14">
        <f t="shared" si="3"/>
        <v>0</v>
      </c>
      <c r="Y14" s="14">
        <f t="shared" si="4"/>
        <v>0</v>
      </c>
      <c r="Z14" s="22">
        <f t="shared" si="4"/>
        <v>0</v>
      </c>
      <c r="AA14" s="39"/>
      <c r="AB14" s="43"/>
      <c r="AC14" s="44"/>
      <c r="AD14" s="44"/>
      <c r="AE14" s="43"/>
      <c r="AF14" s="44"/>
      <c r="AG14" s="45"/>
    </row>
    <row r="15" spans="1:33" x14ac:dyDescent="0.2">
      <c r="A15" s="9" t="s">
        <v>21</v>
      </c>
      <c r="B15" s="9" t="s">
        <v>110</v>
      </c>
      <c r="C15" s="9">
        <v>22</v>
      </c>
      <c r="D15" s="10">
        <f>Reference!B133</f>
        <v>15271.0304</v>
      </c>
      <c r="E15" s="11">
        <f>Reference!C133</f>
        <v>40.394500000000001</v>
      </c>
      <c r="F15" s="11">
        <f>Reference!D133</f>
        <v>42.085500000000003</v>
      </c>
      <c r="G15" s="11">
        <f>Reference!E133</f>
        <v>43.975700000000003</v>
      </c>
      <c r="H15" s="11">
        <f>Reference!F133</f>
        <v>1257941</v>
      </c>
      <c r="I15" s="11">
        <f>Reference!G133</f>
        <v>421.41199999999998</v>
      </c>
      <c r="J15" s="11">
        <f t="shared" si="0"/>
        <v>349.42805555555555</v>
      </c>
      <c r="K15" s="24">
        <f>Reference!H133</f>
        <v>15102560</v>
      </c>
      <c r="L15" s="25">
        <f>Reference!I133</f>
        <v>2694684</v>
      </c>
      <c r="N15" s="10">
        <f>Test!B133</f>
        <v>0</v>
      </c>
      <c r="O15" s="11">
        <f>Test!C133</f>
        <v>0</v>
      </c>
      <c r="P15" s="11">
        <f>Test!D133</f>
        <v>0</v>
      </c>
      <c r="Q15" s="11">
        <f>Test!E133</f>
        <v>0</v>
      </c>
      <c r="R15" s="11">
        <f>Test!F133</f>
        <v>0</v>
      </c>
      <c r="S15" s="11">
        <f>Test!G133</f>
        <v>0</v>
      </c>
      <c r="T15" s="11">
        <f t="shared" si="1"/>
        <v>0</v>
      </c>
      <c r="U15" s="24">
        <f>Test!H133</f>
        <v>0</v>
      </c>
      <c r="V15" s="25">
        <f>Test!I133</f>
        <v>0</v>
      </c>
      <c r="W15" s="11">
        <f t="shared" si="2"/>
        <v>0</v>
      </c>
      <c r="X15" s="11">
        <f t="shared" si="3"/>
        <v>0</v>
      </c>
      <c r="Y15" s="11">
        <f t="shared" si="4"/>
        <v>0</v>
      </c>
      <c r="Z15" s="21">
        <f t="shared" si="4"/>
        <v>0</v>
      </c>
      <c r="AA15" s="35"/>
      <c r="AB15" s="36" t="e">
        <f>bdrate($D15:$D18,E15:E18,$N15:$N18,O15:O18)</f>
        <v>#VALUE!</v>
      </c>
      <c r="AC15" s="37" t="e">
        <f>bdrate($D15:$D18,F15:F18,$N15:$N18,P15:P18)</f>
        <v>#VALUE!</v>
      </c>
      <c r="AD15" s="38" t="e">
        <f>bdrate($D15:$D18,G15:G18,$N15:$N18,Q15:Q18)</f>
        <v>#VALUE!</v>
      </c>
      <c r="AE15" s="36" t="e">
        <f>bdrateOld($D15:$D18,E15:E18,$N15:$N18,O15:O18)</f>
        <v>#VALUE!</v>
      </c>
      <c r="AF15" s="37" t="e">
        <f>bdrateOld($D15:$D18,F15:F18,$N15:$N18,P15:P18)</f>
        <v>#VALUE!</v>
      </c>
      <c r="AG15" s="38" t="e">
        <f>bdrateOld($D15:$D18,G15:G18,$N15:$N18,Q15:Q18)</f>
        <v>#VALUE!</v>
      </c>
    </row>
    <row r="16" spans="1:33" x14ac:dyDescent="0.2">
      <c r="A16" s="12" t="s">
        <v>109</v>
      </c>
      <c r="B16" s="12"/>
      <c r="C16" s="12">
        <v>27</v>
      </c>
      <c r="D16" s="13">
        <f>Reference!B134</f>
        <v>6880.3216000000002</v>
      </c>
      <c r="E16" s="14">
        <f>Reference!C134</f>
        <v>39.731999999999999</v>
      </c>
      <c r="F16" s="14">
        <f>Reference!D134</f>
        <v>41.655799999999999</v>
      </c>
      <c r="G16" s="14">
        <f>Reference!E134</f>
        <v>43.009300000000003</v>
      </c>
      <c r="H16" s="14">
        <f>Reference!F134</f>
        <v>794747</v>
      </c>
      <c r="I16" s="14">
        <f>Reference!G134</f>
        <v>308.10700000000003</v>
      </c>
      <c r="J16" s="14">
        <f t="shared" si="0"/>
        <v>220.76305555555555</v>
      </c>
      <c r="K16" s="26">
        <f>Reference!H134</f>
        <v>15049200</v>
      </c>
      <c r="L16" s="27">
        <f>Reference!I134</f>
        <v>2536424</v>
      </c>
      <c r="N16" s="13">
        <f>Test!B134</f>
        <v>0</v>
      </c>
      <c r="O16" s="14">
        <f>Test!C134</f>
        <v>0</v>
      </c>
      <c r="P16" s="14">
        <f>Test!D134</f>
        <v>0</v>
      </c>
      <c r="Q16" s="14">
        <f>Test!E134</f>
        <v>0</v>
      </c>
      <c r="R16" s="14">
        <f>Test!F134</f>
        <v>0</v>
      </c>
      <c r="S16" s="14">
        <f>Test!G134</f>
        <v>0</v>
      </c>
      <c r="T16" s="14">
        <f t="shared" si="1"/>
        <v>0</v>
      </c>
      <c r="U16" s="26">
        <f>Test!H134</f>
        <v>0</v>
      </c>
      <c r="V16" s="27">
        <f>Test!I134</f>
        <v>0</v>
      </c>
      <c r="W16" s="14">
        <f t="shared" si="2"/>
        <v>0</v>
      </c>
      <c r="X16" s="14">
        <f t="shared" si="3"/>
        <v>0</v>
      </c>
      <c r="Y16" s="14">
        <f t="shared" si="4"/>
        <v>0</v>
      </c>
      <c r="Z16" s="22">
        <f t="shared" si="4"/>
        <v>0</v>
      </c>
      <c r="AA16" s="39"/>
      <c r="AB16" s="40"/>
      <c r="AC16" s="41"/>
      <c r="AD16" s="42"/>
      <c r="AE16" s="40"/>
      <c r="AF16" s="41"/>
      <c r="AG16" s="42"/>
    </row>
    <row r="17" spans="1:38" x14ac:dyDescent="0.2">
      <c r="A17" s="12"/>
      <c r="B17" s="12"/>
      <c r="C17" s="12">
        <v>32</v>
      </c>
      <c r="D17" s="13">
        <f>Reference!B135</f>
        <v>3438.3728000000001</v>
      </c>
      <c r="E17" s="14">
        <f>Reference!C135</f>
        <v>38.538899999999998</v>
      </c>
      <c r="F17" s="14">
        <f>Reference!D135</f>
        <v>40.9621</v>
      </c>
      <c r="G17" s="14">
        <f>Reference!E135</f>
        <v>41.52</v>
      </c>
      <c r="H17" s="14">
        <f>Reference!F135</f>
        <v>379263</v>
      </c>
      <c r="I17" s="14">
        <f>Reference!G135</f>
        <v>187.512</v>
      </c>
      <c r="J17" s="14">
        <f t="shared" si="0"/>
        <v>105.35083333333333</v>
      </c>
      <c r="K17" s="26">
        <f>Reference!H135</f>
        <v>13980700</v>
      </c>
      <c r="L17" s="27">
        <f>Reference!I135</f>
        <v>2241248</v>
      </c>
      <c r="N17" s="13">
        <f>Test!B135</f>
        <v>0</v>
      </c>
      <c r="O17" s="14">
        <f>Test!C135</f>
        <v>0</v>
      </c>
      <c r="P17" s="14">
        <f>Test!D135</f>
        <v>0</v>
      </c>
      <c r="Q17" s="14">
        <f>Test!E135</f>
        <v>0</v>
      </c>
      <c r="R17" s="14">
        <f>Test!F135</f>
        <v>0</v>
      </c>
      <c r="S17" s="14">
        <f>Test!G135</f>
        <v>0</v>
      </c>
      <c r="T17" s="14">
        <f t="shared" si="1"/>
        <v>0</v>
      </c>
      <c r="U17" s="26">
        <f>Test!H135</f>
        <v>0</v>
      </c>
      <c r="V17" s="27">
        <f>Test!I135</f>
        <v>0</v>
      </c>
      <c r="W17" s="14">
        <f t="shared" si="2"/>
        <v>0</v>
      </c>
      <c r="X17" s="14">
        <f t="shared" si="3"/>
        <v>0</v>
      </c>
      <c r="Y17" s="14">
        <f t="shared" si="4"/>
        <v>0</v>
      </c>
      <c r="Z17" s="22">
        <f t="shared" si="4"/>
        <v>0</v>
      </c>
      <c r="AA17" s="39"/>
      <c r="AB17" s="40"/>
      <c r="AC17" s="41"/>
      <c r="AD17" s="42"/>
      <c r="AE17" s="40"/>
      <c r="AF17" s="41"/>
      <c r="AG17" s="42"/>
    </row>
    <row r="18" spans="1:38" ht="12.75" customHeight="1" x14ac:dyDescent="0.2">
      <c r="A18" s="12"/>
      <c r="B18" s="15"/>
      <c r="C18" s="15">
        <v>37</v>
      </c>
      <c r="D18" s="13">
        <f>Reference!B136</f>
        <v>1882.7424000000001</v>
      </c>
      <c r="E18" s="14">
        <f>Reference!C136</f>
        <v>37.084699999999998</v>
      </c>
      <c r="F18" s="14">
        <f>Reference!D136</f>
        <v>40.210099999999997</v>
      </c>
      <c r="G18" s="14">
        <f>Reference!E136</f>
        <v>40.082700000000003</v>
      </c>
      <c r="H18" s="14">
        <f>Reference!F136</f>
        <v>290220</v>
      </c>
      <c r="I18" s="14">
        <f>Reference!G136</f>
        <v>161.82300000000001</v>
      </c>
      <c r="J18" s="17">
        <f t="shared" si="0"/>
        <v>80.61666666666666</v>
      </c>
      <c r="K18" s="26">
        <f>Reference!H136</f>
        <v>11640520</v>
      </c>
      <c r="L18" s="27">
        <f>Reference!I136</f>
        <v>1638544</v>
      </c>
      <c r="N18" s="16">
        <f>Test!B136</f>
        <v>0</v>
      </c>
      <c r="O18" s="17">
        <f>Test!C136</f>
        <v>0</v>
      </c>
      <c r="P18" s="17">
        <f>Test!D136</f>
        <v>0</v>
      </c>
      <c r="Q18" s="17">
        <f>Test!E136</f>
        <v>0</v>
      </c>
      <c r="R18" s="17">
        <f>Test!F136</f>
        <v>0</v>
      </c>
      <c r="S18" s="17">
        <f>Test!G136</f>
        <v>0</v>
      </c>
      <c r="T18" s="17">
        <f t="shared" si="1"/>
        <v>0</v>
      </c>
      <c r="U18" s="26">
        <f>Test!H136</f>
        <v>0</v>
      </c>
      <c r="V18" s="27">
        <f>Test!I136</f>
        <v>0</v>
      </c>
      <c r="W18" s="14">
        <f t="shared" si="2"/>
        <v>0</v>
      </c>
      <c r="X18" s="14">
        <f t="shared" si="3"/>
        <v>0</v>
      </c>
      <c r="Y18" s="14">
        <f t="shared" si="4"/>
        <v>0</v>
      </c>
      <c r="Z18" s="22">
        <f t="shared" si="4"/>
        <v>0</v>
      </c>
      <c r="AA18" s="39"/>
      <c r="AB18" s="43"/>
      <c r="AC18" s="44"/>
      <c r="AD18" s="45"/>
      <c r="AE18" s="43"/>
      <c r="AF18" s="44"/>
      <c r="AG18" s="45"/>
    </row>
    <row r="19" spans="1:38" x14ac:dyDescent="0.2">
      <c r="A19" s="12"/>
      <c r="B19" s="12" t="s">
        <v>70</v>
      </c>
      <c r="C19" s="9">
        <v>22</v>
      </c>
      <c r="D19" s="10">
        <f>Reference!B137</f>
        <v>18935.887999999999</v>
      </c>
      <c r="E19" s="11">
        <f>Reference!C137</f>
        <v>37.982999999999997</v>
      </c>
      <c r="F19" s="11">
        <f>Reference!D137</f>
        <v>46.098199999999999</v>
      </c>
      <c r="G19" s="11">
        <f>Reference!E137</f>
        <v>43.8994</v>
      </c>
      <c r="H19" s="11">
        <f>Reference!F137</f>
        <v>1654995</v>
      </c>
      <c r="I19" s="11">
        <f>Reference!G137</f>
        <v>495.48700000000002</v>
      </c>
      <c r="J19" s="11">
        <f t="shared" si="0"/>
        <v>459.72083333333336</v>
      </c>
      <c r="K19" s="24">
        <f>Reference!H137</f>
        <v>15259992</v>
      </c>
      <c r="L19" s="25">
        <f>Reference!I137</f>
        <v>2425348</v>
      </c>
      <c r="N19" s="10">
        <f>Test!B137</f>
        <v>0</v>
      </c>
      <c r="O19" s="11">
        <f>Test!C137</f>
        <v>0</v>
      </c>
      <c r="P19" s="11">
        <f>Test!D137</f>
        <v>0</v>
      </c>
      <c r="Q19" s="11">
        <f>Test!E137</f>
        <v>0</v>
      </c>
      <c r="R19" s="11">
        <f>Test!F137</f>
        <v>0</v>
      </c>
      <c r="S19" s="11">
        <f>Test!G137</f>
        <v>0</v>
      </c>
      <c r="T19" s="11">
        <f t="shared" si="1"/>
        <v>0</v>
      </c>
      <c r="U19" s="24">
        <f>Test!H137</f>
        <v>0</v>
      </c>
      <c r="V19" s="25">
        <f>Test!I137</f>
        <v>0</v>
      </c>
      <c r="W19" s="14">
        <f t="shared" si="2"/>
        <v>0</v>
      </c>
      <c r="X19" s="14">
        <f t="shared" si="3"/>
        <v>0</v>
      </c>
      <c r="Y19" s="14">
        <f t="shared" si="4"/>
        <v>0</v>
      </c>
      <c r="Z19" s="22">
        <f t="shared" si="4"/>
        <v>0</v>
      </c>
      <c r="AA19" s="39"/>
      <c r="AB19" s="36" t="e">
        <f>bdrate($D19:$D22,E19:E22,$N19:$N22,O19:O22)</f>
        <v>#VALUE!</v>
      </c>
      <c r="AC19" s="37" t="e">
        <f>bdrate($D19:$D22,F19:F22,$N19:$N22,P19:P22)</f>
        <v>#VALUE!</v>
      </c>
      <c r="AD19" s="37" t="e">
        <f>bdrate($D19:$D22,G19:G22,$N19:$N22,Q19:Q22)</f>
        <v>#VALUE!</v>
      </c>
      <c r="AE19" s="46" t="e">
        <f>bdrateOld($D19:$D22,E19:E22,$N19:$N22,O19:O22)</f>
        <v>#VALUE!</v>
      </c>
      <c r="AF19" s="47" t="e">
        <f>bdrateOld($D19:$D22,F19:F22,$N19:$N22,P19:P22)</f>
        <v>#VALUE!</v>
      </c>
      <c r="AG19" s="49" t="e">
        <f>bdrateOld($D19:$D22,G19:G22,$N19:$N22,Q19:Q22)</f>
        <v>#VALUE!</v>
      </c>
    </row>
    <row r="20" spans="1:38" x14ac:dyDescent="0.2">
      <c r="A20" s="12"/>
      <c r="B20" s="12"/>
      <c r="C20" s="12">
        <v>27</v>
      </c>
      <c r="D20" s="13">
        <f>Reference!B138</f>
        <v>6879.6944000000003</v>
      </c>
      <c r="E20" s="14">
        <f>Reference!C138</f>
        <v>37.470399999999998</v>
      </c>
      <c r="F20" s="14">
        <f>Reference!D138</f>
        <v>45.450499999999998</v>
      </c>
      <c r="G20" s="14">
        <f>Reference!E138</f>
        <v>43.244100000000003</v>
      </c>
      <c r="H20" s="14">
        <f>Reference!F138</f>
        <v>993267</v>
      </c>
      <c r="I20" s="14">
        <f>Reference!G138</f>
        <v>398.37799999999999</v>
      </c>
      <c r="J20" s="14">
        <f t="shared" si="0"/>
        <v>275.90750000000003</v>
      </c>
      <c r="K20" s="26">
        <f>Reference!H138</f>
        <v>15158060</v>
      </c>
      <c r="L20" s="27">
        <f>Reference!I138</f>
        <v>2302300</v>
      </c>
      <c r="N20" s="13">
        <f>Test!B138</f>
        <v>0</v>
      </c>
      <c r="O20" s="14">
        <f>Test!C138</f>
        <v>0</v>
      </c>
      <c r="P20" s="14">
        <f>Test!D138</f>
        <v>0</v>
      </c>
      <c r="Q20" s="14">
        <f>Test!E138</f>
        <v>0</v>
      </c>
      <c r="R20" s="14">
        <f>Test!F138</f>
        <v>0</v>
      </c>
      <c r="S20" s="14">
        <f>Test!G138</f>
        <v>0</v>
      </c>
      <c r="T20" s="14">
        <f t="shared" si="1"/>
        <v>0</v>
      </c>
      <c r="U20" s="26">
        <f>Test!H138</f>
        <v>0</v>
      </c>
      <c r="V20" s="27">
        <f>Test!I138</f>
        <v>0</v>
      </c>
      <c r="W20" s="14">
        <f t="shared" si="2"/>
        <v>0</v>
      </c>
      <c r="X20" s="14">
        <f t="shared" si="3"/>
        <v>0</v>
      </c>
      <c r="Y20" s="14">
        <f t="shared" si="4"/>
        <v>0</v>
      </c>
      <c r="Z20" s="22">
        <f t="shared" si="4"/>
        <v>0</v>
      </c>
      <c r="AA20" s="39"/>
      <c r="AB20" s="40"/>
      <c r="AC20" s="41"/>
      <c r="AD20" s="41"/>
      <c r="AE20" s="40"/>
      <c r="AF20" s="41"/>
      <c r="AG20" s="42"/>
    </row>
    <row r="21" spans="1:38" x14ac:dyDescent="0.2">
      <c r="A21" s="12"/>
      <c r="B21" s="12"/>
      <c r="C21" s="12">
        <v>32</v>
      </c>
      <c r="D21" s="13">
        <f>Reference!B139</f>
        <v>3318.3024</v>
      </c>
      <c r="E21" s="14">
        <f>Reference!C139</f>
        <v>36.688899999999997</v>
      </c>
      <c r="F21" s="14">
        <f>Reference!D139</f>
        <v>44.521000000000001</v>
      </c>
      <c r="G21" s="14">
        <f>Reference!E139</f>
        <v>42.285899999999998</v>
      </c>
      <c r="H21" s="14">
        <f>Reference!F139</f>
        <v>540722</v>
      </c>
      <c r="I21" s="14">
        <f>Reference!G139</f>
        <v>289.541</v>
      </c>
      <c r="J21" s="14">
        <f t="shared" si="0"/>
        <v>150.20055555555555</v>
      </c>
      <c r="K21" s="26">
        <f>Reference!H139</f>
        <v>15149784</v>
      </c>
      <c r="L21" s="27">
        <f>Reference!I139</f>
        <v>2207300</v>
      </c>
      <c r="N21" s="13">
        <f>Test!B139</f>
        <v>0</v>
      </c>
      <c r="O21" s="14">
        <f>Test!C139</f>
        <v>0</v>
      </c>
      <c r="P21" s="14">
        <f>Test!D139</f>
        <v>0</v>
      </c>
      <c r="Q21" s="14">
        <f>Test!E139</f>
        <v>0</v>
      </c>
      <c r="R21" s="14">
        <f>Test!F139</f>
        <v>0</v>
      </c>
      <c r="S21" s="14">
        <f>Test!G139</f>
        <v>0</v>
      </c>
      <c r="T21" s="14">
        <f t="shared" si="1"/>
        <v>0</v>
      </c>
      <c r="U21" s="26">
        <f>Test!H139</f>
        <v>0</v>
      </c>
      <c r="V21" s="27">
        <f>Test!I139</f>
        <v>0</v>
      </c>
      <c r="W21" s="14">
        <f t="shared" si="2"/>
        <v>0</v>
      </c>
      <c r="X21" s="14">
        <f t="shared" si="3"/>
        <v>0</v>
      </c>
      <c r="Y21" s="14">
        <f t="shared" si="4"/>
        <v>0</v>
      </c>
      <c r="Z21" s="22">
        <f t="shared" si="4"/>
        <v>0</v>
      </c>
      <c r="AA21" s="39"/>
      <c r="AB21" s="40"/>
      <c r="AC21" s="41"/>
      <c r="AD21" s="41"/>
      <c r="AE21" s="40"/>
      <c r="AF21" s="41"/>
      <c r="AG21" s="42"/>
    </row>
    <row r="22" spans="1:38" ht="12.75" customHeight="1" x14ac:dyDescent="0.2">
      <c r="A22" s="12"/>
      <c r="B22" s="15"/>
      <c r="C22" s="15">
        <v>37</v>
      </c>
      <c r="D22" s="13">
        <f>Reference!B140</f>
        <v>1736.0944</v>
      </c>
      <c r="E22" s="14">
        <f>Reference!C140</f>
        <v>35.471600000000002</v>
      </c>
      <c r="F22" s="14">
        <f>Reference!D140</f>
        <v>43.4542</v>
      </c>
      <c r="G22" s="14">
        <f>Reference!E140</f>
        <v>41.015700000000002</v>
      </c>
      <c r="H22" s="14">
        <f>Reference!F140</f>
        <v>270971</v>
      </c>
      <c r="I22" s="14">
        <f>Reference!G140</f>
        <v>160.74100000000001</v>
      </c>
      <c r="J22" s="17">
        <f t="shared" si="0"/>
        <v>75.269722222222228</v>
      </c>
      <c r="K22" s="26">
        <f>Reference!H140</f>
        <v>14310672</v>
      </c>
      <c r="L22" s="27">
        <f>Reference!I140</f>
        <v>1984896</v>
      </c>
      <c r="N22" s="16">
        <f>Test!B140</f>
        <v>0</v>
      </c>
      <c r="O22" s="17">
        <f>Test!C140</f>
        <v>0</v>
      </c>
      <c r="P22" s="17">
        <f>Test!D140</f>
        <v>0</v>
      </c>
      <c r="Q22" s="17">
        <f>Test!E140</f>
        <v>0</v>
      </c>
      <c r="R22" s="17">
        <f>Test!F140</f>
        <v>0</v>
      </c>
      <c r="S22" s="17">
        <f>Test!G140</f>
        <v>0</v>
      </c>
      <c r="T22" s="17">
        <f t="shared" si="1"/>
        <v>0</v>
      </c>
      <c r="U22" s="26">
        <f>Test!H140</f>
        <v>0</v>
      </c>
      <c r="V22" s="27">
        <f>Test!I140</f>
        <v>0</v>
      </c>
      <c r="W22" s="14">
        <f t="shared" si="2"/>
        <v>0</v>
      </c>
      <c r="X22" s="14">
        <f t="shared" si="3"/>
        <v>0</v>
      </c>
      <c r="Y22" s="14">
        <f t="shared" si="4"/>
        <v>0</v>
      </c>
      <c r="Z22" s="22">
        <f t="shared" si="4"/>
        <v>0</v>
      </c>
      <c r="AA22" s="39"/>
      <c r="AB22" s="43"/>
      <c r="AC22" s="44"/>
      <c r="AD22" s="44"/>
      <c r="AE22" s="43"/>
      <c r="AF22" s="44"/>
      <c r="AG22" s="45"/>
    </row>
    <row r="23" spans="1:38" x14ac:dyDescent="0.2">
      <c r="A23" s="12"/>
      <c r="B23" s="12" t="s">
        <v>71</v>
      </c>
      <c r="C23" s="9">
        <v>22</v>
      </c>
      <c r="D23" s="10">
        <f>Reference!B141</f>
        <v>81638.853300000002</v>
      </c>
      <c r="E23" s="11">
        <f>Reference!C141</f>
        <v>43.904200000000003</v>
      </c>
      <c r="F23" s="11">
        <f>Reference!D141</f>
        <v>37.519199999999998</v>
      </c>
      <c r="G23" s="11">
        <f>Reference!E141</f>
        <v>38.685499999999998</v>
      </c>
      <c r="H23" s="11">
        <f>Reference!F141</f>
        <v>2041818</v>
      </c>
      <c r="I23" s="11">
        <f>Reference!G141</f>
        <v>580.82899999999995</v>
      </c>
      <c r="J23" s="11">
        <f t="shared" si="0"/>
        <v>567.17166666666662</v>
      </c>
      <c r="K23" s="24">
        <f>Reference!H141</f>
        <v>15360600</v>
      </c>
      <c r="L23" s="25">
        <f>Reference!I141</f>
        <v>2479048</v>
      </c>
      <c r="N23" s="10">
        <f>Test!B141</f>
        <v>0</v>
      </c>
      <c r="O23" s="11">
        <f>Test!C141</f>
        <v>0</v>
      </c>
      <c r="P23" s="11">
        <f>Test!D141</f>
        <v>0</v>
      </c>
      <c r="Q23" s="11">
        <f>Test!E141</f>
        <v>0</v>
      </c>
      <c r="R23" s="11">
        <f>Test!F141</f>
        <v>0</v>
      </c>
      <c r="S23" s="11">
        <f>Test!G141</f>
        <v>0</v>
      </c>
      <c r="T23" s="11">
        <f t="shared" si="1"/>
        <v>0</v>
      </c>
      <c r="U23" s="24">
        <f>Test!H141</f>
        <v>0</v>
      </c>
      <c r="V23" s="25">
        <f>Test!I141</f>
        <v>0</v>
      </c>
      <c r="W23" s="14">
        <f t="shared" si="2"/>
        <v>0</v>
      </c>
      <c r="X23" s="14">
        <f t="shared" si="3"/>
        <v>0</v>
      </c>
      <c r="Y23" s="14">
        <f t="shared" si="4"/>
        <v>0</v>
      </c>
      <c r="Z23" s="22">
        <f t="shared" si="4"/>
        <v>0</v>
      </c>
      <c r="AA23" s="39"/>
      <c r="AB23" s="36" t="e">
        <f>bdrate($D23:$D26,E23:E26,$N23:$N26,O23:O26)</f>
        <v>#VALUE!</v>
      </c>
      <c r="AC23" s="37" t="e">
        <f>bdrate($D23:$D26,F23:F26,$N23:$N26,P23:P26)</f>
        <v>#VALUE!</v>
      </c>
      <c r="AD23" s="37" t="e">
        <f>bdrate($D23:$D26,G23:G26,$N23:$N26,Q23:Q26)</f>
        <v>#VALUE!</v>
      </c>
      <c r="AE23" s="46" t="e">
        <f>bdrateOld($D23:$D26,E23:E26,$N23:$N26,O23:O26)</f>
        <v>#VALUE!</v>
      </c>
      <c r="AF23" s="47" t="e">
        <f>bdrateOld($D23:$D26,F23:F26,$N23:$N26,P23:P26)</f>
        <v>#VALUE!</v>
      </c>
      <c r="AG23" s="49" t="e">
        <f>bdrateOld($D23:$D26,G23:G26,$N23:$N26,Q23:Q26)</f>
        <v>#VALUE!</v>
      </c>
    </row>
    <row r="24" spans="1:38" x14ac:dyDescent="0.2">
      <c r="A24" s="12"/>
      <c r="B24" s="12"/>
      <c r="C24" s="12">
        <v>27</v>
      </c>
      <c r="D24" s="13">
        <f>Reference!B142</f>
        <v>31928.328000000001</v>
      </c>
      <c r="E24" s="14">
        <f>Reference!C142</f>
        <v>40.197299999999998</v>
      </c>
      <c r="F24" s="14">
        <f>Reference!D142</f>
        <v>34.921799999999998</v>
      </c>
      <c r="G24" s="14">
        <f>Reference!E142</f>
        <v>36.655299999999997</v>
      </c>
      <c r="H24" s="14">
        <f>Reference!F142</f>
        <v>1479966</v>
      </c>
      <c r="I24" s="14">
        <f>Reference!G142</f>
        <v>552.03800000000001</v>
      </c>
      <c r="J24" s="14">
        <f t="shared" si="0"/>
        <v>411.10166666666669</v>
      </c>
      <c r="K24" s="26">
        <f>Reference!H142</f>
        <v>15320140</v>
      </c>
      <c r="L24" s="27">
        <f>Reference!I142</f>
        <v>2396844</v>
      </c>
      <c r="N24" s="13">
        <f>Test!B142</f>
        <v>0</v>
      </c>
      <c r="O24" s="14">
        <f>Test!C142</f>
        <v>0</v>
      </c>
      <c r="P24" s="14">
        <f>Test!D142</f>
        <v>0</v>
      </c>
      <c r="Q24" s="14">
        <f>Test!E142</f>
        <v>0</v>
      </c>
      <c r="R24" s="14">
        <f>Test!F142</f>
        <v>0</v>
      </c>
      <c r="S24" s="14">
        <f>Test!G142</f>
        <v>0</v>
      </c>
      <c r="T24" s="14">
        <f t="shared" si="1"/>
        <v>0</v>
      </c>
      <c r="U24" s="26">
        <f>Test!H142</f>
        <v>0</v>
      </c>
      <c r="V24" s="27">
        <f>Test!I142</f>
        <v>0</v>
      </c>
      <c r="W24" s="14">
        <f t="shared" si="2"/>
        <v>0</v>
      </c>
      <c r="X24" s="14">
        <f t="shared" si="3"/>
        <v>0</v>
      </c>
      <c r="Y24" s="14">
        <f t="shared" si="4"/>
        <v>0</v>
      </c>
      <c r="Z24" s="22">
        <f t="shared" si="4"/>
        <v>0</v>
      </c>
      <c r="AA24" s="39"/>
      <c r="AB24" s="40"/>
      <c r="AC24" s="41"/>
      <c r="AD24" s="41"/>
      <c r="AE24" s="40"/>
      <c r="AF24" s="41"/>
      <c r="AG24" s="42"/>
    </row>
    <row r="25" spans="1:38" x14ac:dyDescent="0.2">
      <c r="A25" s="12"/>
      <c r="B25" s="12"/>
      <c r="C25" s="12">
        <v>32</v>
      </c>
      <c r="D25" s="13">
        <f>Reference!B143</f>
        <v>14260.0173</v>
      </c>
      <c r="E25" s="14">
        <f>Reference!C143</f>
        <v>36.919600000000003</v>
      </c>
      <c r="F25" s="14">
        <f>Reference!D143</f>
        <v>33.114699999999999</v>
      </c>
      <c r="G25" s="14">
        <f>Reference!E143</f>
        <v>35.210999999999999</v>
      </c>
      <c r="H25" s="14">
        <f>Reference!F143</f>
        <v>1076263</v>
      </c>
      <c r="I25" s="14">
        <f>Reference!G143</f>
        <v>495.78899999999999</v>
      </c>
      <c r="J25" s="14">
        <f t="shared" si="0"/>
        <v>298.96194444444444</v>
      </c>
      <c r="K25" s="26">
        <f>Reference!H143</f>
        <v>15291976</v>
      </c>
      <c r="L25" s="27">
        <f>Reference!I143</f>
        <v>2381728</v>
      </c>
      <c r="N25" s="13">
        <f>Test!B143</f>
        <v>0</v>
      </c>
      <c r="O25" s="14">
        <f>Test!C143</f>
        <v>0</v>
      </c>
      <c r="P25" s="14">
        <f>Test!D143</f>
        <v>0</v>
      </c>
      <c r="Q25" s="14">
        <f>Test!E143</f>
        <v>0</v>
      </c>
      <c r="R25" s="14">
        <f>Test!F143</f>
        <v>0</v>
      </c>
      <c r="S25" s="14">
        <f>Test!G143</f>
        <v>0</v>
      </c>
      <c r="T25" s="14">
        <f t="shared" si="1"/>
        <v>0</v>
      </c>
      <c r="U25" s="26">
        <f>Test!H143</f>
        <v>0</v>
      </c>
      <c r="V25" s="27">
        <f>Test!I143</f>
        <v>0</v>
      </c>
      <c r="W25" s="14">
        <f t="shared" si="2"/>
        <v>0</v>
      </c>
      <c r="X25" s="14">
        <f t="shared" si="3"/>
        <v>0</v>
      </c>
      <c r="Y25" s="14">
        <f t="shared" si="4"/>
        <v>0</v>
      </c>
      <c r="Z25" s="22">
        <f t="shared" si="4"/>
        <v>0</v>
      </c>
      <c r="AA25" s="39"/>
      <c r="AB25" s="40"/>
      <c r="AC25" s="41"/>
      <c r="AD25" s="41"/>
      <c r="AE25" s="40"/>
      <c r="AF25" s="41"/>
      <c r="AG25" s="42"/>
    </row>
    <row r="26" spans="1:38" ht="12.75" customHeight="1" thickBot="1" x14ac:dyDescent="0.25">
      <c r="A26" s="12"/>
      <c r="B26" s="15"/>
      <c r="C26" s="15">
        <v>37</v>
      </c>
      <c r="D26" s="13">
        <f>Reference!B144</f>
        <v>6281.6639999999998</v>
      </c>
      <c r="E26" s="14">
        <f>Reference!C144</f>
        <v>33.902500000000003</v>
      </c>
      <c r="F26" s="14">
        <f>Reference!D144</f>
        <v>31.4345</v>
      </c>
      <c r="G26" s="14">
        <f>Reference!E144</f>
        <v>33.647399999999998</v>
      </c>
      <c r="H26" s="14">
        <f>Reference!F144</f>
        <v>707939</v>
      </c>
      <c r="I26" s="14">
        <f>Reference!G144</f>
        <v>415.517</v>
      </c>
      <c r="J26" s="17">
        <f t="shared" si="0"/>
        <v>196.64972222222221</v>
      </c>
      <c r="K26" s="26">
        <f>Reference!H144</f>
        <v>15192204</v>
      </c>
      <c r="L26" s="27">
        <f>Reference!I144</f>
        <v>2343676</v>
      </c>
      <c r="N26" s="16">
        <f>Test!B144</f>
        <v>0</v>
      </c>
      <c r="O26" s="17">
        <f>Test!C144</f>
        <v>0</v>
      </c>
      <c r="P26" s="17">
        <f>Test!D144</f>
        <v>0</v>
      </c>
      <c r="Q26" s="17">
        <f>Test!E144</f>
        <v>0</v>
      </c>
      <c r="R26" s="17">
        <f>Test!F144</f>
        <v>0</v>
      </c>
      <c r="S26" s="17">
        <f>Test!G144</f>
        <v>0</v>
      </c>
      <c r="T26" s="17">
        <f t="shared" si="1"/>
        <v>0</v>
      </c>
      <c r="U26" s="26">
        <f>Test!H144</f>
        <v>0</v>
      </c>
      <c r="V26" s="27">
        <f>Test!I144</f>
        <v>0</v>
      </c>
      <c r="W26" s="14">
        <f t="shared" si="2"/>
        <v>0</v>
      </c>
      <c r="X26" s="14">
        <f t="shared" si="3"/>
        <v>0</v>
      </c>
      <c r="Y26" s="14">
        <f t="shared" si="4"/>
        <v>0</v>
      </c>
      <c r="Z26" s="22">
        <f t="shared" si="4"/>
        <v>0</v>
      </c>
      <c r="AA26" s="39"/>
      <c r="AB26" s="43"/>
      <c r="AC26" s="44"/>
      <c r="AD26" s="44"/>
      <c r="AE26" s="43"/>
      <c r="AF26" s="44"/>
      <c r="AG26" s="45"/>
    </row>
    <row r="27" spans="1:38" x14ac:dyDescent="0.2">
      <c r="A27" s="9" t="s">
        <v>22</v>
      </c>
      <c r="B27" s="9" t="s">
        <v>72</v>
      </c>
      <c r="C27" s="9">
        <v>22</v>
      </c>
      <c r="D27" s="10">
        <f>Reference!B145</f>
        <v>10628.9992</v>
      </c>
      <c r="E27" s="11">
        <f>Reference!C145</f>
        <v>41.161700000000003</v>
      </c>
      <c r="F27" s="11">
        <f>Reference!D145</f>
        <v>45.141399999999997</v>
      </c>
      <c r="G27" s="11">
        <f>Reference!E145</f>
        <v>46.1203</v>
      </c>
      <c r="H27" s="11">
        <f>Reference!F145</f>
        <v>724381</v>
      </c>
      <c r="I27" s="11">
        <f>Reference!G145</f>
        <v>216.48599999999999</v>
      </c>
      <c r="J27" s="11">
        <f t="shared" si="0"/>
        <v>201.21694444444444</v>
      </c>
      <c r="K27" s="24">
        <f>Reference!H145</f>
        <v>5642840</v>
      </c>
      <c r="L27" s="25">
        <f>Reference!I145</f>
        <v>847636</v>
      </c>
      <c r="N27" s="10">
        <f>Test!B145</f>
        <v>0</v>
      </c>
      <c r="O27" s="11">
        <f>Test!C145</f>
        <v>0</v>
      </c>
      <c r="P27" s="11">
        <f>Test!D145</f>
        <v>0</v>
      </c>
      <c r="Q27" s="11">
        <f>Test!E145</f>
        <v>0</v>
      </c>
      <c r="R27" s="11">
        <f>Test!F145</f>
        <v>0</v>
      </c>
      <c r="S27" s="11">
        <f>Test!G145</f>
        <v>0</v>
      </c>
      <c r="T27" s="11">
        <f t="shared" si="1"/>
        <v>0</v>
      </c>
      <c r="U27" s="24">
        <f>Test!H145</f>
        <v>0</v>
      </c>
      <c r="V27" s="25">
        <f>Test!I145</f>
        <v>0</v>
      </c>
      <c r="W27" s="11">
        <f t="shared" si="2"/>
        <v>0</v>
      </c>
      <c r="X27" s="11">
        <f t="shared" si="3"/>
        <v>0</v>
      </c>
      <c r="Y27" s="11">
        <f t="shared" si="4"/>
        <v>0</v>
      </c>
      <c r="Z27" s="21">
        <f t="shared" si="4"/>
        <v>0</v>
      </c>
      <c r="AA27" s="35"/>
      <c r="AB27" s="36" t="e">
        <f>bdrate($D27:$D30,E27:E30,$N27:$N30,O27:O30)</f>
        <v>#VALUE!</v>
      </c>
      <c r="AC27" s="37" t="e">
        <f>bdrate($D27:$D30,F27:F30,$N27:$N30,P27:P30)</f>
        <v>#VALUE!</v>
      </c>
      <c r="AD27" s="38" t="e">
        <f>bdrate($D27:$D30,G27:G30,$N27:$N30,Q27:Q30)</f>
        <v>#VALUE!</v>
      </c>
      <c r="AE27" s="36" t="e">
        <f>bdrateOld($D27:$D30,E27:E30,$N27:$N30,O27:O30)</f>
        <v>#VALUE!</v>
      </c>
      <c r="AF27" s="37" t="e">
        <f>bdrateOld($D27:$D30,F27:F30,$N27:$N30,P27:P30)</f>
        <v>#VALUE!</v>
      </c>
      <c r="AG27" s="38" t="e">
        <f>bdrateOld($D27:$D30,G27:G30,$N27:$N30,Q27:Q30)</f>
        <v>#VALUE!</v>
      </c>
      <c r="AH27" s="145" t="e">
        <f>(AB27*6+AC27+AD27)/8</f>
        <v>#VALUE!</v>
      </c>
      <c r="AI27" s="146">
        <f>(R27-J27)/J27</f>
        <v>-1</v>
      </c>
      <c r="AJ27" s="147">
        <f>S27-K27</f>
        <v>-5642840</v>
      </c>
      <c r="AK27" s="148">
        <f>T27-L27</f>
        <v>-847636</v>
      </c>
      <c r="AL27" s="149">
        <f>U27-M27</f>
        <v>0</v>
      </c>
    </row>
    <row r="28" spans="1:38" x14ac:dyDescent="0.2">
      <c r="A28" s="12" t="s">
        <v>111</v>
      </c>
      <c r="B28" s="12"/>
      <c r="C28" s="12">
        <v>27</v>
      </c>
      <c r="D28" s="13">
        <f>Reference!B146</f>
        <v>4384.9903999999997</v>
      </c>
      <c r="E28" s="14">
        <f>Reference!C146</f>
        <v>39.332900000000002</v>
      </c>
      <c r="F28" s="14">
        <f>Reference!D146</f>
        <v>43.869700000000002</v>
      </c>
      <c r="G28" s="14">
        <f>Reference!E146</f>
        <v>44.853999999999999</v>
      </c>
      <c r="H28" s="14">
        <f>Reference!F146</f>
        <v>487851</v>
      </c>
      <c r="I28" s="14">
        <f>Reference!G146</f>
        <v>190.57300000000001</v>
      </c>
      <c r="J28" s="14">
        <f t="shared" si="0"/>
        <v>135.51416666666665</v>
      </c>
      <c r="K28" s="26">
        <f>Reference!H146</f>
        <v>5630700</v>
      </c>
      <c r="L28" s="27">
        <f>Reference!I146</f>
        <v>819860</v>
      </c>
      <c r="N28" s="13">
        <f>Test!B146</f>
        <v>0</v>
      </c>
      <c r="O28" s="14">
        <f>Test!C146</f>
        <v>0</v>
      </c>
      <c r="P28" s="14">
        <f>Test!D146</f>
        <v>0</v>
      </c>
      <c r="Q28" s="14">
        <f>Test!E146</f>
        <v>0</v>
      </c>
      <c r="R28" s="14">
        <f>Test!F146</f>
        <v>0</v>
      </c>
      <c r="S28" s="14">
        <f>Test!G146</f>
        <v>0</v>
      </c>
      <c r="T28" s="14">
        <f t="shared" si="1"/>
        <v>0</v>
      </c>
      <c r="U28" s="26">
        <f>Test!H146</f>
        <v>0</v>
      </c>
      <c r="V28" s="27">
        <f>Test!I146</f>
        <v>0</v>
      </c>
      <c r="W28" s="14">
        <f t="shared" si="2"/>
        <v>0</v>
      </c>
      <c r="X28" s="14">
        <f t="shared" si="3"/>
        <v>0</v>
      </c>
      <c r="Y28" s="14">
        <f t="shared" si="4"/>
        <v>0</v>
      </c>
      <c r="Z28" s="22">
        <f t="shared" si="4"/>
        <v>0</v>
      </c>
      <c r="AA28" s="39"/>
      <c r="AB28" s="40"/>
      <c r="AC28" s="41"/>
      <c r="AD28" s="42"/>
      <c r="AE28" s="40"/>
      <c r="AF28" s="41"/>
      <c r="AG28" s="42"/>
      <c r="AH28" s="42"/>
      <c r="AI28" s="150">
        <f>(R28-J28)/J28</f>
        <v>-1</v>
      </c>
      <c r="AJ28" s="151">
        <f>S28-K28</f>
        <v>-5630700</v>
      </c>
      <c r="AK28" s="152">
        <f>T28-L28</f>
        <v>-819860</v>
      </c>
      <c r="AL28" s="153">
        <f>U28-M28</f>
        <v>0</v>
      </c>
    </row>
    <row r="29" spans="1:38" x14ac:dyDescent="0.2">
      <c r="A29" s="12"/>
      <c r="B29" s="12"/>
      <c r="C29" s="12">
        <v>32</v>
      </c>
      <c r="D29" s="13">
        <f>Reference!B147</f>
        <v>2008.6376</v>
      </c>
      <c r="E29" s="14">
        <f>Reference!C147</f>
        <v>37.274999999999999</v>
      </c>
      <c r="F29" s="14">
        <f>Reference!D147</f>
        <v>42.453299999999999</v>
      </c>
      <c r="G29" s="14">
        <f>Reference!E147</f>
        <v>43.334200000000003</v>
      </c>
      <c r="H29" s="14">
        <f>Reference!F147</f>
        <v>295848</v>
      </c>
      <c r="I29" s="14">
        <f>Reference!G147</f>
        <v>132.52199999999999</v>
      </c>
      <c r="J29" s="14">
        <f t="shared" si="0"/>
        <v>82.18</v>
      </c>
      <c r="K29" s="26">
        <f>Reference!H147</f>
        <v>5611752</v>
      </c>
      <c r="L29" s="27">
        <f>Reference!I147</f>
        <v>777484</v>
      </c>
      <c r="N29" s="13">
        <f>Test!B147</f>
        <v>0</v>
      </c>
      <c r="O29" s="14">
        <f>Test!C147</f>
        <v>0</v>
      </c>
      <c r="P29" s="14">
        <f>Test!D147</f>
        <v>0</v>
      </c>
      <c r="Q29" s="14">
        <f>Test!E147</f>
        <v>0</v>
      </c>
      <c r="R29" s="14">
        <f>Test!F147</f>
        <v>0</v>
      </c>
      <c r="S29" s="14">
        <f>Test!G147</f>
        <v>0</v>
      </c>
      <c r="T29" s="14">
        <f t="shared" si="1"/>
        <v>0</v>
      </c>
      <c r="U29" s="26">
        <f>Test!H147</f>
        <v>0</v>
      </c>
      <c r="V29" s="27">
        <f>Test!I147</f>
        <v>0</v>
      </c>
      <c r="W29" s="14">
        <f t="shared" si="2"/>
        <v>0</v>
      </c>
      <c r="X29" s="14">
        <f t="shared" si="3"/>
        <v>0</v>
      </c>
      <c r="Y29" s="14">
        <f t="shared" si="4"/>
        <v>0</v>
      </c>
      <c r="Z29" s="22">
        <f t="shared" si="4"/>
        <v>0</v>
      </c>
      <c r="AA29" s="39"/>
      <c r="AB29" s="40"/>
      <c r="AC29" s="41"/>
      <c r="AD29" s="42"/>
      <c r="AE29" s="40"/>
      <c r="AF29" s="41"/>
      <c r="AG29" s="42"/>
      <c r="AH29" s="42"/>
      <c r="AI29" s="150">
        <f>(R29-J29)/J29</f>
        <v>-1</v>
      </c>
      <c r="AJ29" s="151">
        <f>S29-K29</f>
        <v>-5611752</v>
      </c>
      <c r="AK29" s="152">
        <f>T29-L29</f>
        <v>-777484</v>
      </c>
      <c r="AL29" s="153">
        <f>U29-M29</f>
        <v>0</v>
      </c>
    </row>
    <row r="30" spans="1:38" ht="12.75" customHeight="1" thickBot="1" x14ac:dyDescent="0.25">
      <c r="A30" s="12"/>
      <c r="B30" s="15"/>
      <c r="C30" s="15">
        <v>37</v>
      </c>
      <c r="D30" s="13">
        <f>Reference!B148</f>
        <v>931.10400000000004</v>
      </c>
      <c r="E30" s="14">
        <f>Reference!C148</f>
        <v>35.156700000000001</v>
      </c>
      <c r="F30" s="14">
        <f>Reference!D148</f>
        <v>41.076799999999999</v>
      </c>
      <c r="G30" s="14">
        <f>Reference!E148</f>
        <v>41.909399999999998</v>
      </c>
      <c r="H30" s="14">
        <f>Reference!F148</f>
        <v>181763</v>
      </c>
      <c r="I30" s="14">
        <f>Reference!G148</f>
        <v>98.147000000000006</v>
      </c>
      <c r="J30" s="17">
        <f t="shared" si="0"/>
        <v>50.48972222222222</v>
      </c>
      <c r="K30" s="26">
        <f>Reference!H148</f>
        <v>5606080</v>
      </c>
      <c r="L30" s="27">
        <f>Reference!I148</f>
        <v>784400</v>
      </c>
      <c r="N30" s="16">
        <f>Test!B148</f>
        <v>0</v>
      </c>
      <c r="O30" s="17">
        <f>Test!C148</f>
        <v>0</v>
      </c>
      <c r="P30" s="17">
        <f>Test!D148</f>
        <v>0</v>
      </c>
      <c r="Q30" s="17">
        <f>Test!E148</f>
        <v>0</v>
      </c>
      <c r="R30" s="17">
        <f>Test!F148</f>
        <v>0</v>
      </c>
      <c r="S30" s="17">
        <f>Test!G148</f>
        <v>0</v>
      </c>
      <c r="T30" s="17">
        <f t="shared" si="1"/>
        <v>0</v>
      </c>
      <c r="U30" s="26">
        <f>Test!H148</f>
        <v>0</v>
      </c>
      <c r="V30" s="27">
        <f>Test!I148</f>
        <v>0</v>
      </c>
      <c r="W30" s="14">
        <f t="shared" si="2"/>
        <v>0</v>
      </c>
      <c r="X30" s="14">
        <f t="shared" si="3"/>
        <v>0</v>
      </c>
      <c r="Y30" s="14">
        <f t="shared" si="4"/>
        <v>0</v>
      </c>
      <c r="Z30" s="22">
        <f t="shared" si="4"/>
        <v>0</v>
      </c>
      <c r="AA30" s="39"/>
      <c r="AB30" s="43"/>
      <c r="AC30" s="44"/>
      <c r="AD30" s="45"/>
      <c r="AE30" s="43"/>
      <c r="AF30" s="44"/>
      <c r="AG30" s="45"/>
      <c r="AH30" s="42"/>
      <c r="AI30" s="154">
        <f>(R30-J30)/J30</f>
        <v>-1</v>
      </c>
      <c r="AJ30" s="155">
        <f>S30-K30</f>
        <v>-5606080</v>
      </c>
      <c r="AK30" s="156">
        <f>T30-L30</f>
        <v>-784400</v>
      </c>
      <c r="AL30" s="157">
        <f>U30-M30</f>
        <v>0</v>
      </c>
    </row>
    <row r="31" spans="1:38" x14ac:dyDescent="0.2">
      <c r="A31" s="12"/>
      <c r="B31" s="9" t="s">
        <v>73</v>
      </c>
      <c r="C31" s="9">
        <v>22</v>
      </c>
      <c r="D31" s="10">
        <f>Reference!B149</f>
        <v>7811.8296</v>
      </c>
      <c r="E31" s="11">
        <f>Reference!C149</f>
        <v>45.228499999999997</v>
      </c>
      <c r="F31" s="11">
        <f>Reference!D149</f>
        <v>48.712699999999998</v>
      </c>
      <c r="G31" s="11">
        <f>Reference!E149</f>
        <v>49.3827</v>
      </c>
      <c r="H31" s="11">
        <f>Reference!F149</f>
        <v>768126</v>
      </c>
      <c r="I31" s="11">
        <f>Reference!G149</f>
        <v>220.14699999999999</v>
      </c>
      <c r="J31" s="11">
        <f t="shared" si="0"/>
        <v>213.36833333333334</v>
      </c>
      <c r="K31" s="24">
        <f>Reference!H149</f>
        <v>5634800</v>
      </c>
      <c r="L31" s="25">
        <f>Reference!I149</f>
        <v>843292</v>
      </c>
      <c r="M31" s="55"/>
      <c r="N31" s="10">
        <f>Test!B149</f>
        <v>0</v>
      </c>
      <c r="O31" s="11">
        <f>Test!C149</f>
        <v>0</v>
      </c>
      <c r="P31" s="11">
        <f>Test!D149</f>
        <v>0</v>
      </c>
      <c r="Q31" s="11">
        <f>Test!E149</f>
        <v>0</v>
      </c>
      <c r="R31" s="11">
        <f>Test!F149</f>
        <v>0</v>
      </c>
      <c r="S31" s="11">
        <f>Test!G149</f>
        <v>0</v>
      </c>
      <c r="T31" s="11">
        <f t="shared" si="1"/>
        <v>0</v>
      </c>
      <c r="U31" s="24">
        <f>Test!H149</f>
        <v>0</v>
      </c>
      <c r="V31" s="25">
        <f>Test!I149</f>
        <v>0</v>
      </c>
      <c r="W31" s="14">
        <f t="shared" si="2"/>
        <v>0</v>
      </c>
      <c r="X31" s="14">
        <f t="shared" si="3"/>
        <v>0</v>
      </c>
      <c r="Y31" s="14">
        <f t="shared" si="4"/>
        <v>0</v>
      </c>
      <c r="Z31" s="22">
        <f t="shared" si="4"/>
        <v>0</v>
      </c>
      <c r="AA31" s="39"/>
      <c r="AB31" s="36" t="e">
        <f>bdrate($D31:$D34,E31:E34,$N31:$N34,O31:O34)</f>
        <v>#VALUE!</v>
      </c>
      <c r="AC31" s="37" t="e">
        <f>bdrate($D31:$D34,F31:F34,$N31:$N34,P31:P34)</f>
        <v>#VALUE!</v>
      </c>
      <c r="AD31" s="37" t="e">
        <f>bdrate($D31:$D34,G31:G34,$N31:$N34,Q31:Q34)</f>
        <v>#VALUE!</v>
      </c>
      <c r="AE31" s="46" t="e">
        <f>bdrateOld($D31:$D34,E31:E34,$N31:$N34,O31:O34)</f>
        <v>#VALUE!</v>
      </c>
      <c r="AF31" s="47" t="e">
        <f>bdrateOld($D31:$D34,F31:F34,$N31:$N34,P31:P34)</f>
        <v>#VALUE!</v>
      </c>
      <c r="AG31" s="49" t="e">
        <f>bdrateOld($D31:$D34,G31:G34,$N31:$N34,Q31:Q34)</f>
        <v>#VALUE!</v>
      </c>
      <c r="AH31" s="145" t="e">
        <f>(AB31*6+AC31+AD31)/8</f>
        <v>#VALUE!</v>
      </c>
      <c r="AI31" s="146">
        <f>(R31-J31)/J31</f>
        <v>-1</v>
      </c>
      <c r="AJ31" s="147">
        <f>S31-K31</f>
        <v>-5634800</v>
      </c>
      <c r="AK31" s="148">
        <f>T31-L31</f>
        <v>-843292</v>
      </c>
      <c r="AL31" s="149">
        <f>U31-M31</f>
        <v>0</v>
      </c>
    </row>
    <row r="32" spans="1:38" x14ac:dyDescent="0.2">
      <c r="A32" s="12"/>
      <c r="B32" s="12"/>
      <c r="C32" s="12">
        <v>27</v>
      </c>
      <c r="D32" s="13">
        <f>Reference!B150</f>
        <v>4001.3191999999999</v>
      </c>
      <c r="E32" s="14">
        <f>Reference!C150</f>
        <v>42.294499999999999</v>
      </c>
      <c r="F32" s="14">
        <f>Reference!D150</f>
        <v>46.527700000000003</v>
      </c>
      <c r="G32" s="14">
        <f>Reference!E150</f>
        <v>46.785800000000002</v>
      </c>
      <c r="H32" s="14">
        <f>Reference!F150</f>
        <v>575435</v>
      </c>
      <c r="I32" s="14">
        <f>Reference!G150</f>
        <v>174.27600000000001</v>
      </c>
      <c r="J32" s="14">
        <f t="shared" si="0"/>
        <v>159.84305555555557</v>
      </c>
      <c r="K32" s="26">
        <f>Reference!H150</f>
        <v>5618912</v>
      </c>
      <c r="L32" s="27">
        <f>Reference!I150</f>
        <v>820648</v>
      </c>
      <c r="M32" s="55"/>
      <c r="N32" s="13">
        <f>Test!B150</f>
        <v>0</v>
      </c>
      <c r="O32" s="14">
        <f>Test!C150</f>
        <v>0</v>
      </c>
      <c r="P32" s="14">
        <f>Test!D150</f>
        <v>0</v>
      </c>
      <c r="Q32" s="14">
        <f>Test!E150</f>
        <v>0</v>
      </c>
      <c r="R32" s="14">
        <f>Test!F150</f>
        <v>0</v>
      </c>
      <c r="S32" s="14">
        <f>Test!G150</f>
        <v>0</v>
      </c>
      <c r="T32" s="14">
        <f t="shared" si="1"/>
        <v>0</v>
      </c>
      <c r="U32" s="26">
        <f>Test!H150</f>
        <v>0</v>
      </c>
      <c r="V32" s="27">
        <f>Test!I150</f>
        <v>0</v>
      </c>
      <c r="W32" s="14">
        <f t="shared" si="2"/>
        <v>0</v>
      </c>
      <c r="X32" s="14">
        <f t="shared" si="3"/>
        <v>0</v>
      </c>
      <c r="Y32" s="14">
        <f t="shared" si="4"/>
        <v>0</v>
      </c>
      <c r="Z32" s="22">
        <f t="shared" si="4"/>
        <v>0</v>
      </c>
      <c r="AA32" s="39"/>
      <c r="AB32" s="40"/>
      <c r="AC32" s="41"/>
      <c r="AD32" s="41"/>
      <c r="AE32" s="40"/>
      <c r="AF32" s="41"/>
      <c r="AG32" s="42"/>
      <c r="AH32" s="42"/>
      <c r="AI32" s="150">
        <f>(R32-J32)/J32</f>
        <v>-1</v>
      </c>
      <c r="AJ32" s="151">
        <f>S32-K32</f>
        <v>-5618912</v>
      </c>
      <c r="AK32" s="152">
        <f>T32-L32</f>
        <v>-820648</v>
      </c>
      <c r="AL32" s="153">
        <f>U32-M32</f>
        <v>0</v>
      </c>
    </row>
    <row r="33" spans="1:38" x14ac:dyDescent="0.2">
      <c r="A33" s="12"/>
      <c r="B33" s="12"/>
      <c r="C33" s="12">
        <v>32</v>
      </c>
      <c r="D33" s="13">
        <f>Reference!B151</f>
        <v>2144.6288</v>
      </c>
      <c r="E33" s="14">
        <f>Reference!C151</f>
        <v>39.231400000000001</v>
      </c>
      <c r="F33" s="14">
        <f>Reference!D151</f>
        <v>44.662599999999998</v>
      </c>
      <c r="G33" s="14">
        <f>Reference!E151</f>
        <v>44.641399999999997</v>
      </c>
      <c r="H33" s="14">
        <f>Reference!F151</f>
        <v>437147</v>
      </c>
      <c r="I33" s="14">
        <f>Reference!G151</f>
        <v>138.18</v>
      </c>
      <c r="J33" s="14">
        <f t="shared" si="0"/>
        <v>121.42972222222222</v>
      </c>
      <c r="K33" s="26">
        <f>Reference!H151</f>
        <v>5608628</v>
      </c>
      <c r="L33" s="27">
        <f>Reference!I151</f>
        <v>764068</v>
      </c>
      <c r="M33" s="55"/>
      <c r="N33" s="13">
        <f>Test!B151</f>
        <v>0</v>
      </c>
      <c r="O33" s="14">
        <f>Test!C151</f>
        <v>0</v>
      </c>
      <c r="P33" s="14">
        <f>Test!D151</f>
        <v>0</v>
      </c>
      <c r="Q33" s="14">
        <f>Test!E151</f>
        <v>0</v>
      </c>
      <c r="R33" s="14">
        <f>Test!F151</f>
        <v>0</v>
      </c>
      <c r="S33" s="14">
        <f>Test!G151</f>
        <v>0</v>
      </c>
      <c r="T33" s="14">
        <f t="shared" si="1"/>
        <v>0</v>
      </c>
      <c r="U33" s="26">
        <f>Test!H151</f>
        <v>0</v>
      </c>
      <c r="V33" s="27">
        <f>Test!I151</f>
        <v>0</v>
      </c>
      <c r="W33" s="14">
        <f t="shared" si="2"/>
        <v>0</v>
      </c>
      <c r="X33" s="14">
        <f t="shared" si="3"/>
        <v>0</v>
      </c>
      <c r="Y33" s="14">
        <f t="shared" si="4"/>
        <v>0</v>
      </c>
      <c r="Z33" s="22">
        <f t="shared" si="4"/>
        <v>0</v>
      </c>
      <c r="AA33" s="39"/>
      <c r="AB33" s="40"/>
      <c r="AC33" s="41"/>
      <c r="AD33" s="41"/>
      <c r="AE33" s="40"/>
      <c r="AF33" s="41"/>
      <c r="AG33" s="42"/>
      <c r="AH33" s="42"/>
      <c r="AI33" s="150">
        <f>(R33-J33)/J33</f>
        <v>-1</v>
      </c>
      <c r="AJ33" s="151">
        <f>S33-K33</f>
        <v>-5608628</v>
      </c>
      <c r="AK33" s="152">
        <f>T33-L33</f>
        <v>-764068</v>
      </c>
      <c r="AL33" s="153">
        <f>U33-M33</f>
        <v>0</v>
      </c>
    </row>
    <row r="34" spans="1:38" ht="12.75" customHeight="1" thickBot="1" x14ac:dyDescent="0.25">
      <c r="A34" s="12"/>
      <c r="B34" s="15"/>
      <c r="C34" s="15">
        <v>37</v>
      </c>
      <c r="D34" s="13">
        <f>Reference!B152</f>
        <v>1151.68</v>
      </c>
      <c r="E34" s="14">
        <f>Reference!C152</f>
        <v>36.366399999999999</v>
      </c>
      <c r="F34" s="14">
        <f>Reference!D152</f>
        <v>42.885199999999998</v>
      </c>
      <c r="G34" s="14">
        <f>Reference!E152</f>
        <v>42.7318</v>
      </c>
      <c r="H34" s="14">
        <f>Reference!F152</f>
        <v>265276</v>
      </c>
      <c r="I34" s="14">
        <f>Reference!G152</f>
        <v>95.061999999999998</v>
      </c>
      <c r="J34" s="17">
        <f t="shared" si="0"/>
        <v>73.687777777777782</v>
      </c>
      <c r="K34" s="26">
        <f>Reference!H152</f>
        <v>5468932</v>
      </c>
      <c r="L34" s="27">
        <f>Reference!I152</f>
        <v>750584</v>
      </c>
      <c r="M34" s="55"/>
      <c r="N34" s="16">
        <f>Test!B152</f>
        <v>0</v>
      </c>
      <c r="O34" s="17">
        <f>Test!C152</f>
        <v>0</v>
      </c>
      <c r="P34" s="17">
        <f>Test!D152</f>
        <v>0</v>
      </c>
      <c r="Q34" s="17">
        <f>Test!E152</f>
        <v>0</v>
      </c>
      <c r="R34" s="17">
        <f>Test!F152</f>
        <v>0</v>
      </c>
      <c r="S34" s="17">
        <f>Test!G152</f>
        <v>0</v>
      </c>
      <c r="T34" s="17">
        <f t="shared" si="1"/>
        <v>0</v>
      </c>
      <c r="U34" s="26">
        <f>Test!H152</f>
        <v>0</v>
      </c>
      <c r="V34" s="27">
        <f>Test!I152</f>
        <v>0</v>
      </c>
      <c r="W34" s="14">
        <f t="shared" si="2"/>
        <v>0</v>
      </c>
      <c r="X34" s="14">
        <f t="shared" si="3"/>
        <v>0</v>
      </c>
      <c r="Y34" s="14">
        <f t="shared" si="4"/>
        <v>0</v>
      </c>
      <c r="Z34" s="22">
        <f t="shared" si="4"/>
        <v>0</v>
      </c>
      <c r="AA34" s="39"/>
      <c r="AB34" s="43"/>
      <c r="AC34" s="44"/>
      <c r="AD34" s="44"/>
      <c r="AE34" s="43"/>
      <c r="AF34" s="44"/>
      <c r="AG34" s="45"/>
      <c r="AH34" s="42"/>
      <c r="AI34" s="154">
        <f>(R34-J34)/J34</f>
        <v>-1</v>
      </c>
      <c r="AJ34" s="155">
        <f>S34-K34</f>
        <v>-5468932</v>
      </c>
      <c r="AK34" s="156">
        <f>T34-L34</f>
        <v>-750584</v>
      </c>
      <c r="AL34" s="157">
        <f>U34-M34</f>
        <v>0</v>
      </c>
    </row>
    <row r="35" spans="1:38" x14ac:dyDescent="0.2">
      <c r="A35" s="12"/>
      <c r="B35" s="9" t="s">
        <v>74</v>
      </c>
      <c r="C35" s="9">
        <v>22</v>
      </c>
      <c r="D35" s="10">
        <f>Reference!B153</f>
        <v>7804.1360000000004</v>
      </c>
      <c r="E35" s="11">
        <f>Reference!C153</f>
        <v>38.714199999999998</v>
      </c>
      <c r="F35" s="11">
        <f>Reference!D153</f>
        <v>40.3825</v>
      </c>
      <c r="G35" s="11">
        <f>Reference!E153</f>
        <v>44.733600000000003</v>
      </c>
      <c r="H35" s="11">
        <f>Reference!F153</f>
        <v>585505</v>
      </c>
      <c r="I35" s="11">
        <f>Reference!G153</f>
        <v>156.58799999999999</v>
      </c>
      <c r="J35" s="11">
        <f t="shared" ref="J35:J66" si="5">H35/3600</f>
        <v>162.64027777777778</v>
      </c>
      <c r="K35" s="24">
        <f>Reference!H153</f>
        <v>5644844</v>
      </c>
      <c r="L35" s="25">
        <f>Reference!I153</f>
        <v>826408</v>
      </c>
      <c r="N35" s="10">
        <f>Test!B153</f>
        <v>0</v>
      </c>
      <c r="O35" s="11">
        <f>Test!C153</f>
        <v>0</v>
      </c>
      <c r="P35" s="11">
        <f>Test!D153</f>
        <v>0</v>
      </c>
      <c r="Q35" s="11">
        <f>Test!E153</f>
        <v>0</v>
      </c>
      <c r="R35" s="11">
        <f>Test!F153</f>
        <v>0</v>
      </c>
      <c r="S35" s="11">
        <f>Test!G153</f>
        <v>0</v>
      </c>
      <c r="T35" s="11">
        <f t="shared" ref="T35:T66" si="6">R35/3600</f>
        <v>0</v>
      </c>
      <c r="U35" s="24">
        <f>Test!H153</f>
        <v>0</v>
      </c>
      <c r="V35" s="25">
        <f>Test!I153</f>
        <v>0</v>
      </c>
      <c r="W35" s="14">
        <f t="shared" ref="W35:W66" si="7">R35/H35</f>
        <v>0</v>
      </c>
      <c r="X35" s="14">
        <f t="shared" ref="X35:X66" si="8">S35/I35</f>
        <v>0</v>
      </c>
      <c r="Y35" s="14">
        <f t="shared" si="4"/>
        <v>0</v>
      </c>
      <c r="Z35" s="22">
        <f t="shared" si="4"/>
        <v>0</v>
      </c>
      <c r="AA35" s="39"/>
      <c r="AB35" s="36" t="e">
        <f>bdrate($D35:$D38,E35:E38,$N35:$N38,O35:O38)</f>
        <v>#VALUE!</v>
      </c>
      <c r="AC35" s="37" t="e">
        <f>bdrate($D35:$D38,F35:F38,$N35:$N38,P35:P38)</f>
        <v>#VALUE!</v>
      </c>
      <c r="AD35" s="37" t="e">
        <f>bdrate($D35:$D38,G35:G38,$N35:$N38,Q35:Q38)</f>
        <v>#VALUE!</v>
      </c>
      <c r="AE35" s="46" t="e">
        <f>bdrateOld($D35:$D38,E35:E38,$N35:$N38,O35:O38)</f>
        <v>#VALUE!</v>
      </c>
      <c r="AF35" s="47" t="e">
        <f>bdrateOld($D35:$D38,F35:F38,$N35:$N38,P35:P38)</f>
        <v>#VALUE!</v>
      </c>
      <c r="AG35" s="49" t="e">
        <f>bdrateOld($D35:$D38,G35:G38,$N35:$N38,Q35:Q38)</f>
        <v>#VALUE!</v>
      </c>
      <c r="AH35" s="42" t="e">
        <f>(AB35*6+AC35+AD35)/8</f>
        <v>#VALUE!</v>
      </c>
      <c r="AI35" s="146">
        <f>(R35-J35)/J35</f>
        <v>-1</v>
      </c>
      <c r="AJ35" s="147">
        <f>S35-K35</f>
        <v>-5644844</v>
      </c>
      <c r="AK35" s="148">
        <f>T35-L35</f>
        <v>-826408</v>
      </c>
      <c r="AL35" s="149">
        <f>U35-M35</f>
        <v>0</v>
      </c>
    </row>
    <row r="36" spans="1:38" x14ac:dyDescent="0.2">
      <c r="A36" s="12"/>
      <c r="B36" s="12"/>
      <c r="C36" s="12">
        <v>27</v>
      </c>
      <c r="D36" s="13">
        <f>Reference!B154</f>
        <v>3073.8303999999998</v>
      </c>
      <c r="E36" s="14">
        <f>Reference!C154</f>
        <v>37.506799999999998</v>
      </c>
      <c r="F36" s="14">
        <f>Reference!D154</f>
        <v>39.840499999999999</v>
      </c>
      <c r="G36" s="14">
        <f>Reference!E154</f>
        <v>43.220799999999997</v>
      </c>
      <c r="H36" s="14">
        <f>Reference!F154</f>
        <v>441692</v>
      </c>
      <c r="I36" s="14">
        <f>Reference!G154</f>
        <v>128.023</v>
      </c>
      <c r="J36" s="14">
        <f t="shared" si="5"/>
        <v>122.69222222222223</v>
      </c>
      <c r="K36" s="26">
        <f>Reference!H154</f>
        <v>5624208</v>
      </c>
      <c r="L36" s="27">
        <f>Reference!I154</f>
        <v>803052</v>
      </c>
      <c r="N36" s="13">
        <f>Test!B154</f>
        <v>0</v>
      </c>
      <c r="O36" s="14">
        <f>Test!C154</f>
        <v>0</v>
      </c>
      <c r="P36" s="14">
        <f>Test!D154</f>
        <v>0</v>
      </c>
      <c r="Q36" s="14">
        <f>Test!E154</f>
        <v>0</v>
      </c>
      <c r="R36" s="14">
        <f>Test!F154</f>
        <v>0</v>
      </c>
      <c r="S36" s="14">
        <f>Test!G154</f>
        <v>0</v>
      </c>
      <c r="T36" s="14">
        <f t="shared" si="6"/>
        <v>0</v>
      </c>
      <c r="U36" s="26">
        <f>Test!H154</f>
        <v>0</v>
      </c>
      <c r="V36" s="27">
        <f>Test!I154</f>
        <v>0</v>
      </c>
      <c r="W36" s="14">
        <f t="shared" si="7"/>
        <v>0</v>
      </c>
      <c r="X36" s="14">
        <f t="shared" si="8"/>
        <v>0</v>
      </c>
      <c r="Y36" s="14">
        <f t="shared" si="4"/>
        <v>0</v>
      </c>
      <c r="Z36" s="22">
        <f t="shared" si="4"/>
        <v>0</v>
      </c>
      <c r="AA36" s="39"/>
      <c r="AB36" s="40"/>
      <c r="AC36" s="41"/>
      <c r="AD36" s="41"/>
      <c r="AE36" s="40"/>
      <c r="AF36" s="41"/>
      <c r="AG36" s="42"/>
      <c r="AH36" s="42"/>
      <c r="AI36" s="150">
        <f>(R36-J36)/J36</f>
        <v>-1</v>
      </c>
      <c r="AJ36" s="151">
        <f>S36-K36</f>
        <v>-5624208</v>
      </c>
      <c r="AK36" s="152">
        <f>T36-L36</f>
        <v>-803052</v>
      </c>
      <c r="AL36" s="153">
        <f>U36-M36</f>
        <v>0</v>
      </c>
    </row>
    <row r="37" spans="1:38" x14ac:dyDescent="0.2">
      <c r="A37" s="12"/>
      <c r="B37" s="12"/>
      <c r="C37" s="12">
        <v>32</v>
      </c>
      <c r="D37" s="13">
        <f>Reference!B155</f>
        <v>1492.3096</v>
      </c>
      <c r="E37" s="14">
        <f>Reference!C155</f>
        <v>35.918500000000002</v>
      </c>
      <c r="F37" s="14">
        <f>Reference!D155</f>
        <v>39.15</v>
      </c>
      <c r="G37" s="14">
        <f>Reference!E155</f>
        <v>41.572200000000002</v>
      </c>
      <c r="H37" s="14">
        <f>Reference!F155</f>
        <v>325110</v>
      </c>
      <c r="I37" s="14">
        <f>Reference!G155</f>
        <v>105.16200000000001</v>
      </c>
      <c r="J37" s="14">
        <f t="shared" si="5"/>
        <v>90.308333333333337</v>
      </c>
      <c r="K37" s="26">
        <f>Reference!H155</f>
        <v>5611304</v>
      </c>
      <c r="L37" s="27">
        <f>Reference!I155</f>
        <v>764704</v>
      </c>
      <c r="N37" s="13">
        <f>Test!B155</f>
        <v>0</v>
      </c>
      <c r="O37" s="14">
        <f>Test!C155</f>
        <v>0</v>
      </c>
      <c r="P37" s="14">
        <f>Test!D155</f>
        <v>0</v>
      </c>
      <c r="Q37" s="14">
        <f>Test!E155</f>
        <v>0</v>
      </c>
      <c r="R37" s="14">
        <f>Test!F155</f>
        <v>0</v>
      </c>
      <c r="S37" s="14">
        <f>Test!G155</f>
        <v>0</v>
      </c>
      <c r="T37" s="14">
        <f t="shared" si="6"/>
        <v>0</v>
      </c>
      <c r="U37" s="26">
        <f>Test!H155</f>
        <v>0</v>
      </c>
      <c r="V37" s="27">
        <f>Test!I155</f>
        <v>0</v>
      </c>
      <c r="W37" s="14">
        <f t="shared" si="7"/>
        <v>0</v>
      </c>
      <c r="X37" s="14">
        <f t="shared" si="8"/>
        <v>0</v>
      </c>
      <c r="Y37" s="14">
        <f t="shared" si="4"/>
        <v>0</v>
      </c>
      <c r="Z37" s="22">
        <f t="shared" si="4"/>
        <v>0</v>
      </c>
      <c r="AA37" s="39"/>
      <c r="AB37" s="40"/>
      <c r="AC37" s="41"/>
      <c r="AD37" s="41"/>
      <c r="AE37" s="40"/>
      <c r="AF37" s="41"/>
      <c r="AG37" s="42"/>
      <c r="AH37" s="42"/>
      <c r="AI37" s="150">
        <f>(R37-J37)/J37</f>
        <v>-1</v>
      </c>
      <c r="AJ37" s="151">
        <f>S37-K37</f>
        <v>-5611304</v>
      </c>
      <c r="AK37" s="152">
        <f>T37-L37</f>
        <v>-764704</v>
      </c>
      <c r="AL37" s="153">
        <f>U37-M37</f>
        <v>0</v>
      </c>
    </row>
    <row r="38" spans="1:38" ht="12.75" customHeight="1" thickBot="1" x14ac:dyDescent="0.25">
      <c r="A38" s="12"/>
      <c r="B38" s="15"/>
      <c r="C38" s="15">
        <v>37</v>
      </c>
      <c r="D38" s="13">
        <f>Reference!B156</f>
        <v>748.86159999999995</v>
      </c>
      <c r="E38" s="14">
        <f>Reference!C156</f>
        <v>33.962499999999999</v>
      </c>
      <c r="F38" s="14">
        <f>Reference!D156</f>
        <v>38.2072</v>
      </c>
      <c r="G38" s="14">
        <f>Reference!E156</f>
        <v>39.837000000000003</v>
      </c>
      <c r="H38" s="14">
        <f>Reference!F156</f>
        <v>234150</v>
      </c>
      <c r="I38" s="14">
        <f>Reference!G156</f>
        <v>101.569</v>
      </c>
      <c r="J38" s="17">
        <f t="shared" si="5"/>
        <v>65.041666666666671</v>
      </c>
      <c r="K38" s="26">
        <f>Reference!H156</f>
        <v>5601492</v>
      </c>
      <c r="L38" s="27">
        <f>Reference!I156</f>
        <v>731724</v>
      </c>
      <c r="N38" s="16">
        <f>Test!B156</f>
        <v>0</v>
      </c>
      <c r="O38" s="17">
        <f>Test!C156</f>
        <v>0</v>
      </c>
      <c r="P38" s="17">
        <f>Test!D156</f>
        <v>0</v>
      </c>
      <c r="Q38" s="17">
        <f>Test!E156</f>
        <v>0</v>
      </c>
      <c r="R38" s="17">
        <f>Test!F156</f>
        <v>0</v>
      </c>
      <c r="S38" s="17">
        <f>Test!G156</f>
        <v>0</v>
      </c>
      <c r="T38" s="17">
        <f t="shared" si="6"/>
        <v>0</v>
      </c>
      <c r="U38" s="26">
        <f>Test!H156</f>
        <v>0</v>
      </c>
      <c r="V38" s="27">
        <f>Test!I156</f>
        <v>0</v>
      </c>
      <c r="W38" s="14">
        <f t="shared" si="7"/>
        <v>0</v>
      </c>
      <c r="X38" s="14">
        <f t="shared" si="8"/>
        <v>0</v>
      </c>
      <c r="Y38" s="14">
        <f t="shared" si="4"/>
        <v>0</v>
      </c>
      <c r="Z38" s="22">
        <f t="shared" si="4"/>
        <v>0</v>
      </c>
      <c r="AA38" s="39"/>
      <c r="AB38" s="43"/>
      <c r="AC38" s="44"/>
      <c r="AD38" s="44"/>
      <c r="AE38" s="43"/>
      <c r="AF38" s="44"/>
      <c r="AG38" s="45"/>
      <c r="AH38" s="42"/>
      <c r="AI38" s="154">
        <f>(R38-J38)/J38</f>
        <v>-1</v>
      </c>
      <c r="AJ38" s="155">
        <f>S38-K38</f>
        <v>-5601492</v>
      </c>
      <c r="AK38" s="156">
        <f>T38-L38</f>
        <v>-731724</v>
      </c>
      <c r="AL38" s="157">
        <f>U38-M38</f>
        <v>0</v>
      </c>
    </row>
    <row r="39" spans="1:38" x14ac:dyDescent="0.2">
      <c r="A39" s="12"/>
      <c r="B39" s="9" t="s">
        <v>79</v>
      </c>
      <c r="C39" s="9">
        <v>22</v>
      </c>
      <c r="D39" s="10">
        <f>Reference!B157</f>
        <v>9552.6576000000005</v>
      </c>
      <c r="E39" s="11">
        <f>Reference!C157</f>
        <v>39.426099999999998</v>
      </c>
      <c r="F39" s="11">
        <f>Reference!D157</f>
        <v>44.540199999999999</v>
      </c>
      <c r="G39" s="11">
        <f>Reference!E157</f>
        <v>46.19</v>
      </c>
      <c r="H39" s="11">
        <f>Reference!F157</f>
        <v>894749</v>
      </c>
      <c r="I39" s="11">
        <f>Reference!G157</f>
        <v>216.26</v>
      </c>
      <c r="J39" s="11">
        <f t="shared" si="5"/>
        <v>248.54138888888889</v>
      </c>
      <c r="K39" s="24">
        <f>Reference!H157</f>
        <v>5645388</v>
      </c>
      <c r="L39" s="25">
        <f>Reference!I157</f>
        <v>825340</v>
      </c>
      <c r="N39" s="10">
        <f>Test!B157</f>
        <v>0</v>
      </c>
      <c r="O39" s="11">
        <f>Test!C157</f>
        <v>0</v>
      </c>
      <c r="P39" s="11">
        <f>Test!D157</f>
        <v>0</v>
      </c>
      <c r="Q39" s="11">
        <f>Test!E157</f>
        <v>0</v>
      </c>
      <c r="R39" s="11">
        <f>Test!F157</f>
        <v>0</v>
      </c>
      <c r="S39" s="11">
        <f>Test!G157</f>
        <v>0</v>
      </c>
      <c r="T39" s="11">
        <f t="shared" si="6"/>
        <v>0</v>
      </c>
      <c r="U39" s="24">
        <f>Test!H157</f>
        <v>0</v>
      </c>
      <c r="V39" s="25">
        <f>Test!I157</f>
        <v>0</v>
      </c>
      <c r="W39" s="14">
        <f t="shared" si="7"/>
        <v>0</v>
      </c>
      <c r="X39" s="14">
        <f t="shared" si="8"/>
        <v>0</v>
      </c>
      <c r="Y39" s="14">
        <f t="shared" si="4"/>
        <v>0</v>
      </c>
      <c r="Z39" s="22">
        <f t="shared" si="4"/>
        <v>0</v>
      </c>
      <c r="AA39" s="39"/>
      <c r="AB39" s="36" t="e">
        <f>bdrate($D39:$D42,E39:E42,$N39:$N42,O39:O42)</f>
        <v>#VALUE!</v>
      </c>
      <c r="AC39" s="37" t="e">
        <f>bdrate($D39:$D42,F39:F42,$N39:$N42,P39:P42)</f>
        <v>#VALUE!</v>
      </c>
      <c r="AD39" s="37" t="e">
        <f>bdrate($D39:$D42,G39:G42,$N39:$N42,Q39:Q42)</f>
        <v>#VALUE!</v>
      </c>
      <c r="AE39" s="46" t="e">
        <f>bdrateOld($D39:$D42,E39:E42,$N39:$N42,O39:O42)</f>
        <v>#VALUE!</v>
      </c>
      <c r="AF39" s="47" t="e">
        <f>bdrateOld($D39:$D42,F39:F42,$N39:$N42,P39:P42)</f>
        <v>#VALUE!</v>
      </c>
      <c r="AG39" s="49" t="e">
        <f>bdrateOld($D39:$D42,G39:G42,$N39:$N42,Q39:Q42)</f>
        <v>#VALUE!</v>
      </c>
      <c r="AH39" s="42" t="e">
        <f>(AB39*6+AC39+AD39)/8</f>
        <v>#VALUE!</v>
      </c>
      <c r="AI39" s="146">
        <f>(R39-J39)/J39</f>
        <v>-1</v>
      </c>
      <c r="AJ39" s="147">
        <f>S39-K39</f>
        <v>-5645388</v>
      </c>
      <c r="AK39" s="148">
        <f>T39-L39</f>
        <v>-825340</v>
      </c>
      <c r="AL39" s="149">
        <f>U39-M39</f>
        <v>0</v>
      </c>
    </row>
    <row r="40" spans="1:38" x14ac:dyDescent="0.2">
      <c r="A40" s="12"/>
      <c r="B40" s="12"/>
      <c r="C40" s="12">
        <v>27</v>
      </c>
      <c r="D40" s="13">
        <f>Reference!B158</f>
        <v>3815.7152000000001</v>
      </c>
      <c r="E40" s="14">
        <f>Reference!C158</f>
        <v>38.1845</v>
      </c>
      <c r="F40" s="14">
        <f>Reference!D158</f>
        <v>43.446300000000001</v>
      </c>
      <c r="G40" s="14">
        <f>Reference!E158</f>
        <v>44.245100000000001</v>
      </c>
      <c r="H40" s="14">
        <f>Reference!F158</f>
        <v>463880</v>
      </c>
      <c r="I40" s="14">
        <f>Reference!G158</f>
        <v>134.126</v>
      </c>
      <c r="J40" s="14">
        <f t="shared" si="5"/>
        <v>128.85555555555555</v>
      </c>
      <c r="K40" s="26">
        <f>Reference!H158</f>
        <v>5624256</v>
      </c>
      <c r="L40" s="27">
        <f>Reference!I158</f>
        <v>784088</v>
      </c>
      <c r="N40" s="13">
        <f>Test!B158</f>
        <v>0</v>
      </c>
      <c r="O40" s="14">
        <f>Test!C158</f>
        <v>0</v>
      </c>
      <c r="P40" s="14">
        <f>Test!D158</f>
        <v>0</v>
      </c>
      <c r="Q40" s="14">
        <f>Test!E158</f>
        <v>0</v>
      </c>
      <c r="R40" s="14">
        <f>Test!F158</f>
        <v>0</v>
      </c>
      <c r="S40" s="14">
        <f>Test!G158</f>
        <v>0</v>
      </c>
      <c r="T40" s="14">
        <f t="shared" si="6"/>
        <v>0</v>
      </c>
      <c r="U40" s="26">
        <f>Test!H158</f>
        <v>0</v>
      </c>
      <c r="V40" s="27">
        <f>Test!I158</f>
        <v>0</v>
      </c>
      <c r="W40" s="14">
        <f t="shared" si="7"/>
        <v>0</v>
      </c>
      <c r="X40" s="14">
        <f t="shared" si="8"/>
        <v>0</v>
      </c>
      <c r="Y40" s="14">
        <f t="shared" si="4"/>
        <v>0</v>
      </c>
      <c r="Z40" s="22">
        <f t="shared" si="4"/>
        <v>0</v>
      </c>
      <c r="AA40" s="39"/>
      <c r="AB40" s="40"/>
      <c r="AC40" s="41"/>
      <c r="AD40" s="41"/>
      <c r="AE40" s="40"/>
      <c r="AF40" s="41"/>
      <c r="AG40" s="42"/>
      <c r="AH40" s="42"/>
      <c r="AI40" s="150">
        <f>(R40-J40)/J40</f>
        <v>-1</v>
      </c>
      <c r="AJ40" s="151">
        <f>S40-K40</f>
        <v>-5624256</v>
      </c>
      <c r="AK40" s="152">
        <f>T40-L40</f>
        <v>-784088</v>
      </c>
      <c r="AL40" s="153">
        <f>U40-M40</f>
        <v>0</v>
      </c>
    </row>
    <row r="41" spans="1:38" x14ac:dyDescent="0.2">
      <c r="A41" s="12"/>
      <c r="B41" s="12"/>
      <c r="C41" s="12">
        <v>32</v>
      </c>
      <c r="D41" s="13">
        <f>Reference!B159</f>
        <v>1849.4223999999999</v>
      </c>
      <c r="E41" s="14">
        <f>Reference!C159</f>
        <v>36.652299999999997</v>
      </c>
      <c r="F41" s="14">
        <f>Reference!D159</f>
        <v>42.3123</v>
      </c>
      <c r="G41" s="14">
        <f>Reference!E159</f>
        <v>42.515599999999999</v>
      </c>
      <c r="H41" s="14">
        <f>Reference!F159</f>
        <v>321538</v>
      </c>
      <c r="I41" s="14">
        <f>Reference!G159</f>
        <v>105.32599999999999</v>
      </c>
      <c r="J41" s="14">
        <f t="shared" si="5"/>
        <v>89.316111111111113</v>
      </c>
      <c r="K41" s="26">
        <f>Reference!H159</f>
        <v>5607412</v>
      </c>
      <c r="L41" s="27">
        <f>Reference!I159</f>
        <v>776768</v>
      </c>
      <c r="N41" s="13">
        <f>Test!B159</f>
        <v>0</v>
      </c>
      <c r="O41" s="14">
        <f>Test!C159</f>
        <v>0</v>
      </c>
      <c r="P41" s="14">
        <f>Test!D159</f>
        <v>0</v>
      </c>
      <c r="Q41" s="14">
        <f>Test!E159</f>
        <v>0</v>
      </c>
      <c r="R41" s="14">
        <f>Test!F159</f>
        <v>0</v>
      </c>
      <c r="S41" s="14">
        <f>Test!G159</f>
        <v>0</v>
      </c>
      <c r="T41" s="14">
        <f t="shared" si="6"/>
        <v>0</v>
      </c>
      <c r="U41" s="26">
        <f>Test!H159</f>
        <v>0</v>
      </c>
      <c r="V41" s="27">
        <f>Test!I159</f>
        <v>0</v>
      </c>
      <c r="W41" s="14">
        <f t="shared" si="7"/>
        <v>0</v>
      </c>
      <c r="X41" s="14">
        <f t="shared" si="8"/>
        <v>0</v>
      </c>
      <c r="Y41" s="14">
        <f t="shared" si="4"/>
        <v>0</v>
      </c>
      <c r="Z41" s="22">
        <f t="shared" si="4"/>
        <v>0</v>
      </c>
      <c r="AA41" s="39"/>
      <c r="AB41" s="40"/>
      <c r="AC41" s="41"/>
      <c r="AD41" s="41"/>
      <c r="AE41" s="40"/>
      <c r="AF41" s="41"/>
      <c r="AG41" s="42"/>
      <c r="AH41" s="42"/>
      <c r="AI41" s="150">
        <f>(R41-J41)/J41</f>
        <v>-1</v>
      </c>
      <c r="AJ41" s="151">
        <f>S41-K41</f>
        <v>-5607412</v>
      </c>
      <c r="AK41" s="152">
        <f>T41-L41</f>
        <v>-776768</v>
      </c>
      <c r="AL41" s="153">
        <f>U41-M41</f>
        <v>0</v>
      </c>
    </row>
    <row r="42" spans="1:38" ht="12.75" customHeight="1" thickBot="1" x14ac:dyDescent="0.25">
      <c r="A42" s="12"/>
      <c r="B42" s="15"/>
      <c r="C42" s="15">
        <v>37</v>
      </c>
      <c r="D42" s="13">
        <f>Reference!B160</f>
        <v>933.79039999999998</v>
      </c>
      <c r="E42" s="14">
        <f>Reference!C160</f>
        <v>34.793900000000001</v>
      </c>
      <c r="F42" s="14">
        <f>Reference!D160</f>
        <v>41.068899999999999</v>
      </c>
      <c r="G42" s="14">
        <f>Reference!E160</f>
        <v>40.573900000000002</v>
      </c>
      <c r="H42" s="14">
        <f>Reference!F160</f>
        <v>217546</v>
      </c>
      <c r="I42" s="14">
        <f>Reference!G160</f>
        <v>99.995999999999995</v>
      </c>
      <c r="J42" s="17">
        <f t="shared" si="5"/>
        <v>60.429444444444442</v>
      </c>
      <c r="K42" s="26">
        <f>Reference!H160</f>
        <v>5596748</v>
      </c>
      <c r="L42" s="27">
        <f>Reference!I160</f>
        <v>759872</v>
      </c>
      <c r="N42" s="16">
        <f>Test!B160</f>
        <v>0</v>
      </c>
      <c r="O42" s="17">
        <f>Test!C160</f>
        <v>0</v>
      </c>
      <c r="P42" s="17">
        <f>Test!D160</f>
        <v>0</v>
      </c>
      <c r="Q42" s="17">
        <f>Test!E160</f>
        <v>0</v>
      </c>
      <c r="R42" s="17">
        <f>Test!F160</f>
        <v>0</v>
      </c>
      <c r="S42" s="17">
        <f>Test!G160</f>
        <v>0</v>
      </c>
      <c r="T42" s="17">
        <f t="shared" si="6"/>
        <v>0</v>
      </c>
      <c r="U42" s="26">
        <f>Test!H160</f>
        <v>0</v>
      </c>
      <c r="V42" s="27">
        <f>Test!I160</f>
        <v>0</v>
      </c>
      <c r="W42" s="14">
        <f t="shared" si="7"/>
        <v>0</v>
      </c>
      <c r="X42" s="14">
        <f t="shared" si="8"/>
        <v>0</v>
      </c>
      <c r="Y42" s="14">
        <f t="shared" si="4"/>
        <v>0</v>
      </c>
      <c r="Z42" s="22">
        <f t="shared" si="4"/>
        <v>0</v>
      </c>
      <c r="AA42" s="39"/>
      <c r="AB42" s="43"/>
      <c r="AC42" s="44"/>
      <c r="AD42" s="44"/>
      <c r="AE42" s="43"/>
      <c r="AF42" s="44"/>
      <c r="AG42" s="45"/>
      <c r="AH42" s="42"/>
      <c r="AI42" s="154">
        <f>(R42-J42)/J42</f>
        <v>-1</v>
      </c>
      <c r="AJ42" s="155">
        <f>S42-K42</f>
        <v>-5596748</v>
      </c>
      <c r="AK42" s="156">
        <f>T42-L42</f>
        <v>-759872</v>
      </c>
      <c r="AL42" s="157">
        <f>U42-M42</f>
        <v>0</v>
      </c>
    </row>
    <row r="43" spans="1:38" x14ac:dyDescent="0.2">
      <c r="A43" s="12"/>
      <c r="B43" s="9" t="s">
        <v>80</v>
      </c>
      <c r="C43" s="9">
        <v>22</v>
      </c>
      <c r="D43" s="10">
        <f>Reference!B161</f>
        <v>19482.885600000001</v>
      </c>
      <c r="E43" s="11">
        <f>Reference!C161</f>
        <v>37.198599999999999</v>
      </c>
      <c r="F43" s="11">
        <f>Reference!D161</f>
        <v>43.186199999999999</v>
      </c>
      <c r="G43" s="11">
        <f>Reference!E161</f>
        <v>45.477899999999998</v>
      </c>
      <c r="H43" s="11">
        <f>Reference!F161</f>
        <v>698488</v>
      </c>
      <c r="I43" s="11">
        <f>Reference!G161</f>
        <v>160.52000000000001</v>
      </c>
      <c r="J43" s="11">
        <f t="shared" si="5"/>
        <v>194.02444444444444</v>
      </c>
      <c r="K43" s="24">
        <f>Reference!H161</f>
        <v>5659604</v>
      </c>
      <c r="L43" s="25">
        <f>Reference!I161</f>
        <v>798700</v>
      </c>
      <c r="N43" s="10">
        <f>Test!B161</f>
        <v>0</v>
      </c>
      <c r="O43" s="11">
        <f>Test!C161</f>
        <v>0</v>
      </c>
      <c r="P43" s="11">
        <f>Test!D161</f>
        <v>0</v>
      </c>
      <c r="Q43" s="11">
        <f>Test!E161</f>
        <v>0</v>
      </c>
      <c r="R43" s="11">
        <f>Test!F161</f>
        <v>0</v>
      </c>
      <c r="S43" s="11">
        <f>Test!G161</f>
        <v>0</v>
      </c>
      <c r="T43" s="11">
        <f t="shared" si="6"/>
        <v>0</v>
      </c>
      <c r="U43" s="24">
        <f>Test!H161</f>
        <v>0</v>
      </c>
      <c r="V43" s="25">
        <f>Test!I161</f>
        <v>0</v>
      </c>
      <c r="W43" s="14">
        <f t="shared" si="7"/>
        <v>0</v>
      </c>
      <c r="X43" s="14">
        <f t="shared" si="8"/>
        <v>0</v>
      </c>
      <c r="Y43" s="14">
        <f t="shared" si="4"/>
        <v>0</v>
      </c>
      <c r="Z43" s="22">
        <f t="shared" si="4"/>
        <v>0</v>
      </c>
      <c r="AA43" s="39"/>
      <c r="AB43" s="36" t="e">
        <f>bdrate($D43:$D46,E43:E46,$N43:$N46,O43:O46)</f>
        <v>#VALUE!</v>
      </c>
      <c r="AC43" s="37" t="e">
        <f>bdrate($D43:$D46,F43:F46,$N43:$N46,P43:P46)</f>
        <v>#VALUE!</v>
      </c>
      <c r="AD43" s="37" t="e">
        <f>bdrate($D43:$D46,G43:G46,$N43:$N46,Q43:Q46)</f>
        <v>#VALUE!</v>
      </c>
      <c r="AE43" s="46" t="e">
        <f>bdrateOld($D43:$D46,E43:E46,$N43:$N46,O43:O46)</f>
        <v>#VALUE!</v>
      </c>
      <c r="AF43" s="47" t="e">
        <f>bdrateOld($D43:$D46,F43:F46,$N43:$N46,P43:P46)</f>
        <v>#VALUE!</v>
      </c>
      <c r="AG43" s="49" t="e">
        <f>bdrateOld($D43:$D46,G43:G46,$N43:$N46,Q43:Q46)</f>
        <v>#VALUE!</v>
      </c>
      <c r="AH43" s="42" t="e">
        <f>(AB43*6+AC43+AD43)/8</f>
        <v>#VALUE!</v>
      </c>
      <c r="AI43" s="146">
        <f>(R43-J43)/J43</f>
        <v>-1</v>
      </c>
      <c r="AJ43" s="147">
        <f>S43-K43</f>
        <v>-5659604</v>
      </c>
      <c r="AK43" s="148">
        <f>T43-L43</f>
        <v>-798700</v>
      </c>
      <c r="AL43" s="149">
        <f>U43-M43</f>
        <v>0</v>
      </c>
    </row>
    <row r="44" spans="1:38" x14ac:dyDescent="0.2">
      <c r="A44" s="12"/>
      <c r="B44" s="12"/>
      <c r="C44" s="12">
        <v>27</v>
      </c>
      <c r="D44" s="13">
        <f>Reference!B162</f>
        <v>3312.4512</v>
      </c>
      <c r="E44" s="14">
        <f>Reference!C162</f>
        <v>35.819099999999999</v>
      </c>
      <c r="F44" s="14">
        <f>Reference!D162</f>
        <v>42.457599999999999</v>
      </c>
      <c r="G44" s="14">
        <f>Reference!E162</f>
        <v>44.811700000000002</v>
      </c>
      <c r="H44" s="14">
        <f>Reference!F162</f>
        <v>300164</v>
      </c>
      <c r="I44" s="14">
        <f>Reference!G162</f>
        <v>118.499</v>
      </c>
      <c r="J44" s="14">
        <f t="shared" si="5"/>
        <v>83.378888888888895</v>
      </c>
      <c r="K44" s="26">
        <f>Reference!H162</f>
        <v>5636168</v>
      </c>
      <c r="L44" s="27">
        <f>Reference!I162</f>
        <v>771056</v>
      </c>
      <c r="N44" s="13">
        <f>Test!B162</f>
        <v>0</v>
      </c>
      <c r="O44" s="14">
        <f>Test!C162</f>
        <v>0</v>
      </c>
      <c r="P44" s="14">
        <f>Test!D162</f>
        <v>0</v>
      </c>
      <c r="Q44" s="14">
        <f>Test!E162</f>
        <v>0</v>
      </c>
      <c r="R44" s="14">
        <f>Test!F162</f>
        <v>0</v>
      </c>
      <c r="S44" s="14">
        <f>Test!G162</f>
        <v>0</v>
      </c>
      <c r="T44" s="14">
        <f t="shared" si="6"/>
        <v>0</v>
      </c>
      <c r="U44" s="26">
        <f>Test!H162</f>
        <v>0</v>
      </c>
      <c r="V44" s="27">
        <f>Test!I162</f>
        <v>0</v>
      </c>
      <c r="W44" s="14">
        <f t="shared" si="7"/>
        <v>0</v>
      </c>
      <c r="X44" s="14">
        <f t="shared" si="8"/>
        <v>0</v>
      </c>
      <c r="Y44" s="14">
        <f t="shared" si="4"/>
        <v>0</v>
      </c>
      <c r="Z44" s="22">
        <f t="shared" si="4"/>
        <v>0</v>
      </c>
      <c r="AA44" s="39"/>
      <c r="AB44" s="40"/>
      <c r="AC44" s="41"/>
      <c r="AD44" s="41"/>
      <c r="AE44" s="40"/>
      <c r="AF44" s="41"/>
      <c r="AG44" s="42"/>
      <c r="AH44" s="42"/>
      <c r="AI44" s="150">
        <f>(R44-J44)/J44</f>
        <v>-1</v>
      </c>
      <c r="AJ44" s="151">
        <f>S44-K44</f>
        <v>-5636168</v>
      </c>
      <c r="AK44" s="152">
        <f>T44-L44</f>
        <v>-771056</v>
      </c>
      <c r="AL44" s="153">
        <f>U44-M44</f>
        <v>0</v>
      </c>
    </row>
    <row r="45" spans="1:38" x14ac:dyDescent="0.2">
      <c r="A45" s="12"/>
      <c r="B45" s="12"/>
      <c r="C45" s="12">
        <v>32</v>
      </c>
      <c r="D45" s="13">
        <f>Reference!B163</f>
        <v>1381.6424</v>
      </c>
      <c r="E45" s="14">
        <f>Reference!C163</f>
        <v>34.780099999999997</v>
      </c>
      <c r="F45" s="14">
        <f>Reference!D163</f>
        <v>41.428400000000003</v>
      </c>
      <c r="G45" s="14">
        <f>Reference!E163</f>
        <v>43.867800000000003</v>
      </c>
      <c r="H45" s="14">
        <f>Reference!F163</f>
        <v>152345</v>
      </c>
      <c r="I45" s="14">
        <f>Reference!G163</f>
        <v>112.871</v>
      </c>
      <c r="J45" s="14">
        <f t="shared" si="5"/>
        <v>42.318055555555553</v>
      </c>
      <c r="K45" s="26">
        <f>Reference!H163</f>
        <v>5621552</v>
      </c>
      <c r="L45" s="27">
        <f>Reference!I163</f>
        <v>760220</v>
      </c>
      <c r="N45" s="13">
        <f>Test!B163</f>
        <v>0</v>
      </c>
      <c r="O45" s="14">
        <f>Test!C163</f>
        <v>0</v>
      </c>
      <c r="P45" s="14">
        <f>Test!D163</f>
        <v>0</v>
      </c>
      <c r="Q45" s="14">
        <f>Test!E163</f>
        <v>0</v>
      </c>
      <c r="R45" s="14">
        <f>Test!F163</f>
        <v>0</v>
      </c>
      <c r="S45" s="14">
        <f>Test!G163</f>
        <v>0</v>
      </c>
      <c r="T45" s="14">
        <f t="shared" si="6"/>
        <v>0</v>
      </c>
      <c r="U45" s="26">
        <f>Test!H163</f>
        <v>0</v>
      </c>
      <c r="V45" s="27">
        <f>Test!I163</f>
        <v>0</v>
      </c>
      <c r="W45" s="14">
        <f t="shared" si="7"/>
        <v>0</v>
      </c>
      <c r="X45" s="14">
        <f t="shared" si="8"/>
        <v>0</v>
      </c>
      <c r="Y45" s="14">
        <f t="shared" si="4"/>
        <v>0</v>
      </c>
      <c r="Z45" s="22">
        <f t="shared" si="4"/>
        <v>0</v>
      </c>
      <c r="AA45" s="39"/>
      <c r="AB45" s="40"/>
      <c r="AC45" s="41"/>
      <c r="AD45" s="41"/>
      <c r="AE45" s="40"/>
      <c r="AF45" s="41"/>
      <c r="AG45" s="42"/>
      <c r="AH45" s="42"/>
      <c r="AI45" s="150">
        <f>(R45-J45)/J45</f>
        <v>-1</v>
      </c>
      <c r="AJ45" s="151">
        <f>S45-K45</f>
        <v>-5621552</v>
      </c>
      <c r="AK45" s="152">
        <f>T45-L45</f>
        <v>-760220</v>
      </c>
      <c r="AL45" s="153">
        <f>U45-M45</f>
        <v>0</v>
      </c>
    </row>
    <row r="46" spans="1:38" ht="12.75" customHeight="1" thickBot="1" x14ac:dyDescent="0.25">
      <c r="A46" s="15"/>
      <c r="B46" s="15"/>
      <c r="C46" s="15">
        <v>37</v>
      </c>
      <c r="D46" s="13">
        <f>Reference!B164</f>
        <v>656.34320000000002</v>
      </c>
      <c r="E46" s="14">
        <f>Reference!C164</f>
        <v>33.381100000000004</v>
      </c>
      <c r="F46" s="14">
        <f>Reference!D164</f>
        <v>40.196899999999999</v>
      </c>
      <c r="G46" s="14">
        <f>Reference!E164</f>
        <v>42.698599999999999</v>
      </c>
      <c r="H46" s="14">
        <f>Reference!F164</f>
        <v>88352</v>
      </c>
      <c r="I46" s="14">
        <f>Reference!G164</f>
        <v>92.111000000000004</v>
      </c>
      <c r="J46" s="17">
        <f t="shared" si="5"/>
        <v>24.542222222222222</v>
      </c>
      <c r="K46" s="26">
        <f>Reference!H164</f>
        <v>5609024</v>
      </c>
      <c r="L46" s="27">
        <f>Reference!I164</f>
        <v>745216</v>
      </c>
      <c r="N46" s="16">
        <f>Test!B164</f>
        <v>0</v>
      </c>
      <c r="O46" s="17">
        <f>Test!C164</f>
        <v>0</v>
      </c>
      <c r="P46" s="17">
        <f>Test!D164</f>
        <v>0</v>
      </c>
      <c r="Q46" s="17">
        <f>Test!E164</f>
        <v>0</v>
      </c>
      <c r="R46" s="17">
        <f>Test!F164</f>
        <v>0</v>
      </c>
      <c r="S46" s="17">
        <f>Test!G164</f>
        <v>0</v>
      </c>
      <c r="T46" s="17">
        <f t="shared" si="6"/>
        <v>0</v>
      </c>
      <c r="U46" s="26">
        <f>Test!H164</f>
        <v>0</v>
      </c>
      <c r="V46" s="27">
        <f>Test!I164</f>
        <v>0</v>
      </c>
      <c r="W46" s="14">
        <f t="shared" si="7"/>
        <v>0</v>
      </c>
      <c r="X46" s="14">
        <f t="shared" si="8"/>
        <v>0</v>
      </c>
      <c r="Y46" s="14">
        <f t="shared" si="4"/>
        <v>0</v>
      </c>
      <c r="Z46" s="22">
        <f t="shared" si="4"/>
        <v>0</v>
      </c>
      <c r="AA46" s="39"/>
      <c r="AB46" s="43"/>
      <c r="AC46" s="44"/>
      <c r="AD46" s="44"/>
      <c r="AE46" s="43"/>
      <c r="AF46" s="44"/>
      <c r="AG46" s="45"/>
      <c r="AH46" s="45"/>
      <c r="AI46" s="154">
        <f>(R46-J46)/J46</f>
        <v>-1</v>
      </c>
      <c r="AJ46" s="155">
        <f>S46-K46</f>
        <v>-5609024</v>
      </c>
      <c r="AK46" s="156">
        <f>T46-L46</f>
        <v>-745216</v>
      </c>
      <c r="AL46" s="157">
        <f>U46-M46</f>
        <v>0</v>
      </c>
    </row>
    <row r="47" spans="1:38" x14ac:dyDescent="0.2">
      <c r="A47" s="9" t="s">
        <v>23</v>
      </c>
      <c r="B47" s="9" t="s">
        <v>81</v>
      </c>
      <c r="C47" s="9">
        <v>22</v>
      </c>
      <c r="D47" s="10">
        <f>Reference!B165</f>
        <v>2241.6183999999998</v>
      </c>
      <c r="E47" s="11">
        <f>Reference!C165</f>
        <v>42.251899999999999</v>
      </c>
      <c r="F47" s="11">
        <f>Reference!D165</f>
        <v>44.558599999999998</v>
      </c>
      <c r="G47" s="11">
        <f>Reference!E165</f>
        <v>45.538499999999999</v>
      </c>
      <c r="H47" s="11">
        <f>Reference!F165</f>
        <v>65654</v>
      </c>
      <c r="I47" s="11">
        <f>Reference!G165</f>
        <v>32.658000000000001</v>
      </c>
      <c r="J47" s="11">
        <f t="shared" si="5"/>
        <v>18.237222222222222</v>
      </c>
      <c r="K47" s="24">
        <f>Reference!H165</f>
        <v>2055340</v>
      </c>
      <c r="L47" s="25">
        <f>Reference!I165</f>
        <v>431164</v>
      </c>
      <c r="M47" s="55"/>
      <c r="N47" s="10">
        <f>Test!B165</f>
        <v>0</v>
      </c>
      <c r="O47" s="11">
        <f>Test!C165</f>
        <v>0</v>
      </c>
      <c r="P47" s="11">
        <f>Test!D165</f>
        <v>0</v>
      </c>
      <c r="Q47" s="11">
        <f>Test!E165</f>
        <v>0</v>
      </c>
      <c r="R47" s="11">
        <f>Test!F165</f>
        <v>0</v>
      </c>
      <c r="S47" s="11">
        <f>Test!G165</f>
        <v>0</v>
      </c>
      <c r="T47" s="11">
        <f t="shared" si="6"/>
        <v>0</v>
      </c>
      <c r="U47" s="24">
        <f>Test!H165</f>
        <v>0</v>
      </c>
      <c r="V47" s="25">
        <f>Test!I165</f>
        <v>0</v>
      </c>
      <c r="W47" s="11">
        <f t="shared" si="7"/>
        <v>0</v>
      </c>
      <c r="X47" s="11">
        <f t="shared" si="8"/>
        <v>0</v>
      </c>
      <c r="Y47" s="11">
        <f t="shared" si="4"/>
        <v>0</v>
      </c>
      <c r="Z47" s="21">
        <f t="shared" si="4"/>
        <v>0</v>
      </c>
      <c r="AA47" s="63"/>
      <c r="AB47" s="64" t="e">
        <f>bdrate($D47:$D50,E47:E50,$N47:$N50,O47:O50)</f>
        <v>#VALUE!</v>
      </c>
      <c r="AC47" s="65" t="e">
        <f>bdrate($D47:$D50,F47:F50,$N47:$N50,P47:P50)</f>
        <v>#VALUE!</v>
      </c>
      <c r="AD47" s="66" t="e">
        <f>bdrate($D47:$D50,G47:G50,$N47:$N50,Q47:Q50)</f>
        <v>#VALUE!</v>
      </c>
      <c r="AE47" s="36" t="e">
        <f>bdrateOld($D47:$D50,E47:E50,$N47:$N50,O47:O50)</f>
        <v>#VALUE!</v>
      </c>
      <c r="AF47" s="37" t="e">
        <f>bdrateOld($D47:$D50,F47:F50,$N47:$N50,P47:P50)</f>
        <v>#VALUE!</v>
      </c>
      <c r="AG47" s="38" t="e">
        <f>bdrateOld($D47:$D50,G47:G50,$N47:$N50,Q47:Q50)</f>
        <v>#VALUE!</v>
      </c>
      <c r="AH47" s="145" t="e">
        <f>(AB47*6+AC47+AD47)/8</f>
        <v>#VALUE!</v>
      </c>
      <c r="AI47" s="146">
        <f>(R47-J47)/J47</f>
        <v>-1</v>
      </c>
      <c r="AJ47" s="147">
        <f>S47-K47</f>
        <v>-2055340</v>
      </c>
      <c r="AK47" s="148">
        <f>T47-L47</f>
        <v>-431164</v>
      </c>
      <c r="AL47" s="149">
        <f>U47-M47</f>
        <v>0</v>
      </c>
    </row>
    <row r="48" spans="1:38" x14ac:dyDescent="0.2">
      <c r="A48" s="12" t="s">
        <v>112</v>
      </c>
      <c r="B48" s="12"/>
      <c r="C48" s="12">
        <v>27</v>
      </c>
      <c r="D48" s="13">
        <f>Reference!B166</f>
        <v>1074.5136</v>
      </c>
      <c r="E48" s="14">
        <f>Reference!C166</f>
        <v>39.3384</v>
      </c>
      <c r="F48" s="14">
        <f>Reference!D166</f>
        <v>42.332999999999998</v>
      </c>
      <c r="G48" s="14">
        <f>Reference!E166</f>
        <v>42.789700000000003</v>
      </c>
      <c r="H48" s="14">
        <f>Reference!F166</f>
        <v>48538</v>
      </c>
      <c r="I48" s="14">
        <f>Reference!G166</f>
        <v>27.539000000000001</v>
      </c>
      <c r="J48" s="14">
        <f t="shared" si="5"/>
        <v>13.482777777777779</v>
      </c>
      <c r="K48" s="26">
        <f>Reference!H166</f>
        <v>2047648</v>
      </c>
      <c r="L48" s="27">
        <f>Reference!I166</f>
        <v>422220</v>
      </c>
      <c r="M48" s="55"/>
      <c r="N48" s="13">
        <f>Test!B166</f>
        <v>0</v>
      </c>
      <c r="O48" s="14">
        <f>Test!C166</f>
        <v>0</v>
      </c>
      <c r="P48" s="14">
        <f>Test!D166</f>
        <v>0</v>
      </c>
      <c r="Q48" s="14">
        <f>Test!E166</f>
        <v>0</v>
      </c>
      <c r="R48" s="14">
        <f>Test!F166</f>
        <v>0</v>
      </c>
      <c r="S48" s="14">
        <f>Test!G166</f>
        <v>0</v>
      </c>
      <c r="T48" s="14">
        <f t="shared" si="6"/>
        <v>0</v>
      </c>
      <c r="U48" s="26">
        <f>Test!H166</f>
        <v>0</v>
      </c>
      <c r="V48" s="27">
        <f>Test!I166</f>
        <v>0</v>
      </c>
      <c r="W48" s="14">
        <f t="shared" si="7"/>
        <v>0</v>
      </c>
      <c r="X48" s="14">
        <f t="shared" si="8"/>
        <v>0</v>
      </c>
      <c r="Y48" s="14">
        <f t="shared" si="4"/>
        <v>0</v>
      </c>
      <c r="Z48" s="22">
        <f t="shared" si="4"/>
        <v>0</v>
      </c>
      <c r="AA48" s="55"/>
      <c r="AB48" s="67"/>
      <c r="AC48" s="68"/>
      <c r="AD48" s="69"/>
      <c r="AE48" s="40"/>
      <c r="AF48" s="41"/>
      <c r="AG48" s="42"/>
      <c r="AH48" s="42"/>
      <c r="AI48" s="150">
        <f>(R48-J48)/J48</f>
        <v>-1</v>
      </c>
      <c r="AJ48" s="151">
        <f>S48-K48</f>
        <v>-2047648</v>
      </c>
      <c r="AK48" s="152">
        <f>T48-L48</f>
        <v>-422220</v>
      </c>
      <c r="AL48" s="153">
        <f>U48-M48</f>
        <v>0</v>
      </c>
    </row>
    <row r="49" spans="1:38" x14ac:dyDescent="0.2">
      <c r="A49" s="12"/>
      <c r="B49" s="12"/>
      <c r="C49" s="12">
        <v>32</v>
      </c>
      <c r="D49" s="13">
        <f>Reference!B167</f>
        <v>542.20479999999998</v>
      </c>
      <c r="E49" s="14">
        <f>Reference!C167</f>
        <v>36.453099999999999</v>
      </c>
      <c r="F49" s="14">
        <f>Reference!D167</f>
        <v>40.407299999999999</v>
      </c>
      <c r="G49" s="14">
        <f>Reference!E167</f>
        <v>40.6432</v>
      </c>
      <c r="H49" s="14">
        <f>Reference!F167</f>
        <v>36068</v>
      </c>
      <c r="I49" s="14">
        <f>Reference!G167</f>
        <v>22.2</v>
      </c>
      <c r="J49" s="14">
        <f t="shared" si="5"/>
        <v>10.018888888888888</v>
      </c>
      <c r="K49" s="26">
        <f>Reference!H167</f>
        <v>2041316</v>
      </c>
      <c r="L49" s="27">
        <f>Reference!I167</f>
        <v>416832</v>
      </c>
      <c r="M49" s="55"/>
      <c r="N49" s="13">
        <f>Test!B167</f>
        <v>0</v>
      </c>
      <c r="O49" s="14">
        <f>Test!C167</f>
        <v>0</v>
      </c>
      <c r="P49" s="14">
        <f>Test!D167</f>
        <v>0</v>
      </c>
      <c r="Q49" s="14">
        <f>Test!E167</f>
        <v>0</v>
      </c>
      <c r="R49" s="14">
        <f>Test!F167</f>
        <v>0</v>
      </c>
      <c r="S49" s="14">
        <f>Test!G167</f>
        <v>0</v>
      </c>
      <c r="T49" s="14">
        <f t="shared" si="6"/>
        <v>0</v>
      </c>
      <c r="U49" s="26">
        <f>Test!H167</f>
        <v>0</v>
      </c>
      <c r="V49" s="27">
        <f>Test!I167</f>
        <v>0</v>
      </c>
      <c r="W49" s="14">
        <f t="shared" si="7"/>
        <v>0</v>
      </c>
      <c r="X49" s="14">
        <f t="shared" si="8"/>
        <v>0</v>
      </c>
      <c r="Y49" s="14">
        <f t="shared" si="4"/>
        <v>0</v>
      </c>
      <c r="Z49" s="22">
        <f t="shared" si="4"/>
        <v>0</v>
      </c>
      <c r="AA49" s="55"/>
      <c r="AB49" s="67"/>
      <c r="AC49" s="68"/>
      <c r="AD49" s="69"/>
      <c r="AE49" s="40"/>
      <c r="AF49" s="41"/>
      <c r="AG49" s="42"/>
      <c r="AH49" s="42"/>
      <c r="AI49" s="150">
        <f>(R49-J49)/J49</f>
        <v>-1</v>
      </c>
      <c r="AJ49" s="151">
        <f>S49-K49</f>
        <v>-2041316</v>
      </c>
      <c r="AK49" s="152">
        <f>T49-L49</f>
        <v>-416832</v>
      </c>
      <c r="AL49" s="153">
        <f>U49-M49</f>
        <v>0</v>
      </c>
    </row>
    <row r="50" spans="1:38" ht="12.75" customHeight="1" thickBot="1" x14ac:dyDescent="0.25">
      <c r="A50" s="12"/>
      <c r="B50" s="15"/>
      <c r="C50" s="15">
        <v>37</v>
      </c>
      <c r="D50" s="13">
        <f>Reference!B168</f>
        <v>277.97280000000001</v>
      </c>
      <c r="E50" s="14">
        <f>Reference!C168</f>
        <v>33.737699999999997</v>
      </c>
      <c r="F50" s="14">
        <f>Reference!D168</f>
        <v>38.419699999999999</v>
      </c>
      <c r="G50" s="14">
        <f>Reference!E168</f>
        <v>38.410800000000002</v>
      </c>
      <c r="H50" s="14">
        <f>Reference!F168</f>
        <v>25664</v>
      </c>
      <c r="I50" s="14">
        <f>Reference!G168</f>
        <v>19.164999999999999</v>
      </c>
      <c r="J50" s="17">
        <f t="shared" si="5"/>
        <v>7.1288888888888886</v>
      </c>
      <c r="K50" s="26">
        <f>Reference!H168</f>
        <v>2035988</v>
      </c>
      <c r="L50" s="27">
        <f>Reference!I168</f>
        <v>412824</v>
      </c>
      <c r="M50" s="55"/>
      <c r="N50" s="16">
        <f>Test!B168</f>
        <v>0</v>
      </c>
      <c r="O50" s="17">
        <f>Test!C168</f>
        <v>0</v>
      </c>
      <c r="P50" s="17">
        <f>Test!D168</f>
        <v>0</v>
      </c>
      <c r="Q50" s="17">
        <f>Test!E168</f>
        <v>0</v>
      </c>
      <c r="R50" s="17">
        <f>Test!F168</f>
        <v>0</v>
      </c>
      <c r="S50" s="17">
        <f>Test!G168</f>
        <v>0</v>
      </c>
      <c r="T50" s="17">
        <f t="shared" si="6"/>
        <v>0</v>
      </c>
      <c r="U50" s="26">
        <f>Test!H168</f>
        <v>0</v>
      </c>
      <c r="V50" s="27">
        <f>Test!I168</f>
        <v>0</v>
      </c>
      <c r="W50" s="14">
        <f t="shared" si="7"/>
        <v>0</v>
      </c>
      <c r="X50" s="14">
        <f t="shared" si="8"/>
        <v>0</v>
      </c>
      <c r="Y50" s="14">
        <f t="shared" si="4"/>
        <v>0</v>
      </c>
      <c r="Z50" s="22">
        <f t="shared" si="4"/>
        <v>0</v>
      </c>
      <c r="AA50" s="55"/>
      <c r="AB50" s="70"/>
      <c r="AC50" s="71"/>
      <c r="AD50" s="72"/>
      <c r="AE50" s="43"/>
      <c r="AF50" s="44"/>
      <c r="AG50" s="45"/>
      <c r="AH50" s="42"/>
      <c r="AI50" s="154">
        <f>(R50-J50)/J50</f>
        <v>-1</v>
      </c>
      <c r="AJ50" s="155">
        <f>S50-K50</f>
        <v>-2035988</v>
      </c>
      <c r="AK50" s="156">
        <f>T50-L50</f>
        <v>-412824</v>
      </c>
      <c r="AL50" s="157">
        <f>U50-M50</f>
        <v>0</v>
      </c>
    </row>
    <row r="51" spans="1:38" x14ac:dyDescent="0.2">
      <c r="A51" s="12"/>
      <c r="B51" s="9" t="s">
        <v>82</v>
      </c>
      <c r="C51" s="9">
        <v>22</v>
      </c>
      <c r="D51" s="10">
        <f>Reference!B169</f>
        <v>2345.3463999999999</v>
      </c>
      <c r="E51" s="11">
        <f>Reference!C169</f>
        <v>40.996499999999997</v>
      </c>
      <c r="F51" s="11">
        <f>Reference!D169</f>
        <v>44.885300000000001</v>
      </c>
      <c r="G51" s="11">
        <f>Reference!E169</f>
        <v>46.760100000000001</v>
      </c>
      <c r="H51" s="11">
        <f>Reference!F169</f>
        <v>66407</v>
      </c>
      <c r="I51" s="11">
        <f>Reference!G169</f>
        <v>41.636000000000003</v>
      </c>
      <c r="J51" s="11">
        <f t="shared" si="5"/>
        <v>18.44638888888889</v>
      </c>
      <c r="K51" s="24">
        <f>Reference!H169</f>
        <v>2051224</v>
      </c>
      <c r="L51" s="25">
        <f>Reference!I169</f>
        <v>425252</v>
      </c>
      <c r="M51" s="55"/>
      <c r="N51" s="10">
        <f>Test!B169</f>
        <v>0</v>
      </c>
      <c r="O51" s="11">
        <f>Test!C169</f>
        <v>0</v>
      </c>
      <c r="P51" s="11">
        <f>Test!D169</f>
        <v>0</v>
      </c>
      <c r="Q51" s="11">
        <f>Test!E169</f>
        <v>0</v>
      </c>
      <c r="R51" s="11">
        <f>Test!F169</f>
        <v>0</v>
      </c>
      <c r="S51" s="11">
        <f>Test!G169</f>
        <v>0</v>
      </c>
      <c r="T51" s="11">
        <f t="shared" si="6"/>
        <v>0</v>
      </c>
      <c r="U51" s="24">
        <f>Test!H169</f>
        <v>0</v>
      </c>
      <c r="V51" s="25">
        <f>Test!I169</f>
        <v>0</v>
      </c>
      <c r="W51" s="14">
        <f t="shared" si="7"/>
        <v>0</v>
      </c>
      <c r="X51" s="14">
        <f t="shared" si="8"/>
        <v>0</v>
      </c>
      <c r="Y51" s="14">
        <f t="shared" si="4"/>
        <v>0</v>
      </c>
      <c r="Z51" s="22">
        <f t="shared" si="4"/>
        <v>0</v>
      </c>
      <c r="AA51" s="55"/>
      <c r="AB51" s="64" t="e">
        <f>bdrate($D51:$D54,E51:E54,$N51:$N54,O51:O54)</f>
        <v>#VALUE!</v>
      </c>
      <c r="AC51" s="65" t="e">
        <f>bdrate($D51:$D54,F51:F54,$N51:$N54,P51:P54)</f>
        <v>#VALUE!</v>
      </c>
      <c r="AD51" s="65" t="e">
        <f>bdrate($D51:$D54,G51:G54,$N51:$N54,Q51:Q54)</f>
        <v>#VALUE!</v>
      </c>
      <c r="AE51" s="46" t="e">
        <f>bdrateOld($D51:$D54,E51:E54,$N51:$N54,O51:O54)</f>
        <v>#VALUE!</v>
      </c>
      <c r="AF51" s="47" t="e">
        <f>bdrateOld($D51:$D54,F51:F54,$N51:$N54,P51:P54)</f>
        <v>#VALUE!</v>
      </c>
      <c r="AG51" s="49" t="e">
        <f>bdrateOld($D51:$D54,G51:G54,$N51:$N54,Q51:Q54)</f>
        <v>#VALUE!</v>
      </c>
      <c r="AH51" s="42" t="e">
        <f>(AB51*6+AC51+AD51)/8</f>
        <v>#VALUE!</v>
      </c>
      <c r="AI51" s="146">
        <f>(R51-J51)/J51</f>
        <v>-1</v>
      </c>
      <c r="AJ51" s="147">
        <f>S51-K51</f>
        <v>-2051224</v>
      </c>
      <c r="AK51" s="148">
        <f>T51-L51</f>
        <v>-425252</v>
      </c>
      <c r="AL51" s="149">
        <f>U51-M51</f>
        <v>0</v>
      </c>
    </row>
    <row r="52" spans="1:38" x14ac:dyDescent="0.2">
      <c r="A52" s="12"/>
      <c r="B52" s="12"/>
      <c r="C52" s="12">
        <v>27</v>
      </c>
      <c r="D52" s="13">
        <f>Reference!B170</f>
        <v>1125.0791999999999</v>
      </c>
      <c r="E52" s="14">
        <f>Reference!C170</f>
        <v>38.829500000000003</v>
      </c>
      <c r="F52" s="14">
        <f>Reference!D170</f>
        <v>43.282899999999998</v>
      </c>
      <c r="G52" s="14">
        <f>Reference!E170</f>
        <v>44.638300000000001</v>
      </c>
      <c r="H52" s="14">
        <f>Reference!F170</f>
        <v>48500</v>
      </c>
      <c r="I52" s="14">
        <f>Reference!G170</f>
        <v>34.210999999999999</v>
      </c>
      <c r="J52" s="14">
        <f t="shared" si="5"/>
        <v>13.472222222222221</v>
      </c>
      <c r="K52" s="26">
        <f>Reference!H170</f>
        <v>2046800</v>
      </c>
      <c r="L52" s="27">
        <f>Reference!I170</f>
        <v>422488</v>
      </c>
      <c r="M52" s="55"/>
      <c r="N52" s="13">
        <f>Test!B170</f>
        <v>0</v>
      </c>
      <c r="O52" s="14">
        <f>Test!C170</f>
        <v>0</v>
      </c>
      <c r="P52" s="14">
        <f>Test!D170</f>
        <v>0</v>
      </c>
      <c r="Q52" s="14">
        <f>Test!E170</f>
        <v>0</v>
      </c>
      <c r="R52" s="14">
        <f>Test!F170</f>
        <v>0</v>
      </c>
      <c r="S52" s="14">
        <f>Test!G170</f>
        <v>0</v>
      </c>
      <c r="T52" s="14">
        <f t="shared" si="6"/>
        <v>0</v>
      </c>
      <c r="U52" s="26">
        <f>Test!H170</f>
        <v>0</v>
      </c>
      <c r="V52" s="27">
        <f>Test!I170</f>
        <v>0</v>
      </c>
      <c r="W52" s="14">
        <f t="shared" si="7"/>
        <v>0</v>
      </c>
      <c r="X52" s="14">
        <f t="shared" si="8"/>
        <v>0</v>
      </c>
      <c r="Y52" s="14">
        <f t="shared" si="4"/>
        <v>0</v>
      </c>
      <c r="Z52" s="22">
        <f t="shared" si="4"/>
        <v>0</v>
      </c>
      <c r="AA52" s="55"/>
      <c r="AB52" s="67"/>
      <c r="AC52" s="68"/>
      <c r="AD52" s="68"/>
      <c r="AE52" s="40"/>
      <c r="AF52" s="41"/>
      <c r="AG52" s="42"/>
      <c r="AH52" s="42"/>
      <c r="AI52" s="150">
        <f>(R52-J52)/J52</f>
        <v>-1</v>
      </c>
      <c r="AJ52" s="151">
        <f>S52-K52</f>
        <v>-2046800</v>
      </c>
      <c r="AK52" s="152">
        <f>T52-L52</f>
        <v>-422488</v>
      </c>
      <c r="AL52" s="153">
        <f>U52-M52</f>
        <v>0</v>
      </c>
    </row>
    <row r="53" spans="1:38" x14ac:dyDescent="0.2">
      <c r="A53" s="12"/>
      <c r="B53" s="12"/>
      <c r="C53" s="12">
        <v>32</v>
      </c>
      <c r="D53" s="13">
        <f>Reference!B171</f>
        <v>576.44320000000005</v>
      </c>
      <c r="E53" s="14">
        <f>Reference!C171</f>
        <v>36.368000000000002</v>
      </c>
      <c r="F53" s="14">
        <f>Reference!D171</f>
        <v>41.387</v>
      </c>
      <c r="G53" s="14">
        <f>Reference!E171</f>
        <v>42.384700000000002</v>
      </c>
      <c r="H53" s="14">
        <f>Reference!F171</f>
        <v>34962</v>
      </c>
      <c r="I53" s="14">
        <f>Reference!G171</f>
        <v>25.686</v>
      </c>
      <c r="J53" s="14">
        <f t="shared" si="5"/>
        <v>9.711666666666666</v>
      </c>
      <c r="K53" s="26">
        <f>Reference!H171</f>
        <v>2042472</v>
      </c>
      <c r="L53" s="27">
        <f>Reference!I171</f>
        <v>419516</v>
      </c>
      <c r="M53" s="55"/>
      <c r="N53" s="13">
        <f>Test!B171</f>
        <v>0</v>
      </c>
      <c r="O53" s="14">
        <f>Test!C171</f>
        <v>0</v>
      </c>
      <c r="P53" s="14">
        <f>Test!D171</f>
        <v>0</v>
      </c>
      <c r="Q53" s="14">
        <f>Test!E171</f>
        <v>0</v>
      </c>
      <c r="R53" s="14">
        <f>Test!F171</f>
        <v>0</v>
      </c>
      <c r="S53" s="14">
        <f>Test!G171</f>
        <v>0</v>
      </c>
      <c r="T53" s="14">
        <f t="shared" si="6"/>
        <v>0</v>
      </c>
      <c r="U53" s="26">
        <f>Test!H171</f>
        <v>0</v>
      </c>
      <c r="V53" s="27">
        <f>Test!I171</f>
        <v>0</v>
      </c>
      <c r="W53" s="14">
        <f t="shared" si="7"/>
        <v>0</v>
      </c>
      <c r="X53" s="14">
        <f t="shared" si="8"/>
        <v>0</v>
      </c>
      <c r="Y53" s="14">
        <f t="shared" si="4"/>
        <v>0</v>
      </c>
      <c r="Z53" s="22">
        <f t="shared" si="4"/>
        <v>0</v>
      </c>
      <c r="AA53" s="55"/>
      <c r="AB53" s="67"/>
      <c r="AC53" s="68"/>
      <c r="AD53" s="68"/>
      <c r="AE53" s="40"/>
      <c r="AF53" s="41"/>
      <c r="AG53" s="42"/>
      <c r="AH53" s="42"/>
      <c r="AI53" s="150">
        <f>(R53-J53)/J53</f>
        <v>-1</v>
      </c>
      <c r="AJ53" s="151">
        <f>S53-K53</f>
        <v>-2042472</v>
      </c>
      <c r="AK53" s="152">
        <f>T53-L53</f>
        <v>-419516</v>
      </c>
      <c r="AL53" s="153">
        <f>U53-M53</f>
        <v>0</v>
      </c>
    </row>
    <row r="54" spans="1:38" ht="12.75" customHeight="1" thickBot="1" x14ac:dyDescent="0.25">
      <c r="A54" s="12"/>
      <c r="B54" s="15"/>
      <c r="C54" s="15">
        <v>37</v>
      </c>
      <c r="D54" s="13">
        <f>Reference!B172</f>
        <v>306.31360000000001</v>
      </c>
      <c r="E54" s="14">
        <f>Reference!C172</f>
        <v>33.793700000000001</v>
      </c>
      <c r="F54" s="14">
        <f>Reference!D172</f>
        <v>39.6462</v>
      </c>
      <c r="G54" s="14">
        <f>Reference!E172</f>
        <v>40.392499999999998</v>
      </c>
      <c r="H54" s="14">
        <f>Reference!F172</f>
        <v>24284</v>
      </c>
      <c r="I54" s="14">
        <f>Reference!G172</f>
        <v>21.219000000000001</v>
      </c>
      <c r="J54" s="17">
        <f t="shared" si="5"/>
        <v>6.7455555555555557</v>
      </c>
      <c r="K54" s="26">
        <f>Reference!H172</f>
        <v>2038944</v>
      </c>
      <c r="L54" s="27">
        <f>Reference!I172</f>
        <v>412764</v>
      </c>
      <c r="M54" s="55"/>
      <c r="N54" s="16">
        <f>Test!B172</f>
        <v>0</v>
      </c>
      <c r="O54" s="17">
        <f>Test!C172</f>
        <v>0</v>
      </c>
      <c r="P54" s="17">
        <f>Test!D172</f>
        <v>0</v>
      </c>
      <c r="Q54" s="17">
        <f>Test!E172</f>
        <v>0</v>
      </c>
      <c r="R54" s="17">
        <f>Test!F172</f>
        <v>0</v>
      </c>
      <c r="S54" s="17">
        <f>Test!G172</f>
        <v>0</v>
      </c>
      <c r="T54" s="17">
        <f t="shared" si="6"/>
        <v>0</v>
      </c>
      <c r="U54" s="26">
        <f>Test!H172</f>
        <v>0</v>
      </c>
      <c r="V54" s="27">
        <f>Test!I172</f>
        <v>0</v>
      </c>
      <c r="W54" s="14">
        <f t="shared" si="7"/>
        <v>0</v>
      </c>
      <c r="X54" s="14">
        <f t="shared" si="8"/>
        <v>0</v>
      </c>
      <c r="Y54" s="14">
        <f t="shared" si="4"/>
        <v>0</v>
      </c>
      <c r="Z54" s="22">
        <f t="shared" si="4"/>
        <v>0</v>
      </c>
      <c r="AA54" s="55"/>
      <c r="AB54" s="70"/>
      <c r="AC54" s="71"/>
      <c r="AD54" s="71"/>
      <c r="AE54" s="43"/>
      <c r="AF54" s="44"/>
      <c r="AG54" s="45"/>
      <c r="AH54" s="42"/>
      <c r="AI54" s="154">
        <f>(R54-J54)/J54</f>
        <v>-1</v>
      </c>
      <c r="AJ54" s="155">
        <f>S54-K54</f>
        <v>-2038944</v>
      </c>
      <c r="AK54" s="156">
        <f>T54-L54</f>
        <v>-412764</v>
      </c>
      <c r="AL54" s="157">
        <f>U54-M54</f>
        <v>0</v>
      </c>
    </row>
    <row r="55" spans="1:38" x14ac:dyDescent="0.2">
      <c r="A55" s="12"/>
      <c r="B55" s="9" t="s">
        <v>113</v>
      </c>
      <c r="C55" s="9">
        <v>22</v>
      </c>
      <c r="D55" s="10">
        <f>Reference!B173</f>
        <v>4367.6696000000002</v>
      </c>
      <c r="E55" s="11">
        <f>Reference!C173</f>
        <v>39.473500000000001</v>
      </c>
      <c r="F55" s="11">
        <f>Reference!D173</f>
        <v>43.096499999999999</v>
      </c>
      <c r="G55" s="11">
        <f>Reference!E173</f>
        <v>44.411200000000001</v>
      </c>
      <c r="H55" s="11">
        <f>Reference!F173</f>
        <v>78681</v>
      </c>
      <c r="I55" s="11">
        <f>Reference!G173</f>
        <v>46.174999999999997</v>
      </c>
      <c r="J55" s="11">
        <f t="shared" si="5"/>
        <v>21.855833333333333</v>
      </c>
      <c r="K55" s="24">
        <f>Reference!H173</f>
        <v>2064196</v>
      </c>
      <c r="L55" s="25">
        <f>Reference!I173</f>
        <v>453144</v>
      </c>
      <c r="M55" s="55"/>
      <c r="N55" s="10">
        <f>Test!B173</f>
        <v>0</v>
      </c>
      <c r="O55" s="11">
        <f>Test!C173</f>
        <v>0</v>
      </c>
      <c r="P55" s="11">
        <f>Test!D173</f>
        <v>0</v>
      </c>
      <c r="Q55" s="11">
        <f>Test!E173</f>
        <v>0</v>
      </c>
      <c r="R55" s="11">
        <f>Test!F173</f>
        <v>0</v>
      </c>
      <c r="S55" s="11">
        <f>Test!G173</f>
        <v>0</v>
      </c>
      <c r="T55" s="11">
        <f t="shared" si="6"/>
        <v>0</v>
      </c>
      <c r="U55" s="24">
        <f>Test!H173</f>
        <v>0</v>
      </c>
      <c r="V55" s="25">
        <f>Test!I173</f>
        <v>0</v>
      </c>
      <c r="W55" s="14">
        <f t="shared" si="7"/>
        <v>0</v>
      </c>
      <c r="X55" s="14">
        <f t="shared" si="8"/>
        <v>0</v>
      </c>
      <c r="Y55" s="14">
        <f t="shared" si="4"/>
        <v>0</v>
      </c>
      <c r="Z55" s="22">
        <f t="shared" si="4"/>
        <v>0</v>
      </c>
      <c r="AA55" s="55"/>
      <c r="AB55" s="64" t="e">
        <f>bdrate($D55:$D58,E55:E58,$N55:$N58,O55:O58)</f>
        <v>#VALUE!</v>
      </c>
      <c r="AC55" s="65" t="e">
        <f>bdrate($D55:$D58,F55:F58,$N55:$N58,P55:P58)</f>
        <v>#VALUE!</v>
      </c>
      <c r="AD55" s="65" t="e">
        <f>bdrate($D55:$D58,G55:G58,$N55:$N58,Q55:Q58)</f>
        <v>#VALUE!</v>
      </c>
      <c r="AE55" s="46" t="e">
        <f>bdrateOld($D55:$D58,E55:E58,$N55:$N58,O55:O58)</f>
        <v>#VALUE!</v>
      </c>
      <c r="AF55" s="47" t="e">
        <f>bdrateOld($D55:$D58,F55:F58,$N55:$N58,P55:P58)</f>
        <v>#VALUE!</v>
      </c>
      <c r="AG55" s="49" t="e">
        <f>bdrateOld($D55:$D58,G55:G58,$N55:$N58,Q55:Q58)</f>
        <v>#VALUE!</v>
      </c>
      <c r="AH55" s="42" t="e">
        <f>(AB55*6+AC55+AD55)/8</f>
        <v>#VALUE!</v>
      </c>
      <c r="AI55" s="146">
        <f>(R55-J55)/J55</f>
        <v>-1</v>
      </c>
      <c r="AJ55" s="147">
        <f>S55-K55</f>
        <v>-2064196</v>
      </c>
      <c r="AK55" s="148">
        <f>T55-L55</f>
        <v>-453144</v>
      </c>
      <c r="AL55" s="149">
        <f>U55-M55</f>
        <v>0</v>
      </c>
    </row>
    <row r="56" spans="1:38" x14ac:dyDescent="0.2">
      <c r="A56" s="12"/>
      <c r="B56" s="12"/>
      <c r="C56" s="12">
        <v>27</v>
      </c>
      <c r="D56" s="13">
        <f>Reference!B174</f>
        <v>2040.6168</v>
      </c>
      <c r="E56" s="14">
        <f>Reference!C174</f>
        <v>36.385300000000001</v>
      </c>
      <c r="F56" s="14">
        <f>Reference!D174</f>
        <v>40.603400000000001</v>
      </c>
      <c r="G56" s="14">
        <f>Reference!E174</f>
        <v>41.684199999999997</v>
      </c>
      <c r="H56" s="14">
        <f>Reference!F174</f>
        <v>56840</v>
      </c>
      <c r="I56" s="14">
        <f>Reference!G174</f>
        <v>39.792999999999999</v>
      </c>
      <c r="J56" s="14">
        <f t="shared" si="5"/>
        <v>15.78888888888889</v>
      </c>
      <c r="K56" s="26">
        <f>Reference!H174</f>
        <v>2059484</v>
      </c>
      <c r="L56" s="27">
        <f>Reference!I174</f>
        <v>432732</v>
      </c>
      <c r="M56" s="55"/>
      <c r="N56" s="13">
        <f>Test!B174</f>
        <v>0</v>
      </c>
      <c r="O56" s="14">
        <f>Test!C174</f>
        <v>0</v>
      </c>
      <c r="P56" s="14">
        <f>Test!D174</f>
        <v>0</v>
      </c>
      <c r="Q56" s="14">
        <f>Test!E174</f>
        <v>0</v>
      </c>
      <c r="R56" s="14">
        <f>Test!F174</f>
        <v>0</v>
      </c>
      <c r="S56" s="14">
        <f>Test!G174</f>
        <v>0</v>
      </c>
      <c r="T56" s="14">
        <f t="shared" si="6"/>
        <v>0</v>
      </c>
      <c r="U56" s="26">
        <f>Test!H174</f>
        <v>0</v>
      </c>
      <c r="V56" s="27">
        <f>Test!I174</f>
        <v>0</v>
      </c>
      <c r="W56" s="14">
        <f t="shared" si="7"/>
        <v>0</v>
      </c>
      <c r="X56" s="14">
        <f t="shared" si="8"/>
        <v>0</v>
      </c>
      <c r="Y56" s="14">
        <f t="shared" si="4"/>
        <v>0</v>
      </c>
      <c r="Z56" s="22">
        <f t="shared" si="4"/>
        <v>0</v>
      </c>
      <c r="AA56" s="55"/>
      <c r="AB56" s="67"/>
      <c r="AC56" s="68"/>
      <c r="AD56" s="68"/>
      <c r="AE56" s="40"/>
      <c r="AF56" s="41"/>
      <c r="AG56" s="42"/>
      <c r="AH56" s="42"/>
      <c r="AI56" s="150">
        <f>(R56-J56)/J56</f>
        <v>-1</v>
      </c>
      <c r="AJ56" s="151">
        <f>S56-K56</f>
        <v>-2059484</v>
      </c>
      <c r="AK56" s="152">
        <f>T56-L56</f>
        <v>-432732</v>
      </c>
      <c r="AL56" s="153">
        <f>U56-M56</f>
        <v>0</v>
      </c>
    </row>
    <row r="57" spans="1:38" x14ac:dyDescent="0.2">
      <c r="A57" s="12"/>
      <c r="B57" s="12"/>
      <c r="C57" s="12">
        <v>32</v>
      </c>
      <c r="D57" s="13">
        <f>Reference!B175</f>
        <v>997.38080000000002</v>
      </c>
      <c r="E57" s="14">
        <f>Reference!C175</f>
        <v>33.382300000000001</v>
      </c>
      <c r="F57" s="14">
        <f>Reference!D175</f>
        <v>38.454900000000002</v>
      </c>
      <c r="G57" s="14">
        <f>Reference!E175</f>
        <v>39.292200000000001</v>
      </c>
      <c r="H57" s="14">
        <f>Reference!F175</f>
        <v>42041</v>
      </c>
      <c r="I57" s="14">
        <f>Reference!G175</f>
        <v>33.838000000000001</v>
      </c>
      <c r="J57" s="14">
        <f t="shared" si="5"/>
        <v>11.678055555555556</v>
      </c>
      <c r="K57" s="26">
        <f>Reference!H175</f>
        <v>2054664</v>
      </c>
      <c r="L57" s="27">
        <f>Reference!I175</f>
        <v>428592</v>
      </c>
      <c r="M57" s="55"/>
      <c r="N57" s="13">
        <f>Test!B175</f>
        <v>0</v>
      </c>
      <c r="O57" s="14">
        <f>Test!C175</f>
        <v>0</v>
      </c>
      <c r="P57" s="14">
        <f>Test!D175</f>
        <v>0</v>
      </c>
      <c r="Q57" s="14">
        <f>Test!E175</f>
        <v>0</v>
      </c>
      <c r="R57" s="14">
        <f>Test!F175</f>
        <v>0</v>
      </c>
      <c r="S57" s="14">
        <f>Test!G175</f>
        <v>0</v>
      </c>
      <c r="T57" s="14">
        <f t="shared" si="6"/>
        <v>0</v>
      </c>
      <c r="U57" s="26">
        <f>Test!H175</f>
        <v>0</v>
      </c>
      <c r="V57" s="27">
        <f>Test!I175</f>
        <v>0</v>
      </c>
      <c r="W57" s="14">
        <f t="shared" si="7"/>
        <v>0</v>
      </c>
      <c r="X57" s="14">
        <f t="shared" si="8"/>
        <v>0</v>
      </c>
      <c r="Y57" s="14">
        <f t="shared" si="4"/>
        <v>0</v>
      </c>
      <c r="Z57" s="22">
        <f t="shared" si="4"/>
        <v>0</v>
      </c>
      <c r="AA57" s="55"/>
      <c r="AB57" s="67"/>
      <c r="AC57" s="68"/>
      <c r="AD57" s="68"/>
      <c r="AE57" s="40"/>
      <c r="AF57" s="41"/>
      <c r="AG57" s="42"/>
      <c r="AH57" s="42"/>
      <c r="AI57" s="150">
        <f>(R57-J57)/J57</f>
        <v>-1</v>
      </c>
      <c r="AJ57" s="151">
        <f>S57-K57</f>
        <v>-2054664</v>
      </c>
      <c r="AK57" s="152">
        <f>T57-L57</f>
        <v>-428592</v>
      </c>
      <c r="AL57" s="153">
        <f>U57-M57</f>
        <v>0</v>
      </c>
    </row>
    <row r="58" spans="1:38" ht="12.75" customHeight="1" thickBot="1" x14ac:dyDescent="0.25">
      <c r="A58" s="12"/>
      <c r="B58" s="15"/>
      <c r="C58" s="15">
        <v>37</v>
      </c>
      <c r="D58" s="13">
        <f>Reference!B176</f>
        <v>483.70960000000002</v>
      </c>
      <c r="E58" s="14">
        <f>Reference!C176</f>
        <v>30.569099999999999</v>
      </c>
      <c r="F58" s="14">
        <f>Reference!D176</f>
        <v>36.606299999999997</v>
      </c>
      <c r="G58" s="14">
        <f>Reference!E176</f>
        <v>37.249899999999997</v>
      </c>
      <c r="H58" s="14">
        <f>Reference!F176</f>
        <v>29479</v>
      </c>
      <c r="I58" s="14">
        <f>Reference!G176</f>
        <v>28.349</v>
      </c>
      <c r="J58" s="17">
        <f t="shared" si="5"/>
        <v>8.1886111111111113</v>
      </c>
      <c r="K58" s="26">
        <f>Reference!H176</f>
        <v>2048356</v>
      </c>
      <c r="L58" s="27">
        <f>Reference!I176</f>
        <v>423664</v>
      </c>
      <c r="M58" s="55"/>
      <c r="N58" s="16">
        <f>Test!B176</f>
        <v>0</v>
      </c>
      <c r="O58" s="17">
        <f>Test!C176</f>
        <v>0</v>
      </c>
      <c r="P58" s="17">
        <f>Test!D176</f>
        <v>0</v>
      </c>
      <c r="Q58" s="17">
        <f>Test!E176</f>
        <v>0</v>
      </c>
      <c r="R58" s="17">
        <f>Test!F176</f>
        <v>0</v>
      </c>
      <c r="S58" s="17">
        <f>Test!G176</f>
        <v>0</v>
      </c>
      <c r="T58" s="17">
        <f t="shared" si="6"/>
        <v>0</v>
      </c>
      <c r="U58" s="26">
        <f>Test!H176</f>
        <v>0</v>
      </c>
      <c r="V58" s="27">
        <f>Test!I176</f>
        <v>0</v>
      </c>
      <c r="W58" s="14">
        <f t="shared" si="7"/>
        <v>0</v>
      </c>
      <c r="X58" s="14">
        <f t="shared" si="8"/>
        <v>0</v>
      </c>
      <c r="Y58" s="14">
        <f t="shared" si="4"/>
        <v>0</v>
      </c>
      <c r="Z58" s="22">
        <f t="shared" si="4"/>
        <v>0</v>
      </c>
      <c r="AA58" s="55"/>
      <c r="AB58" s="70"/>
      <c r="AC58" s="71"/>
      <c r="AD58" s="71"/>
      <c r="AE58" s="43"/>
      <c r="AF58" s="44"/>
      <c r="AG58" s="45"/>
      <c r="AH58" s="42"/>
      <c r="AI58" s="154">
        <f>(R58-J58)/J58</f>
        <v>-1</v>
      </c>
      <c r="AJ58" s="155">
        <f>S58-K58</f>
        <v>-2048356</v>
      </c>
      <c r="AK58" s="156">
        <f>T58-L58</f>
        <v>-423664</v>
      </c>
      <c r="AL58" s="157">
        <f>U58-M58</f>
        <v>0</v>
      </c>
    </row>
    <row r="59" spans="1:38" x14ac:dyDescent="0.2">
      <c r="A59" s="12"/>
      <c r="B59" s="9" t="s">
        <v>87</v>
      </c>
      <c r="C59" s="9">
        <v>22</v>
      </c>
      <c r="D59" s="10">
        <f>Reference!B177</f>
        <v>3308.1487999999999</v>
      </c>
      <c r="E59" s="11">
        <f>Reference!C177</f>
        <v>39.457099999999997</v>
      </c>
      <c r="F59" s="11">
        <f>Reference!D177</f>
        <v>41.845500000000001</v>
      </c>
      <c r="G59" s="11">
        <f>Reference!E177</f>
        <v>43.490499999999997</v>
      </c>
      <c r="H59" s="11">
        <f>Reference!F177</f>
        <v>72891</v>
      </c>
      <c r="I59" s="11">
        <f>Reference!G177</f>
        <v>30.869</v>
      </c>
      <c r="J59" s="11">
        <f t="shared" si="5"/>
        <v>20.247499999999999</v>
      </c>
      <c r="K59" s="24">
        <f>Reference!H177</f>
        <v>2048140</v>
      </c>
      <c r="L59" s="25">
        <f>Reference!I177</f>
        <v>424428</v>
      </c>
      <c r="M59" s="55"/>
      <c r="N59" s="10">
        <f>Test!B177</f>
        <v>0</v>
      </c>
      <c r="O59" s="11">
        <f>Test!C177</f>
        <v>0</v>
      </c>
      <c r="P59" s="11">
        <f>Test!D177</f>
        <v>0</v>
      </c>
      <c r="Q59" s="11">
        <f>Test!E177</f>
        <v>0</v>
      </c>
      <c r="R59" s="11">
        <f>Test!F177</f>
        <v>0</v>
      </c>
      <c r="S59" s="11">
        <f>Test!G177</f>
        <v>0</v>
      </c>
      <c r="T59" s="11">
        <f t="shared" si="6"/>
        <v>0</v>
      </c>
      <c r="U59" s="24">
        <f>Test!H177</f>
        <v>0</v>
      </c>
      <c r="V59" s="25">
        <f>Test!I177</f>
        <v>0</v>
      </c>
      <c r="W59" s="14">
        <f t="shared" si="7"/>
        <v>0</v>
      </c>
      <c r="X59" s="14">
        <f t="shared" si="8"/>
        <v>0</v>
      </c>
      <c r="Y59" s="14">
        <f t="shared" si="4"/>
        <v>0</v>
      </c>
      <c r="Z59" s="22">
        <f t="shared" si="4"/>
        <v>0</v>
      </c>
      <c r="AA59" s="55"/>
      <c r="AB59" s="64" t="e">
        <f>bdrate($D59:$D62,E59:E62,$N59:$N62,O59:O62)</f>
        <v>#VALUE!</v>
      </c>
      <c r="AC59" s="65" t="e">
        <f>bdrate($D59:$D62,F59:F62,$N59:$N62,P59:P62)</f>
        <v>#VALUE!</v>
      </c>
      <c r="AD59" s="65" t="e">
        <f>bdrate($D59:$D62,G59:G62,$N59:$N62,Q59:Q62)</f>
        <v>#VALUE!</v>
      </c>
      <c r="AE59" s="46" t="e">
        <f>bdrateOld($D59:$D62,E59:E62,$N59:$N62,O59:O62)</f>
        <v>#VALUE!</v>
      </c>
      <c r="AF59" s="47" t="e">
        <f>bdrateOld($D59:$D62,F59:F62,$N59:$N62,P59:P62)</f>
        <v>#VALUE!</v>
      </c>
      <c r="AG59" s="49" t="e">
        <f>bdrateOld($D59:$D62,G59:G62,$N59:$N62,Q59:Q62)</f>
        <v>#VALUE!</v>
      </c>
      <c r="AH59" s="42" t="e">
        <f>(AB59*6+AC59+AD59)/8</f>
        <v>#VALUE!</v>
      </c>
      <c r="AI59" s="146">
        <f>(R59-J59)/J59</f>
        <v>-1</v>
      </c>
      <c r="AJ59" s="147">
        <f>S59-K59</f>
        <v>-2048140</v>
      </c>
      <c r="AK59" s="148">
        <f>T59-L59</f>
        <v>-424428</v>
      </c>
      <c r="AL59" s="149">
        <f>U59-M59</f>
        <v>0</v>
      </c>
    </row>
    <row r="60" spans="1:38" x14ac:dyDescent="0.2">
      <c r="A60" s="12"/>
      <c r="B60" s="12"/>
      <c r="C60" s="12">
        <v>27</v>
      </c>
      <c r="D60" s="13">
        <f>Reference!B178</f>
        <v>1361.7976000000001</v>
      </c>
      <c r="E60" s="14">
        <f>Reference!C178</f>
        <v>36.661299999999997</v>
      </c>
      <c r="F60" s="14">
        <f>Reference!D178</f>
        <v>39.558700000000002</v>
      </c>
      <c r="G60" s="14">
        <f>Reference!E178</f>
        <v>41.3142</v>
      </c>
      <c r="H60" s="14">
        <f>Reference!F178</f>
        <v>50215</v>
      </c>
      <c r="I60" s="14">
        <f>Reference!G178</f>
        <v>25.433</v>
      </c>
      <c r="J60" s="14">
        <f t="shared" si="5"/>
        <v>13.948611111111111</v>
      </c>
      <c r="K60" s="26">
        <f>Reference!H178</f>
        <v>2043292</v>
      </c>
      <c r="L60" s="27">
        <f>Reference!I178</f>
        <v>417792</v>
      </c>
      <c r="M60" s="55"/>
      <c r="N60" s="13">
        <f>Test!B178</f>
        <v>0</v>
      </c>
      <c r="O60" s="14">
        <f>Test!C178</f>
        <v>0</v>
      </c>
      <c r="P60" s="14">
        <f>Test!D178</f>
        <v>0</v>
      </c>
      <c r="Q60" s="14">
        <f>Test!E178</f>
        <v>0</v>
      </c>
      <c r="R60" s="14">
        <f>Test!F178</f>
        <v>0</v>
      </c>
      <c r="S60" s="14">
        <f>Test!G178</f>
        <v>0</v>
      </c>
      <c r="T60" s="14">
        <f t="shared" si="6"/>
        <v>0</v>
      </c>
      <c r="U60" s="26">
        <f>Test!H178</f>
        <v>0</v>
      </c>
      <c r="V60" s="27">
        <f>Test!I178</f>
        <v>0</v>
      </c>
      <c r="W60" s="14">
        <f t="shared" si="7"/>
        <v>0</v>
      </c>
      <c r="X60" s="14">
        <f t="shared" si="8"/>
        <v>0</v>
      </c>
      <c r="Y60" s="14">
        <f t="shared" si="4"/>
        <v>0</v>
      </c>
      <c r="Z60" s="22">
        <f t="shared" si="4"/>
        <v>0</v>
      </c>
      <c r="AA60" s="55"/>
      <c r="AB60" s="67"/>
      <c r="AC60" s="68"/>
      <c r="AD60" s="68"/>
      <c r="AE60" s="40"/>
      <c r="AF60" s="41"/>
      <c r="AG60" s="42"/>
      <c r="AH60" s="42"/>
      <c r="AI60" s="150">
        <f>(R60-J60)/J60</f>
        <v>-1</v>
      </c>
      <c r="AJ60" s="151">
        <f>S60-K60</f>
        <v>-2043292</v>
      </c>
      <c r="AK60" s="152">
        <f>T60-L60</f>
        <v>-417792</v>
      </c>
      <c r="AL60" s="153">
        <f>U60-M60</f>
        <v>0</v>
      </c>
    </row>
    <row r="61" spans="1:38" x14ac:dyDescent="0.2">
      <c r="A61" s="12"/>
      <c r="B61" s="12"/>
      <c r="C61" s="12">
        <v>32</v>
      </c>
      <c r="D61" s="13">
        <f>Reference!B179</f>
        <v>636.60879999999997</v>
      </c>
      <c r="E61" s="14">
        <f>Reference!C179</f>
        <v>33.986499999999999</v>
      </c>
      <c r="F61" s="14">
        <f>Reference!D179</f>
        <v>37.540700000000001</v>
      </c>
      <c r="G61" s="14">
        <f>Reference!E179</f>
        <v>39.614100000000001</v>
      </c>
      <c r="H61" s="14">
        <f>Reference!F179</f>
        <v>35232</v>
      </c>
      <c r="I61" s="14">
        <f>Reference!G179</f>
        <v>20.181999999999999</v>
      </c>
      <c r="J61" s="14">
        <f t="shared" si="5"/>
        <v>9.7866666666666671</v>
      </c>
      <c r="K61" s="26">
        <f>Reference!H179</f>
        <v>2041248</v>
      </c>
      <c r="L61" s="27">
        <f>Reference!I179</f>
        <v>415540</v>
      </c>
      <c r="M61" s="55"/>
      <c r="N61" s="13">
        <f>Test!B179</f>
        <v>0</v>
      </c>
      <c r="O61" s="14">
        <f>Test!C179</f>
        <v>0</v>
      </c>
      <c r="P61" s="14">
        <f>Test!D179</f>
        <v>0</v>
      </c>
      <c r="Q61" s="14">
        <f>Test!E179</f>
        <v>0</v>
      </c>
      <c r="R61" s="14">
        <f>Test!F179</f>
        <v>0</v>
      </c>
      <c r="S61" s="14">
        <f>Test!G179</f>
        <v>0</v>
      </c>
      <c r="T61" s="14">
        <f t="shared" si="6"/>
        <v>0</v>
      </c>
      <c r="U61" s="26">
        <f>Test!H179</f>
        <v>0</v>
      </c>
      <c r="V61" s="27">
        <f>Test!I179</f>
        <v>0</v>
      </c>
      <c r="W61" s="14">
        <f t="shared" si="7"/>
        <v>0</v>
      </c>
      <c r="X61" s="14">
        <f t="shared" si="8"/>
        <v>0</v>
      </c>
      <c r="Y61" s="14">
        <f t="shared" si="4"/>
        <v>0</v>
      </c>
      <c r="Z61" s="22">
        <f t="shared" si="4"/>
        <v>0</v>
      </c>
      <c r="AA61" s="55"/>
      <c r="AB61" s="67"/>
      <c r="AC61" s="68"/>
      <c r="AD61" s="68"/>
      <c r="AE61" s="40"/>
      <c r="AF61" s="41"/>
      <c r="AG61" s="42"/>
      <c r="AH61" s="42"/>
      <c r="AI61" s="150">
        <f>(R61-J61)/J61</f>
        <v>-1</v>
      </c>
      <c r="AJ61" s="151">
        <f>S61-K61</f>
        <v>-2041248</v>
      </c>
      <c r="AK61" s="152">
        <f>T61-L61</f>
        <v>-415540</v>
      </c>
      <c r="AL61" s="153">
        <f>U61-M61</f>
        <v>0</v>
      </c>
    </row>
    <row r="62" spans="1:38" ht="12.75" customHeight="1" thickBot="1" x14ac:dyDescent="0.25">
      <c r="A62" s="15"/>
      <c r="B62" s="15"/>
      <c r="C62" s="15">
        <v>37</v>
      </c>
      <c r="D62" s="13">
        <f>Reference!B180</f>
        <v>307.47359999999998</v>
      </c>
      <c r="E62" s="14">
        <f>Reference!C180</f>
        <v>31.2867</v>
      </c>
      <c r="F62" s="14">
        <f>Reference!D180</f>
        <v>35.965400000000002</v>
      </c>
      <c r="G62" s="14">
        <f>Reference!E180</f>
        <v>37.908799999999999</v>
      </c>
      <c r="H62" s="14">
        <f>Reference!F180</f>
        <v>22894</v>
      </c>
      <c r="I62" s="14">
        <f>Reference!G180</f>
        <v>16.457999999999998</v>
      </c>
      <c r="J62" s="17">
        <f t="shared" si="5"/>
        <v>6.3594444444444447</v>
      </c>
      <c r="K62" s="26">
        <f>Reference!H180</f>
        <v>2037888</v>
      </c>
      <c r="L62" s="27">
        <f>Reference!I180</f>
        <v>414968</v>
      </c>
      <c r="M62" s="55"/>
      <c r="N62" s="16">
        <f>Test!B180</f>
        <v>0</v>
      </c>
      <c r="O62" s="17">
        <f>Test!C180</f>
        <v>0</v>
      </c>
      <c r="P62" s="17">
        <f>Test!D180</f>
        <v>0</v>
      </c>
      <c r="Q62" s="17">
        <f>Test!E180</f>
        <v>0</v>
      </c>
      <c r="R62" s="17">
        <f>Test!F180</f>
        <v>0</v>
      </c>
      <c r="S62" s="17">
        <f>Test!G180</f>
        <v>0</v>
      </c>
      <c r="T62" s="17">
        <f t="shared" si="6"/>
        <v>0</v>
      </c>
      <c r="U62" s="26">
        <f>Test!H180</f>
        <v>0</v>
      </c>
      <c r="V62" s="27">
        <f>Test!I180</f>
        <v>0</v>
      </c>
      <c r="W62" s="17">
        <f t="shared" si="7"/>
        <v>0</v>
      </c>
      <c r="X62" s="17">
        <f t="shared" si="8"/>
        <v>0</v>
      </c>
      <c r="Y62" s="17">
        <f t="shared" si="4"/>
        <v>0</v>
      </c>
      <c r="Z62" s="23">
        <f t="shared" si="4"/>
        <v>0</v>
      </c>
      <c r="AA62" s="73"/>
      <c r="AB62" s="70"/>
      <c r="AC62" s="71"/>
      <c r="AD62" s="71"/>
      <c r="AE62" s="43"/>
      <c r="AF62" s="44"/>
      <c r="AG62" s="45"/>
      <c r="AH62" s="45"/>
      <c r="AI62" s="154">
        <f>(R62-J62)/J62</f>
        <v>-1</v>
      </c>
      <c r="AJ62" s="155">
        <f>S62-K62</f>
        <v>-2037888</v>
      </c>
      <c r="AK62" s="156">
        <f>T62-L62</f>
        <v>-414968</v>
      </c>
      <c r="AL62" s="157">
        <f>U62-M62</f>
        <v>0</v>
      </c>
    </row>
    <row r="63" spans="1:38" x14ac:dyDescent="0.2">
      <c r="A63" s="9" t="s">
        <v>27</v>
      </c>
      <c r="B63" s="9" t="s">
        <v>85</v>
      </c>
      <c r="C63" s="9">
        <f>C59</f>
        <v>22</v>
      </c>
      <c r="D63" s="10">
        <f>Reference!B181</f>
        <v>1062.8807999999999</v>
      </c>
      <c r="E63" s="11">
        <f>Reference!C181</f>
        <v>41.875100000000003</v>
      </c>
      <c r="F63" s="11">
        <f>Reference!D181</f>
        <v>45.131999999999998</v>
      </c>
      <c r="G63" s="11">
        <f>Reference!E181</f>
        <v>44.055399999999999</v>
      </c>
      <c r="H63" s="11">
        <f>Reference!F181</f>
        <v>29126</v>
      </c>
      <c r="I63" s="11">
        <f>Reference!G181</f>
        <v>14.337999999999999</v>
      </c>
      <c r="J63" s="11">
        <f t="shared" si="5"/>
        <v>8.0905555555555555</v>
      </c>
      <c r="K63" s="24">
        <f>Reference!H181</f>
        <v>1335304</v>
      </c>
      <c r="L63" s="25">
        <f>Reference!I181</f>
        <v>337360</v>
      </c>
      <c r="M63" s="55"/>
      <c r="N63" s="10">
        <f>Test!B181</f>
        <v>0</v>
      </c>
      <c r="O63" s="11">
        <f>Test!C181</f>
        <v>0</v>
      </c>
      <c r="P63" s="11">
        <f>Test!D181</f>
        <v>0</v>
      </c>
      <c r="Q63" s="11">
        <f>Test!E181</f>
        <v>0</v>
      </c>
      <c r="R63" s="11">
        <f>Test!F181</f>
        <v>0</v>
      </c>
      <c r="S63" s="11">
        <f>Test!G181</f>
        <v>0</v>
      </c>
      <c r="T63" s="11">
        <f t="shared" si="6"/>
        <v>0</v>
      </c>
      <c r="U63" s="24">
        <f>Test!H181</f>
        <v>0</v>
      </c>
      <c r="V63" s="25">
        <f>Test!I181</f>
        <v>0</v>
      </c>
      <c r="W63" s="11">
        <f t="shared" si="7"/>
        <v>0</v>
      </c>
      <c r="X63" s="11">
        <f t="shared" si="8"/>
        <v>0</v>
      </c>
      <c r="Y63" s="11">
        <f t="shared" si="4"/>
        <v>0</v>
      </c>
      <c r="Z63" s="21">
        <f t="shared" si="4"/>
        <v>0</v>
      </c>
      <c r="AA63" s="63"/>
      <c r="AB63" s="64" t="e">
        <f>bdrate($D63:$D66,E63:E66,$N63:$N66,O63:O66)</f>
        <v>#VALUE!</v>
      </c>
      <c r="AC63" s="65" t="e">
        <f>bdrate($D63:$D66,F63:F66,$N63:$N66,P63:P66)</f>
        <v>#VALUE!</v>
      </c>
      <c r="AD63" s="66" t="e">
        <f>bdrate($D63:$D66,G63:G66,$N63:$N66,Q63:Q66)</f>
        <v>#VALUE!</v>
      </c>
      <c r="AE63" s="36" t="e">
        <f>bdrateOld($D63:$D66,E63:E66,$N63:$N66,O63:O66)</f>
        <v>#VALUE!</v>
      </c>
      <c r="AF63" s="37" t="e">
        <f>bdrateOld($D63:$D66,F63:F66,$N63:$N66,P63:P66)</f>
        <v>#VALUE!</v>
      </c>
      <c r="AG63" s="38" t="e">
        <f>bdrateOld($D63:$D66,G63:G66,$N63:$N66,Q63:Q66)</f>
        <v>#VALUE!</v>
      </c>
      <c r="AH63" s="145" t="e">
        <f>(AB63*6+AC63+AD63)/8</f>
        <v>#VALUE!</v>
      </c>
      <c r="AI63" s="146">
        <f>(R63-J63)/J63</f>
        <v>-1</v>
      </c>
      <c r="AJ63" s="147">
        <f>S63-K63</f>
        <v>-1335304</v>
      </c>
      <c r="AK63" s="148">
        <f>T63-L63</f>
        <v>-337360</v>
      </c>
      <c r="AL63" s="149">
        <f>U63-M63</f>
        <v>0</v>
      </c>
    </row>
    <row r="64" spans="1:38" x14ac:dyDescent="0.2">
      <c r="A64" s="12" t="s">
        <v>114</v>
      </c>
      <c r="B64" s="12"/>
      <c r="C64" s="12">
        <f>C60</f>
        <v>27</v>
      </c>
      <c r="D64" s="13">
        <f>Reference!B182</f>
        <v>508.07839999999999</v>
      </c>
      <c r="E64" s="14">
        <f>Reference!C182</f>
        <v>37.987499999999997</v>
      </c>
      <c r="F64" s="14">
        <f>Reference!D182</f>
        <v>42.441800000000001</v>
      </c>
      <c r="G64" s="14">
        <f>Reference!E182</f>
        <v>40.865400000000001</v>
      </c>
      <c r="H64" s="14">
        <f>Reference!F182</f>
        <v>22729</v>
      </c>
      <c r="I64" s="14">
        <f>Reference!G182</f>
        <v>12.236000000000001</v>
      </c>
      <c r="J64" s="14">
        <f t="shared" si="5"/>
        <v>6.3136111111111113</v>
      </c>
      <c r="K64" s="26">
        <f>Reference!H182</f>
        <v>1334132</v>
      </c>
      <c r="L64" s="27">
        <f>Reference!I182</f>
        <v>336376</v>
      </c>
      <c r="M64" s="55"/>
      <c r="N64" s="13">
        <f>Test!B182</f>
        <v>0</v>
      </c>
      <c r="O64" s="14">
        <f>Test!C182</f>
        <v>0</v>
      </c>
      <c r="P64" s="14">
        <f>Test!D182</f>
        <v>0</v>
      </c>
      <c r="Q64" s="14">
        <f>Test!E182</f>
        <v>0</v>
      </c>
      <c r="R64" s="14">
        <f>Test!F182</f>
        <v>0</v>
      </c>
      <c r="S64" s="14">
        <f>Test!G182</f>
        <v>0</v>
      </c>
      <c r="T64" s="14">
        <f t="shared" si="6"/>
        <v>0</v>
      </c>
      <c r="U64" s="26">
        <f>Test!H182</f>
        <v>0</v>
      </c>
      <c r="V64" s="27">
        <f>Test!I182</f>
        <v>0</v>
      </c>
      <c r="W64" s="14">
        <f t="shared" si="7"/>
        <v>0</v>
      </c>
      <c r="X64" s="14">
        <f t="shared" si="8"/>
        <v>0</v>
      </c>
      <c r="Y64" s="14">
        <f t="shared" si="4"/>
        <v>0</v>
      </c>
      <c r="Z64" s="22">
        <f t="shared" si="4"/>
        <v>0</v>
      </c>
      <c r="AA64" s="55"/>
      <c r="AB64" s="67"/>
      <c r="AC64" s="68"/>
      <c r="AD64" s="69"/>
      <c r="AE64" s="40"/>
      <c r="AF64" s="41"/>
      <c r="AG64" s="42"/>
      <c r="AH64" s="42"/>
      <c r="AI64" s="150">
        <f>(R64-J64)/J64</f>
        <v>-1</v>
      </c>
      <c r="AJ64" s="151">
        <f>S64-K64</f>
        <v>-1334132</v>
      </c>
      <c r="AK64" s="152">
        <f>T64-L64</f>
        <v>-336376</v>
      </c>
      <c r="AL64" s="153">
        <f>U64-M64</f>
        <v>0</v>
      </c>
    </row>
    <row r="65" spans="1:38" x14ac:dyDescent="0.2">
      <c r="A65" s="12"/>
      <c r="B65" s="12"/>
      <c r="C65" s="12">
        <f>C61</f>
        <v>32</v>
      </c>
      <c r="D65" s="13">
        <f>Reference!B183</f>
        <v>253.10159999999999</v>
      </c>
      <c r="E65" s="14">
        <f>Reference!C183</f>
        <v>34.685600000000001</v>
      </c>
      <c r="F65" s="14">
        <f>Reference!D183</f>
        <v>40.221499999999999</v>
      </c>
      <c r="G65" s="14">
        <f>Reference!E183</f>
        <v>38.551299999999998</v>
      </c>
      <c r="H65" s="14">
        <f>Reference!F183</f>
        <v>17051</v>
      </c>
      <c r="I65" s="14">
        <f>Reference!G183</f>
        <v>10.012</v>
      </c>
      <c r="J65" s="14">
        <f t="shared" si="5"/>
        <v>4.7363888888888885</v>
      </c>
      <c r="K65" s="26">
        <f>Reference!H183</f>
        <v>1332900</v>
      </c>
      <c r="L65" s="27">
        <f>Reference!I183</f>
        <v>335180</v>
      </c>
      <c r="M65" s="55"/>
      <c r="N65" s="13">
        <f>Test!B183</f>
        <v>0</v>
      </c>
      <c r="O65" s="14">
        <f>Test!C183</f>
        <v>0</v>
      </c>
      <c r="P65" s="14">
        <f>Test!D183</f>
        <v>0</v>
      </c>
      <c r="Q65" s="14">
        <f>Test!E183</f>
        <v>0</v>
      </c>
      <c r="R65" s="14">
        <f>Test!F183</f>
        <v>0</v>
      </c>
      <c r="S65" s="14">
        <f>Test!G183</f>
        <v>0</v>
      </c>
      <c r="T65" s="14">
        <f t="shared" si="6"/>
        <v>0</v>
      </c>
      <c r="U65" s="26">
        <f>Test!H183</f>
        <v>0</v>
      </c>
      <c r="V65" s="27">
        <f>Test!I183</f>
        <v>0</v>
      </c>
      <c r="W65" s="14">
        <f t="shared" si="7"/>
        <v>0</v>
      </c>
      <c r="X65" s="14">
        <f t="shared" si="8"/>
        <v>0</v>
      </c>
      <c r="Y65" s="14">
        <f t="shared" si="4"/>
        <v>0</v>
      </c>
      <c r="Z65" s="22">
        <f t="shared" si="4"/>
        <v>0</v>
      </c>
      <c r="AA65" s="55"/>
      <c r="AB65" s="67"/>
      <c r="AC65" s="68"/>
      <c r="AD65" s="69"/>
      <c r="AE65" s="40"/>
      <c r="AF65" s="41"/>
      <c r="AG65" s="42"/>
      <c r="AH65" s="42"/>
      <c r="AI65" s="150">
        <f>(R65-J65)/J65</f>
        <v>-1</v>
      </c>
      <c r="AJ65" s="151">
        <f>S65-K65</f>
        <v>-1332900</v>
      </c>
      <c r="AK65" s="152">
        <f>T65-L65</f>
        <v>-335180</v>
      </c>
      <c r="AL65" s="153">
        <f>U65-M65</f>
        <v>0</v>
      </c>
    </row>
    <row r="66" spans="1:38" ht="12.75" customHeight="1" thickBot="1" x14ac:dyDescent="0.25">
      <c r="A66" s="12"/>
      <c r="B66" s="15"/>
      <c r="C66" s="15">
        <f>C62</f>
        <v>37</v>
      </c>
      <c r="D66" s="13">
        <f>Reference!B184</f>
        <v>129.40479999999999</v>
      </c>
      <c r="E66" s="14">
        <f>Reference!C184</f>
        <v>31.8004</v>
      </c>
      <c r="F66" s="14">
        <f>Reference!D184</f>
        <v>38.2699</v>
      </c>
      <c r="G66" s="14">
        <f>Reference!E184</f>
        <v>36.3386</v>
      </c>
      <c r="H66" s="14">
        <f>Reference!F184</f>
        <v>11909</v>
      </c>
      <c r="I66" s="14">
        <f>Reference!G184</f>
        <v>8.4909999999999997</v>
      </c>
      <c r="J66" s="17">
        <f t="shared" si="5"/>
        <v>3.3080555555555557</v>
      </c>
      <c r="K66" s="26">
        <f>Reference!H184</f>
        <v>1332308</v>
      </c>
      <c r="L66" s="27">
        <f>Reference!I184</f>
        <v>333924</v>
      </c>
      <c r="M66" s="55"/>
      <c r="N66" s="16">
        <f>Test!B184</f>
        <v>0</v>
      </c>
      <c r="O66" s="17">
        <f>Test!C184</f>
        <v>0</v>
      </c>
      <c r="P66" s="17">
        <f>Test!D184</f>
        <v>0</v>
      </c>
      <c r="Q66" s="17">
        <f>Test!E184</f>
        <v>0</v>
      </c>
      <c r="R66" s="17">
        <f>Test!F184</f>
        <v>0</v>
      </c>
      <c r="S66" s="17">
        <f>Test!G184</f>
        <v>0</v>
      </c>
      <c r="T66" s="17">
        <f t="shared" si="6"/>
        <v>0</v>
      </c>
      <c r="U66" s="26">
        <f>Test!H184</f>
        <v>0</v>
      </c>
      <c r="V66" s="27">
        <f>Test!I184</f>
        <v>0</v>
      </c>
      <c r="W66" s="14">
        <f t="shared" si="7"/>
        <v>0</v>
      </c>
      <c r="X66" s="14">
        <f t="shared" si="8"/>
        <v>0</v>
      </c>
      <c r="Y66" s="14">
        <f t="shared" si="4"/>
        <v>0</v>
      </c>
      <c r="Z66" s="22">
        <f t="shared" si="4"/>
        <v>0</v>
      </c>
      <c r="AA66" s="55"/>
      <c r="AB66" s="70"/>
      <c r="AC66" s="71"/>
      <c r="AD66" s="72"/>
      <c r="AE66" s="43"/>
      <c r="AF66" s="44"/>
      <c r="AG66" s="45"/>
      <c r="AH66" s="42"/>
      <c r="AI66" s="154">
        <f>(R66-J66)/J66</f>
        <v>-1</v>
      </c>
      <c r="AJ66" s="155">
        <f>S66-K66</f>
        <v>-1332308</v>
      </c>
      <c r="AK66" s="156">
        <f>T66-L66</f>
        <v>-333924</v>
      </c>
      <c r="AL66" s="157">
        <f>U66-M66</f>
        <v>0</v>
      </c>
    </row>
    <row r="67" spans="1:38" x14ac:dyDescent="0.2">
      <c r="A67" s="12"/>
      <c r="B67" s="9" t="s">
        <v>86</v>
      </c>
      <c r="C67" s="9">
        <v>22</v>
      </c>
      <c r="D67" s="10">
        <f>Reference!B185</f>
        <v>977.2328</v>
      </c>
      <c r="E67" s="11">
        <f>Reference!C185</f>
        <v>39.246099999999998</v>
      </c>
      <c r="F67" s="11">
        <f>Reference!D185</f>
        <v>45.358699999999999</v>
      </c>
      <c r="G67" s="11">
        <f>Reference!E185</f>
        <v>46.879199999999997</v>
      </c>
      <c r="H67" s="11">
        <f>Reference!F185</f>
        <v>27054</v>
      </c>
      <c r="I67" s="11">
        <f>Reference!G185</f>
        <v>15.706</v>
      </c>
      <c r="J67" s="11">
        <f t="shared" ref="J67:J78" si="9">H67/3600</f>
        <v>7.5149999999999997</v>
      </c>
      <c r="K67" s="24">
        <f>Reference!H185</f>
        <v>1335376</v>
      </c>
      <c r="L67" s="25">
        <f>Reference!I185</f>
        <v>338464</v>
      </c>
      <c r="M67" s="55"/>
      <c r="N67" s="10">
        <f>Test!B185</f>
        <v>0</v>
      </c>
      <c r="O67" s="11">
        <f>Test!C185</f>
        <v>0</v>
      </c>
      <c r="P67" s="11">
        <f>Test!D185</f>
        <v>0</v>
      </c>
      <c r="Q67" s="11">
        <f>Test!E185</f>
        <v>0</v>
      </c>
      <c r="R67" s="11">
        <f>Test!F185</f>
        <v>0</v>
      </c>
      <c r="S67" s="11">
        <f>Test!G185</f>
        <v>0</v>
      </c>
      <c r="T67" s="11">
        <f t="shared" ref="T67:T78" si="10">R67/3600</f>
        <v>0</v>
      </c>
      <c r="U67" s="24">
        <f>Test!H185</f>
        <v>0</v>
      </c>
      <c r="V67" s="25">
        <f>Test!I185</f>
        <v>0</v>
      </c>
      <c r="W67" s="14">
        <f t="shared" ref="W67:W78" si="11">R67/H67</f>
        <v>0</v>
      </c>
      <c r="X67" s="14">
        <f t="shared" ref="X67:X78" si="12">S67/I67</f>
        <v>0</v>
      </c>
      <c r="Y67" s="14">
        <f t="shared" si="4"/>
        <v>0</v>
      </c>
      <c r="Z67" s="22">
        <f t="shared" si="4"/>
        <v>0</v>
      </c>
      <c r="AA67" s="55"/>
      <c r="AB67" s="64" t="e">
        <f>bdrate($D67:$D70,E67:E70,$N67:$N70,O67:O70)</f>
        <v>#VALUE!</v>
      </c>
      <c r="AC67" s="65" t="e">
        <f>bdrate($D67:$D70,F67:F70,$N67:$N70,P67:P70)</f>
        <v>#VALUE!</v>
      </c>
      <c r="AD67" s="65" t="e">
        <f>bdrate($D67:$D70,G67:G70,$N67:$N70,Q67:Q70)</f>
        <v>#VALUE!</v>
      </c>
      <c r="AE67" s="46" t="e">
        <f>bdrateOld($D67:$D70,E67:E70,$N67:$N70,O67:O70)</f>
        <v>#VALUE!</v>
      </c>
      <c r="AF67" s="47" t="e">
        <f>bdrateOld($D67:$D70,F67:F70,$N67:$N70,P67:P70)</f>
        <v>#VALUE!</v>
      </c>
      <c r="AG67" s="49" t="e">
        <f>bdrateOld($D67:$D70,G67:G70,$N67:$N70,Q67:Q70)</f>
        <v>#VALUE!</v>
      </c>
      <c r="AH67" s="42" t="e">
        <f>(AB67*6+AC67+AD67)/8</f>
        <v>#VALUE!</v>
      </c>
      <c r="AI67" s="146">
        <f>(R67-J67)/J67</f>
        <v>-1</v>
      </c>
      <c r="AJ67" s="147">
        <f>S67-K67</f>
        <v>-1335376</v>
      </c>
      <c r="AK67" s="148">
        <f>T67-L67</f>
        <v>-338464</v>
      </c>
      <c r="AL67" s="149">
        <f>U67-M67</f>
        <v>0</v>
      </c>
    </row>
    <row r="68" spans="1:38" x14ac:dyDescent="0.2">
      <c r="A68" s="12"/>
      <c r="B68" s="12"/>
      <c r="C68" s="12">
        <v>27</v>
      </c>
      <c r="D68" s="13">
        <f>Reference!B186</f>
        <v>389.13920000000002</v>
      </c>
      <c r="E68" s="14">
        <f>Reference!C186</f>
        <v>36.440300000000001</v>
      </c>
      <c r="F68" s="14">
        <f>Reference!D186</f>
        <v>43.489600000000003</v>
      </c>
      <c r="G68" s="14">
        <f>Reference!E186</f>
        <v>44.831800000000001</v>
      </c>
      <c r="H68" s="14">
        <f>Reference!F186</f>
        <v>13863</v>
      </c>
      <c r="I68" s="14">
        <f>Reference!G186</f>
        <v>12.904999999999999</v>
      </c>
      <c r="J68" s="14">
        <f t="shared" si="9"/>
        <v>3.8508333333333336</v>
      </c>
      <c r="K68" s="26">
        <f>Reference!H186</f>
        <v>1334440</v>
      </c>
      <c r="L68" s="27">
        <f>Reference!I186</f>
        <v>336852</v>
      </c>
      <c r="M68" s="55"/>
      <c r="N68" s="13">
        <f>Test!B186</f>
        <v>0</v>
      </c>
      <c r="O68" s="14">
        <f>Test!C186</f>
        <v>0</v>
      </c>
      <c r="P68" s="14">
        <f>Test!D186</f>
        <v>0</v>
      </c>
      <c r="Q68" s="14">
        <f>Test!E186</f>
        <v>0</v>
      </c>
      <c r="R68" s="14">
        <f>Test!F186</f>
        <v>0</v>
      </c>
      <c r="S68" s="14">
        <f>Test!G186</f>
        <v>0</v>
      </c>
      <c r="T68" s="14">
        <f t="shared" si="10"/>
        <v>0</v>
      </c>
      <c r="U68" s="26">
        <f>Test!H186</f>
        <v>0</v>
      </c>
      <c r="V68" s="27">
        <f>Test!I186</f>
        <v>0</v>
      </c>
      <c r="W68" s="14">
        <f t="shared" si="11"/>
        <v>0</v>
      </c>
      <c r="X68" s="14">
        <f t="shared" si="12"/>
        <v>0</v>
      </c>
      <c r="Y68" s="14">
        <f t="shared" ref="Y68:Z78" si="13">U68/K68</f>
        <v>0</v>
      </c>
      <c r="Z68" s="22">
        <f t="shared" si="13"/>
        <v>0</v>
      </c>
      <c r="AA68" s="55"/>
      <c r="AB68" s="67"/>
      <c r="AC68" s="68"/>
      <c r="AD68" s="68"/>
      <c r="AE68" s="40"/>
      <c r="AF68" s="41"/>
      <c r="AG68" s="42"/>
      <c r="AH68" s="42"/>
      <c r="AI68" s="150">
        <f>(R68-J68)/J68</f>
        <v>-1</v>
      </c>
      <c r="AJ68" s="151">
        <f>S68-K68</f>
        <v>-1334440</v>
      </c>
      <c r="AK68" s="152">
        <f>T68-L68</f>
        <v>-336852</v>
      </c>
      <c r="AL68" s="153">
        <f>U68-M68</f>
        <v>0</v>
      </c>
    </row>
    <row r="69" spans="1:38" x14ac:dyDescent="0.2">
      <c r="A69" s="12"/>
      <c r="B69" s="12"/>
      <c r="C69" s="12">
        <v>32</v>
      </c>
      <c r="D69" s="13">
        <f>Reference!B187</f>
        <v>188.00479999999999</v>
      </c>
      <c r="E69" s="14">
        <f>Reference!C187</f>
        <v>33.827800000000003</v>
      </c>
      <c r="F69" s="14">
        <f>Reference!D187</f>
        <v>41.336300000000001</v>
      </c>
      <c r="G69" s="14">
        <f>Reference!E187</f>
        <v>42.610100000000003</v>
      </c>
      <c r="H69" s="14">
        <f>Reference!F187</f>
        <v>8282</v>
      </c>
      <c r="I69" s="14">
        <f>Reference!G187</f>
        <v>11.417999999999999</v>
      </c>
      <c r="J69" s="14">
        <f t="shared" si="9"/>
        <v>2.3005555555555555</v>
      </c>
      <c r="K69" s="26">
        <f>Reference!H187</f>
        <v>1332960</v>
      </c>
      <c r="L69" s="27">
        <f>Reference!I187</f>
        <v>336464</v>
      </c>
      <c r="M69" s="55"/>
      <c r="N69" s="13">
        <f>Test!B187</f>
        <v>0</v>
      </c>
      <c r="O69" s="14">
        <f>Test!C187</f>
        <v>0</v>
      </c>
      <c r="P69" s="14">
        <f>Test!D187</f>
        <v>0</v>
      </c>
      <c r="Q69" s="14">
        <f>Test!E187</f>
        <v>0</v>
      </c>
      <c r="R69" s="14">
        <f>Test!F187</f>
        <v>0</v>
      </c>
      <c r="S69" s="14">
        <f>Test!G187</f>
        <v>0</v>
      </c>
      <c r="T69" s="14">
        <f t="shared" si="10"/>
        <v>0</v>
      </c>
      <c r="U69" s="26">
        <f>Test!H187</f>
        <v>0</v>
      </c>
      <c r="V69" s="27">
        <f>Test!I187</f>
        <v>0</v>
      </c>
      <c r="W69" s="14">
        <f t="shared" si="11"/>
        <v>0</v>
      </c>
      <c r="X69" s="14">
        <f t="shared" si="12"/>
        <v>0</v>
      </c>
      <c r="Y69" s="14">
        <f t="shared" si="13"/>
        <v>0</v>
      </c>
      <c r="Z69" s="22">
        <f t="shared" si="13"/>
        <v>0</v>
      </c>
      <c r="AA69" s="55"/>
      <c r="AB69" s="67"/>
      <c r="AC69" s="68"/>
      <c r="AD69" s="68"/>
      <c r="AE69" s="40"/>
      <c r="AF69" s="41"/>
      <c r="AG69" s="42"/>
      <c r="AH69" s="42"/>
      <c r="AI69" s="150">
        <f>(R69-J69)/J69</f>
        <v>-1</v>
      </c>
      <c r="AJ69" s="151">
        <f>S69-K69</f>
        <v>-1332960</v>
      </c>
      <c r="AK69" s="152">
        <f>T69-L69</f>
        <v>-336464</v>
      </c>
      <c r="AL69" s="153">
        <f>U69-M69</f>
        <v>0</v>
      </c>
    </row>
    <row r="70" spans="1:38" ht="12.75" customHeight="1" thickBot="1" x14ac:dyDescent="0.25">
      <c r="A70" s="12"/>
      <c r="B70" s="15"/>
      <c r="C70" s="15">
        <v>37</v>
      </c>
      <c r="D70" s="13">
        <f>Reference!B188</f>
        <v>101.7992</v>
      </c>
      <c r="E70" s="14">
        <f>Reference!C188</f>
        <v>31.3658</v>
      </c>
      <c r="F70" s="14">
        <f>Reference!D188</f>
        <v>39.237099999999998</v>
      </c>
      <c r="G70" s="14">
        <f>Reference!E188</f>
        <v>40.356299999999997</v>
      </c>
      <c r="H70" s="14">
        <f>Reference!F188</f>
        <v>5926</v>
      </c>
      <c r="I70" s="14">
        <f>Reference!G188</f>
        <v>10.319000000000001</v>
      </c>
      <c r="J70" s="17">
        <f t="shared" si="9"/>
        <v>1.6461111111111111</v>
      </c>
      <c r="K70" s="26">
        <f>Reference!H188</f>
        <v>1331504</v>
      </c>
      <c r="L70" s="27">
        <f>Reference!I188</f>
        <v>334448</v>
      </c>
      <c r="M70" s="55"/>
      <c r="N70" s="16">
        <f>Test!B188</f>
        <v>0</v>
      </c>
      <c r="O70" s="17">
        <f>Test!C188</f>
        <v>0</v>
      </c>
      <c r="P70" s="17">
        <f>Test!D188</f>
        <v>0</v>
      </c>
      <c r="Q70" s="17">
        <f>Test!E188</f>
        <v>0</v>
      </c>
      <c r="R70" s="17">
        <f>Test!F188</f>
        <v>0</v>
      </c>
      <c r="S70" s="17">
        <f>Test!G188</f>
        <v>0</v>
      </c>
      <c r="T70" s="17">
        <f t="shared" si="10"/>
        <v>0</v>
      </c>
      <c r="U70" s="26">
        <f>Test!H188</f>
        <v>0</v>
      </c>
      <c r="V70" s="27">
        <f>Test!I188</f>
        <v>0</v>
      </c>
      <c r="W70" s="14">
        <f t="shared" si="11"/>
        <v>0</v>
      </c>
      <c r="X70" s="14">
        <f t="shared" si="12"/>
        <v>0</v>
      </c>
      <c r="Y70" s="14">
        <f t="shared" si="13"/>
        <v>0</v>
      </c>
      <c r="Z70" s="22">
        <f t="shared" si="13"/>
        <v>0</v>
      </c>
      <c r="AA70" s="55"/>
      <c r="AB70" s="70"/>
      <c r="AC70" s="71"/>
      <c r="AD70" s="71"/>
      <c r="AE70" s="43"/>
      <c r="AF70" s="44"/>
      <c r="AG70" s="45"/>
      <c r="AH70" s="42"/>
      <c r="AI70" s="154">
        <f>(R70-J70)/J70</f>
        <v>-1</v>
      </c>
      <c r="AJ70" s="155">
        <f>S70-K70</f>
        <v>-1331504</v>
      </c>
      <c r="AK70" s="156">
        <f>T70-L70</f>
        <v>-334448</v>
      </c>
      <c r="AL70" s="157">
        <f>U70-M70</f>
        <v>0</v>
      </c>
    </row>
    <row r="71" spans="1:38" x14ac:dyDescent="0.2">
      <c r="A71" s="12"/>
      <c r="B71" s="9" t="s">
        <v>58</v>
      </c>
      <c r="C71" s="9">
        <v>22</v>
      </c>
      <c r="D71" s="10">
        <f>Reference!B189</f>
        <v>1085.3032000000001</v>
      </c>
      <c r="E71" s="11">
        <f>Reference!C189</f>
        <v>39.163400000000003</v>
      </c>
      <c r="F71" s="11">
        <f>Reference!D189</f>
        <v>42.724699999999999</v>
      </c>
      <c r="G71" s="11">
        <f>Reference!E189</f>
        <v>44.156300000000002</v>
      </c>
      <c r="H71" s="11">
        <f>Reference!F189</f>
        <v>24193</v>
      </c>
      <c r="I71" s="11">
        <f>Reference!G189</f>
        <v>14.231</v>
      </c>
      <c r="J71" s="11">
        <f t="shared" si="9"/>
        <v>6.7202777777777776</v>
      </c>
      <c r="K71" s="24">
        <f>Reference!H189</f>
        <v>1337276</v>
      </c>
      <c r="L71" s="25">
        <f>Reference!I189</f>
        <v>338800</v>
      </c>
      <c r="M71" s="55"/>
      <c r="N71" s="10">
        <f>Test!B189</f>
        <v>0</v>
      </c>
      <c r="O71" s="11">
        <f>Test!C189</f>
        <v>0</v>
      </c>
      <c r="P71" s="11">
        <f>Test!D189</f>
        <v>0</v>
      </c>
      <c r="Q71" s="11">
        <f>Test!E189</f>
        <v>0</v>
      </c>
      <c r="R71" s="11">
        <f>Test!F189</f>
        <v>0</v>
      </c>
      <c r="S71" s="11">
        <f>Test!G189</f>
        <v>0</v>
      </c>
      <c r="T71" s="11">
        <f t="shared" si="10"/>
        <v>0</v>
      </c>
      <c r="U71" s="24">
        <f>Test!H189</f>
        <v>0</v>
      </c>
      <c r="V71" s="25">
        <f>Test!I189</f>
        <v>0</v>
      </c>
      <c r="W71" s="14">
        <f t="shared" si="11"/>
        <v>0</v>
      </c>
      <c r="X71" s="14">
        <f t="shared" si="12"/>
        <v>0</v>
      </c>
      <c r="Y71" s="14">
        <f t="shared" si="13"/>
        <v>0</v>
      </c>
      <c r="Z71" s="22">
        <f t="shared" si="13"/>
        <v>0</v>
      </c>
      <c r="AA71" s="55"/>
      <c r="AB71" s="64" t="e">
        <f>bdrate($D71:$D74,E71:E74,$N71:$N74,O71:O74)</f>
        <v>#VALUE!</v>
      </c>
      <c r="AC71" s="65" t="e">
        <f>bdrate($D71:$D74,F71:F74,$N71:$N74,P71:P74)</f>
        <v>#VALUE!</v>
      </c>
      <c r="AD71" s="65" t="e">
        <f>bdrate($D71:$D74,G71:G74,$N71:$N74,Q71:Q74)</f>
        <v>#VALUE!</v>
      </c>
      <c r="AE71" s="46" t="e">
        <f>bdrateOld($D71:$D74,E71:E74,$N71:$N74,O71:O74)</f>
        <v>#VALUE!</v>
      </c>
      <c r="AF71" s="47" t="e">
        <f>bdrateOld($D71:$D74,F71:F74,$N71:$N74,P71:P74)</f>
        <v>#VALUE!</v>
      </c>
      <c r="AG71" s="49" t="e">
        <f>bdrateOld($D71:$D74,G71:G74,$N71:$N74,Q71:Q74)</f>
        <v>#VALUE!</v>
      </c>
      <c r="AH71" s="42" t="e">
        <f>(AB71*6+AC71+AD71)/8</f>
        <v>#VALUE!</v>
      </c>
      <c r="AI71" s="146">
        <f>(R71-J71)/J71</f>
        <v>-1</v>
      </c>
      <c r="AJ71" s="147">
        <f>S71-K71</f>
        <v>-1337276</v>
      </c>
      <c r="AK71" s="148">
        <f>T71-L71</f>
        <v>-338800</v>
      </c>
      <c r="AL71" s="149">
        <f>U71-M71</f>
        <v>0</v>
      </c>
    </row>
    <row r="72" spans="1:38" x14ac:dyDescent="0.2">
      <c r="A72" s="12"/>
      <c r="B72" s="12"/>
      <c r="C72" s="12">
        <v>27</v>
      </c>
      <c r="D72" s="13">
        <f>Reference!B190</f>
        <v>512.95360000000005</v>
      </c>
      <c r="E72" s="14">
        <f>Reference!C190</f>
        <v>36.2072</v>
      </c>
      <c r="F72" s="14">
        <f>Reference!D190</f>
        <v>40.275500000000001</v>
      </c>
      <c r="G72" s="14">
        <f>Reference!E190</f>
        <v>41.428100000000001</v>
      </c>
      <c r="H72" s="14">
        <f>Reference!F190</f>
        <v>17972</v>
      </c>
      <c r="I72" s="14">
        <f>Reference!G190</f>
        <v>12.439</v>
      </c>
      <c r="J72" s="14">
        <f t="shared" si="9"/>
        <v>4.9922222222222219</v>
      </c>
      <c r="K72" s="26">
        <f>Reference!H190</f>
        <v>1336464</v>
      </c>
      <c r="L72" s="27">
        <f>Reference!I190</f>
        <v>337996</v>
      </c>
      <c r="M72" s="55"/>
      <c r="N72" s="13">
        <f>Test!B190</f>
        <v>0</v>
      </c>
      <c r="O72" s="14">
        <f>Test!C190</f>
        <v>0</v>
      </c>
      <c r="P72" s="14">
        <f>Test!D190</f>
        <v>0</v>
      </c>
      <c r="Q72" s="14">
        <f>Test!E190</f>
        <v>0</v>
      </c>
      <c r="R72" s="14">
        <f>Test!F190</f>
        <v>0</v>
      </c>
      <c r="S72" s="14">
        <f>Test!G190</f>
        <v>0</v>
      </c>
      <c r="T72" s="14">
        <f t="shared" si="10"/>
        <v>0</v>
      </c>
      <c r="U72" s="26">
        <f>Test!H190</f>
        <v>0</v>
      </c>
      <c r="V72" s="27">
        <f>Test!I190</f>
        <v>0</v>
      </c>
      <c r="W72" s="14">
        <f t="shared" si="11"/>
        <v>0</v>
      </c>
      <c r="X72" s="14">
        <f t="shared" si="12"/>
        <v>0</v>
      </c>
      <c r="Y72" s="14">
        <f t="shared" si="13"/>
        <v>0</v>
      </c>
      <c r="Z72" s="22">
        <f t="shared" si="13"/>
        <v>0</v>
      </c>
      <c r="AA72" s="55"/>
      <c r="AB72" s="67"/>
      <c r="AC72" s="68"/>
      <c r="AD72" s="68"/>
      <c r="AE72" s="40"/>
      <c r="AF72" s="41"/>
      <c r="AG72" s="42"/>
      <c r="AH72" s="42"/>
      <c r="AI72" s="150">
        <f>(R72-J72)/J72</f>
        <v>-1</v>
      </c>
      <c r="AJ72" s="151">
        <f>S72-K72</f>
        <v>-1336464</v>
      </c>
      <c r="AK72" s="152">
        <f>T72-L72</f>
        <v>-337996</v>
      </c>
      <c r="AL72" s="153">
        <f>U72-M72</f>
        <v>0</v>
      </c>
    </row>
    <row r="73" spans="1:38" x14ac:dyDescent="0.2">
      <c r="A73" s="12"/>
      <c r="B73" s="12"/>
      <c r="C73" s="12">
        <v>32</v>
      </c>
      <c r="D73" s="13">
        <f>Reference!B191</f>
        <v>250.38319999999999</v>
      </c>
      <c r="E73" s="14">
        <f>Reference!C191</f>
        <v>33.313699999999997</v>
      </c>
      <c r="F73" s="14">
        <f>Reference!D191</f>
        <v>37.919800000000002</v>
      </c>
      <c r="G73" s="14">
        <f>Reference!E191</f>
        <v>38.765799999999999</v>
      </c>
      <c r="H73" s="14">
        <f>Reference!F191</f>
        <v>13418</v>
      </c>
      <c r="I73" s="14">
        <f>Reference!G191</f>
        <v>9.9550000000000001</v>
      </c>
      <c r="J73" s="14">
        <f t="shared" si="9"/>
        <v>3.7272222222222222</v>
      </c>
      <c r="K73" s="26">
        <f>Reference!H191</f>
        <v>1334740</v>
      </c>
      <c r="L73" s="27">
        <f>Reference!I191</f>
        <v>336760</v>
      </c>
      <c r="M73" s="55"/>
      <c r="N73" s="13">
        <f>Test!B191</f>
        <v>0</v>
      </c>
      <c r="O73" s="14">
        <f>Test!C191</f>
        <v>0</v>
      </c>
      <c r="P73" s="14">
        <f>Test!D191</f>
        <v>0</v>
      </c>
      <c r="Q73" s="14">
        <f>Test!E191</f>
        <v>0</v>
      </c>
      <c r="R73" s="14">
        <f>Test!F191</f>
        <v>0</v>
      </c>
      <c r="S73" s="14">
        <f>Test!G191</f>
        <v>0</v>
      </c>
      <c r="T73" s="14">
        <f t="shared" si="10"/>
        <v>0</v>
      </c>
      <c r="U73" s="26">
        <f>Test!H191</f>
        <v>0</v>
      </c>
      <c r="V73" s="27">
        <f>Test!I191</f>
        <v>0</v>
      </c>
      <c r="W73" s="14">
        <f t="shared" si="11"/>
        <v>0</v>
      </c>
      <c r="X73" s="14">
        <f t="shared" si="12"/>
        <v>0</v>
      </c>
      <c r="Y73" s="14">
        <f t="shared" si="13"/>
        <v>0</v>
      </c>
      <c r="Z73" s="22">
        <f t="shared" si="13"/>
        <v>0</v>
      </c>
      <c r="AA73" s="55"/>
      <c r="AB73" s="67"/>
      <c r="AC73" s="68"/>
      <c r="AD73" s="68"/>
      <c r="AE73" s="40"/>
      <c r="AF73" s="41"/>
      <c r="AG73" s="42"/>
      <c r="AH73" s="42"/>
      <c r="AI73" s="150">
        <f>(R73-J73)/J73</f>
        <v>-1</v>
      </c>
      <c r="AJ73" s="151">
        <f>S73-K73</f>
        <v>-1334740</v>
      </c>
      <c r="AK73" s="152">
        <f>T73-L73</f>
        <v>-336760</v>
      </c>
      <c r="AL73" s="153">
        <f>U73-M73</f>
        <v>0</v>
      </c>
    </row>
    <row r="74" spans="1:38" ht="12.75" customHeight="1" thickBot="1" x14ac:dyDescent="0.25">
      <c r="A74" s="12"/>
      <c r="B74" s="15"/>
      <c r="C74" s="15">
        <v>37</v>
      </c>
      <c r="D74" s="13">
        <f>Reference!B192</f>
        <v>122.324</v>
      </c>
      <c r="E74" s="14">
        <f>Reference!C192</f>
        <v>30.556999999999999</v>
      </c>
      <c r="F74" s="14">
        <f>Reference!D192</f>
        <v>35.936999999999998</v>
      </c>
      <c r="G74" s="14">
        <f>Reference!E192</f>
        <v>36.613500000000002</v>
      </c>
      <c r="H74" s="14">
        <f>Reference!F192</f>
        <v>9280</v>
      </c>
      <c r="I74" s="14">
        <f>Reference!G192</f>
        <v>8.2780000000000005</v>
      </c>
      <c r="J74" s="17">
        <f t="shared" si="9"/>
        <v>2.5777777777777779</v>
      </c>
      <c r="K74" s="26">
        <f>Reference!H192</f>
        <v>1333284</v>
      </c>
      <c r="L74" s="27">
        <f>Reference!I192</f>
        <v>335612</v>
      </c>
      <c r="M74" s="55"/>
      <c r="N74" s="16">
        <f>Test!B192</f>
        <v>0</v>
      </c>
      <c r="O74" s="17">
        <f>Test!C192</f>
        <v>0</v>
      </c>
      <c r="P74" s="17">
        <f>Test!D192</f>
        <v>0</v>
      </c>
      <c r="Q74" s="17">
        <f>Test!E192</f>
        <v>0</v>
      </c>
      <c r="R74" s="17">
        <f>Test!F192</f>
        <v>0</v>
      </c>
      <c r="S74" s="17">
        <f>Test!G192</f>
        <v>0</v>
      </c>
      <c r="T74" s="17">
        <f t="shared" si="10"/>
        <v>0</v>
      </c>
      <c r="U74" s="26">
        <f>Test!H192</f>
        <v>0</v>
      </c>
      <c r="V74" s="27">
        <f>Test!I192</f>
        <v>0</v>
      </c>
      <c r="W74" s="14">
        <f t="shared" si="11"/>
        <v>0</v>
      </c>
      <c r="X74" s="14">
        <f t="shared" si="12"/>
        <v>0</v>
      </c>
      <c r="Y74" s="14">
        <f t="shared" si="13"/>
        <v>0</v>
      </c>
      <c r="Z74" s="22">
        <f t="shared" si="13"/>
        <v>0</v>
      </c>
      <c r="AA74" s="55"/>
      <c r="AB74" s="70"/>
      <c r="AC74" s="71"/>
      <c r="AD74" s="71"/>
      <c r="AE74" s="43"/>
      <c r="AF74" s="44"/>
      <c r="AG74" s="45"/>
      <c r="AH74" s="42"/>
      <c r="AI74" s="154">
        <f>(R74-J74)/J74</f>
        <v>-1</v>
      </c>
      <c r="AJ74" s="155">
        <f>S74-K74</f>
        <v>-1333284</v>
      </c>
      <c r="AK74" s="156">
        <f>T74-L74</f>
        <v>-335612</v>
      </c>
      <c r="AL74" s="157">
        <f>U74-M74</f>
        <v>0</v>
      </c>
    </row>
    <row r="75" spans="1:38" x14ac:dyDescent="0.2">
      <c r="A75" s="12"/>
      <c r="B75" s="9" t="s">
        <v>87</v>
      </c>
      <c r="C75" s="9">
        <v>22</v>
      </c>
      <c r="D75" s="10">
        <f>Reference!B193</f>
        <v>806.99120000000005</v>
      </c>
      <c r="E75" s="11">
        <f>Reference!C193</f>
        <v>40.228099999999998</v>
      </c>
      <c r="F75" s="11">
        <f>Reference!D193</f>
        <v>42.157400000000003</v>
      </c>
      <c r="G75" s="11">
        <f>Reference!E193</f>
        <v>43.365699999999997</v>
      </c>
      <c r="H75" s="11">
        <f>Reference!F193</f>
        <v>22260</v>
      </c>
      <c r="I75" s="11">
        <f>Reference!G193</f>
        <v>10.497</v>
      </c>
      <c r="J75" s="11">
        <f t="shared" si="9"/>
        <v>6.1833333333333336</v>
      </c>
      <c r="K75" s="24">
        <f>Reference!H193</f>
        <v>1334136</v>
      </c>
      <c r="L75" s="25">
        <f>Reference!I193</f>
        <v>336460</v>
      </c>
      <c r="M75" s="55"/>
      <c r="N75" s="10">
        <f>Test!B193</f>
        <v>0</v>
      </c>
      <c r="O75" s="11">
        <f>Test!C193</f>
        <v>0</v>
      </c>
      <c r="P75" s="11">
        <f>Test!D193</f>
        <v>0</v>
      </c>
      <c r="Q75" s="11">
        <f>Test!E193</f>
        <v>0</v>
      </c>
      <c r="R75" s="11">
        <f>Test!F193</f>
        <v>0</v>
      </c>
      <c r="S75" s="11">
        <f>Test!G193</f>
        <v>0</v>
      </c>
      <c r="T75" s="11">
        <f t="shared" si="10"/>
        <v>0</v>
      </c>
      <c r="U75" s="24">
        <f>Test!H193</f>
        <v>0</v>
      </c>
      <c r="V75" s="25">
        <f>Test!I193</f>
        <v>0</v>
      </c>
      <c r="W75" s="14">
        <f t="shared" si="11"/>
        <v>0</v>
      </c>
      <c r="X75" s="14">
        <f t="shared" si="12"/>
        <v>0</v>
      </c>
      <c r="Y75" s="14">
        <f t="shared" si="13"/>
        <v>0</v>
      </c>
      <c r="Z75" s="22">
        <f t="shared" si="13"/>
        <v>0</v>
      </c>
      <c r="AA75" s="55"/>
      <c r="AB75" s="64" t="e">
        <f>bdrate($D75:$D78,E75:E78,$N75:$N78,O75:O78)</f>
        <v>#VALUE!</v>
      </c>
      <c r="AC75" s="65" t="e">
        <f>bdrate($D75:$D78,F75:F78,$N75:$N78,P75:P78)</f>
        <v>#VALUE!</v>
      </c>
      <c r="AD75" s="65" t="e">
        <f>bdrate($D75:$D78,G75:G78,$N75:$N78,Q75:Q78)</f>
        <v>#VALUE!</v>
      </c>
      <c r="AE75" s="46" t="e">
        <f>bdrateOld($D75:$D78,E75:E78,$N75:$N78,O75:O78)</f>
        <v>#VALUE!</v>
      </c>
      <c r="AF75" s="47" t="e">
        <f>bdrateOld($D75:$D78,F75:F78,$N75:$N78,P75:P78)</f>
        <v>#VALUE!</v>
      </c>
      <c r="AG75" s="49" t="e">
        <f>bdrateOld($D75:$D78,G75:G78,$N75:$N78,Q75:Q78)</f>
        <v>#VALUE!</v>
      </c>
      <c r="AH75" s="42" t="e">
        <f>(AB75*6+AC75+AD75)/8</f>
        <v>#VALUE!</v>
      </c>
      <c r="AI75" s="146">
        <f>(R75-J75)/J75</f>
        <v>-1</v>
      </c>
      <c r="AJ75" s="147">
        <f>S75-K75</f>
        <v>-1334136</v>
      </c>
      <c r="AK75" s="148">
        <f>T75-L75</f>
        <v>-336460</v>
      </c>
      <c r="AL75" s="149">
        <f>U75-M75</f>
        <v>0</v>
      </c>
    </row>
    <row r="76" spans="1:38" x14ac:dyDescent="0.2">
      <c r="A76" s="12"/>
      <c r="B76" s="12"/>
      <c r="C76" s="12">
        <v>27</v>
      </c>
      <c r="D76" s="13">
        <f>Reference!B194</f>
        <v>402.10640000000001</v>
      </c>
      <c r="E76" s="14">
        <f>Reference!C194</f>
        <v>36.685099999999998</v>
      </c>
      <c r="F76" s="14">
        <f>Reference!D194</f>
        <v>39.318899999999999</v>
      </c>
      <c r="G76" s="14">
        <f>Reference!E194</f>
        <v>40.635800000000003</v>
      </c>
      <c r="H76" s="14">
        <f>Reference!F194</f>
        <v>16975</v>
      </c>
      <c r="I76" s="14">
        <f>Reference!G194</f>
        <v>9.0120000000000005</v>
      </c>
      <c r="J76" s="14">
        <f t="shared" si="9"/>
        <v>4.7152777777777777</v>
      </c>
      <c r="K76" s="26">
        <f>Reference!H194</f>
        <v>1333460</v>
      </c>
      <c r="L76" s="27">
        <f>Reference!I194</f>
        <v>336460</v>
      </c>
      <c r="M76" s="55"/>
      <c r="N76" s="13">
        <f>Test!B194</f>
        <v>0</v>
      </c>
      <c r="O76" s="14">
        <f>Test!C194</f>
        <v>0</v>
      </c>
      <c r="P76" s="14">
        <f>Test!D194</f>
        <v>0</v>
      </c>
      <c r="Q76" s="14">
        <f>Test!E194</f>
        <v>0</v>
      </c>
      <c r="R76" s="14">
        <f>Test!F194</f>
        <v>0</v>
      </c>
      <c r="S76" s="14">
        <f>Test!G194</f>
        <v>0</v>
      </c>
      <c r="T76" s="14">
        <f t="shared" si="10"/>
        <v>0</v>
      </c>
      <c r="U76" s="26">
        <f>Test!H194</f>
        <v>0</v>
      </c>
      <c r="V76" s="27">
        <f>Test!I194</f>
        <v>0</v>
      </c>
      <c r="W76" s="14">
        <f t="shared" si="11"/>
        <v>0</v>
      </c>
      <c r="X76" s="14">
        <f t="shared" si="12"/>
        <v>0</v>
      </c>
      <c r="Y76" s="14">
        <f t="shared" si="13"/>
        <v>0</v>
      </c>
      <c r="Z76" s="22">
        <f t="shared" si="13"/>
        <v>0</v>
      </c>
      <c r="AA76" s="55"/>
      <c r="AB76" s="40"/>
      <c r="AC76" s="41"/>
      <c r="AD76" s="41"/>
      <c r="AE76" s="40"/>
      <c r="AF76" s="41"/>
      <c r="AG76" s="42"/>
      <c r="AH76" s="3"/>
      <c r="AI76" s="150">
        <f>(R76-J76)/J76</f>
        <v>-1</v>
      </c>
      <c r="AJ76" s="151">
        <f>S76-K76</f>
        <v>-1333460</v>
      </c>
      <c r="AK76" s="152">
        <f>T76-L76</f>
        <v>-336460</v>
      </c>
      <c r="AL76" s="153">
        <f>U76-M76</f>
        <v>0</v>
      </c>
    </row>
    <row r="77" spans="1:38" x14ac:dyDescent="0.2">
      <c r="A77" s="12"/>
      <c r="B77" s="12"/>
      <c r="C77" s="12">
        <v>32</v>
      </c>
      <c r="D77" s="13">
        <f>Reference!B195</f>
        <v>196.8168</v>
      </c>
      <c r="E77" s="14">
        <f>Reference!C195</f>
        <v>33.294199999999996</v>
      </c>
      <c r="F77" s="14">
        <f>Reference!D195</f>
        <v>37.118499999999997</v>
      </c>
      <c r="G77" s="14">
        <f>Reference!E195</f>
        <v>38.491799999999998</v>
      </c>
      <c r="H77" s="14">
        <f>Reference!F195</f>
        <v>12097</v>
      </c>
      <c r="I77" s="14">
        <f>Reference!G195</f>
        <v>7.2640000000000002</v>
      </c>
      <c r="J77" s="14">
        <f t="shared" si="9"/>
        <v>3.3602777777777777</v>
      </c>
      <c r="K77" s="26">
        <f>Reference!H195</f>
        <v>1332840</v>
      </c>
      <c r="L77" s="27">
        <f>Reference!I195</f>
        <v>334868</v>
      </c>
      <c r="M77" s="55"/>
      <c r="N77" s="13">
        <f>Test!B195</f>
        <v>0</v>
      </c>
      <c r="O77" s="14">
        <f>Test!C195</f>
        <v>0</v>
      </c>
      <c r="P77" s="14">
        <f>Test!D195</f>
        <v>0</v>
      </c>
      <c r="Q77" s="14">
        <f>Test!E195</f>
        <v>0</v>
      </c>
      <c r="R77" s="14">
        <f>Test!F195</f>
        <v>0</v>
      </c>
      <c r="S77" s="14">
        <f>Test!G195</f>
        <v>0</v>
      </c>
      <c r="T77" s="14">
        <f t="shared" si="10"/>
        <v>0</v>
      </c>
      <c r="U77" s="26">
        <f>Test!H195</f>
        <v>0</v>
      </c>
      <c r="V77" s="27">
        <f>Test!I195</f>
        <v>0</v>
      </c>
      <c r="W77" s="14">
        <f t="shared" si="11"/>
        <v>0</v>
      </c>
      <c r="X77" s="14">
        <f t="shared" si="12"/>
        <v>0</v>
      </c>
      <c r="Y77" s="14">
        <f t="shared" si="13"/>
        <v>0</v>
      </c>
      <c r="Z77" s="22">
        <f t="shared" si="13"/>
        <v>0</v>
      </c>
      <c r="AA77" s="55"/>
      <c r="AB77" s="40"/>
      <c r="AC77" s="41"/>
      <c r="AD77" s="41"/>
      <c r="AE77" s="40"/>
      <c r="AF77" s="41"/>
      <c r="AG77" s="42"/>
      <c r="AH77" s="3"/>
      <c r="AI77" s="150">
        <f>(R77-J77)/J77</f>
        <v>-1</v>
      </c>
      <c r="AJ77" s="151">
        <f>S77-K77</f>
        <v>-1332840</v>
      </c>
      <c r="AK77" s="152">
        <f>T77-L77</f>
        <v>-334868</v>
      </c>
      <c r="AL77" s="153">
        <f>U77-M77</f>
        <v>0</v>
      </c>
    </row>
    <row r="78" spans="1:38" ht="12.75" customHeight="1" thickBot="1" x14ac:dyDescent="0.25">
      <c r="A78" s="15"/>
      <c r="B78" s="15"/>
      <c r="C78" s="15">
        <v>37</v>
      </c>
      <c r="D78" s="13">
        <f>Reference!B196</f>
        <v>96.623199999999997</v>
      </c>
      <c r="E78" s="14">
        <f>Reference!C196</f>
        <v>30.406600000000001</v>
      </c>
      <c r="F78" s="14">
        <f>Reference!D196</f>
        <v>35.386000000000003</v>
      </c>
      <c r="G78" s="14">
        <f>Reference!E196</f>
        <v>36.529200000000003</v>
      </c>
      <c r="H78" s="14">
        <f>Reference!F196</f>
        <v>8173</v>
      </c>
      <c r="I78" s="14">
        <f>Reference!G196</f>
        <v>6.2249999999999996</v>
      </c>
      <c r="J78" s="17">
        <f t="shared" si="9"/>
        <v>2.2702777777777778</v>
      </c>
      <c r="K78" s="26">
        <f>Reference!H196</f>
        <v>1331572</v>
      </c>
      <c r="L78" s="29">
        <f>Reference!I196</f>
        <v>333928</v>
      </c>
      <c r="M78" s="55"/>
      <c r="N78" s="16">
        <f>Test!B196</f>
        <v>0</v>
      </c>
      <c r="O78" s="17">
        <f>Test!C196</f>
        <v>0</v>
      </c>
      <c r="P78" s="17">
        <f>Test!D196</f>
        <v>0</v>
      </c>
      <c r="Q78" s="17">
        <f>Test!E196</f>
        <v>0</v>
      </c>
      <c r="R78" s="17">
        <f>Test!F196</f>
        <v>0</v>
      </c>
      <c r="S78" s="17">
        <f>Test!G196</f>
        <v>0</v>
      </c>
      <c r="T78" s="17">
        <f t="shared" si="10"/>
        <v>0</v>
      </c>
      <c r="U78" s="26">
        <f>Test!H196</f>
        <v>0</v>
      </c>
      <c r="V78" s="29">
        <f>Test!I196</f>
        <v>0</v>
      </c>
      <c r="W78" s="17">
        <f t="shared" si="11"/>
        <v>0</v>
      </c>
      <c r="X78" s="17">
        <f t="shared" si="12"/>
        <v>0</v>
      </c>
      <c r="Y78" s="17">
        <f t="shared" si="13"/>
        <v>0</v>
      </c>
      <c r="Z78" s="23">
        <f t="shared" si="13"/>
        <v>0</v>
      </c>
      <c r="AA78" s="73"/>
      <c r="AB78" s="43"/>
      <c r="AC78" s="44"/>
      <c r="AD78" s="44"/>
      <c r="AE78" s="43"/>
      <c r="AF78" s="44"/>
      <c r="AG78" s="45"/>
      <c r="AH78" s="158"/>
      <c r="AI78" s="154">
        <f>(R78-J78)/J78</f>
        <v>-1</v>
      </c>
      <c r="AJ78" s="155">
        <f>S78-K78</f>
        <v>-1331572</v>
      </c>
      <c r="AK78" s="156">
        <f>T78-L78</f>
        <v>-333928</v>
      </c>
      <c r="AL78" s="157">
        <f>U78-M78</f>
        <v>0</v>
      </c>
    </row>
    <row r="79" spans="1:38" x14ac:dyDescent="0.2">
      <c r="A79" s="9" t="s">
        <v>24</v>
      </c>
      <c r="B79" s="9" t="s">
        <v>88</v>
      </c>
      <c r="C79" s="9">
        <v>22</v>
      </c>
      <c r="D79" s="10"/>
      <c r="E79" s="11"/>
      <c r="F79" s="11"/>
      <c r="G79" s="11"/>
      <c r="H79" s="11"/>
      <c r="I79" s="11"/>
      <c r="J79" s="11"/>
      <c r="K79" s="11"/>
      <c r="L79" s="25"/>
      <c r="N79" s="10"/>
      <c r="O79" s="11"/>
      <c r="P79" s="11"/>
      <c r="Q79" s="11"/>
      <c r="R79" s="11"/>
      <c r="S79" s="11"/>
      <c r="T79" s="11"/>
      <c r="U79" s="11"/>
      <c r="V79" s="25"/>
      <c r="W79" s="11"/>
      <c r="X79" s="11"/>
      <c r="Y79" s="11"/>
      <c r="Z79" s="21"/>
      <c r="AA79" s="35"/>
      <c r="AB79" s="75"/>
      <c r="AC79" s="76"/>
      <c r="AD79" s="77"/>
      <c r="AE79" s="36"/>
      <c r="AF79" s="37"/>
      <c r="AG79" s="38"/>
      <c r="AH79" s="41">
        <f>(AB79*6+AC79+AD79)/8</f>
        <v>0</v>
      </c>
      <c r="AI79" s="146" t="e">
        <f>(R79-J79)/J79</f>
        <v>#DIV/0!</v>
      </c>
      <c r="AJ79" s="147">
        <f>S79-K79</f>
        <v>0</v>
      </c>
      <c r="AK79" s="148">
        <f>T79-L79</f>
        <v>0</v>
      </c>
      <c r="AL79" s="149">
        <f>U79-M79</f>
        <v>0</v>
      </c>
    </row>
    <row r="80" spans="1:38" x14ac:dyDescent="0.2">
      <c r="A80" s="12" t="s">
        <v>115</v>
      </c>
      <c r="B80" s="12"/>
      <c r="C80" s="12">
        <v>27</v>
      </c>
      <c r="D80" s="13"/>
      <c r="E80" s="14"/>
      <c r="F80" s="14"/>
      <c r="G80" s="14"/>
      <c r="H80" s="14"/>
      <c r="I80" s="14"/>
      <c r="J80" s="14"/>
      <c r="K80" s="14"/>
      <c r="L80" s="27"/>
      <c r="N80" s="13"/>
      <c r="O80" s="14"/>
      <c r="P80" s="14"/>
      <c r="Q80" s="14"/>
      <c r="R80" s="14"/>
      <c r="S80" s="14"/>
      <c r="T80" s="14"/>
      <c r="U80" s="14"/>
      <c r="V80" s="27"/>
      <c r="W80" s="14"/>
      <c r="X80" s="14"/>
      <c r="Y80" s="14"/>
      <c r="Z80" s="22"/>
      <c r="AA80" s="39"/>
      <c r="AB80" s="78"/>
      <c r="AC80" s="79"/>
      <c r="AD80" s="80"/>
      <c r="AE80" s="40"/>
      <c r="AF80" s="41"/>
      <c r="AG80" s="42"/>
      <c r="AH80" s="41"/>
      <c r="AI80" s="150" t="e">
        <f>(R80-J80)/J80</f>
        <v>#DIV/0!</v>
      </c>
      <c r="AJ80" s="151">
        <f>S80-K80</f>
        <v>0</v>
      </c>
      <c r="AK80" s="152">
        <f>T80-L80</f>
        <v>0</v>
      </c>
      <c r="AL80" s="153">
        <f>U80-M80</f>
        <v>0</v>
      </c>
    </row>
    <row r="81" spans="1:38" x14ac:dyDescent="0.2">
      <c r="A81" s="12"/>
      <c r="B81" s="12"/>
      <c r="C81" s="12">
        <v>32</v>
      </c>
      <c r="D81" s="13"/>
      <c r="E81" s="14"/>
      <c r="F81" s="14"/>
      <c r="G81" s="14"/>
      <c r="H81" s="14"/>
      <c r="I81" s="14"/>
      <c r="J81" s="14"/>
      <c r="K81" s="14"/>
      <c r="L81" s="27"/>
      <c r="N81" s="13"/>
      <c r="O81" s="14"/>
      <c r="P81" s="14"/>
      <c r="Q81" s="14"/>
      <c r="R81" s="14"/>
      <c r="S81" s="14"/>
      <c r="T81" s="14"/>
      <c r="U81" s="14"/>
      <c r="V81" s="27"/>
      <c r="W81" s="14"/>
      <c r="X81" s="14"/>
      <c r="Y81" s="14"/>
      <c r="Z81" s="22"/>
      <c r="AA81" s="39"/>
      <c r="AB81" s="78"/>
      <c r="AC81" s="79"/>
      <c r="AD81" s="80"/>
      <c r="AE81" s="40"/>
      <c r="AF81" s="41"/>
      <c r="AG81" s="42"/>
      <c r="AH81" s="41"/>
      <c r="AI81" s="150" t="e">
        <f>(R81-J81)/J81</f>
        <v>#DIV/0!</v>
      </c>
      <c r="AJ81" s="151">
        <f>S81-K81</f>
        <v>0</v>
      </c>
      <c r="AK81" s="152">
        <f>T81-L81</f>
        <v>0</v>
      </c>
      <c r="AL81" s="153">
        <f>U81-M81</f>
        <v>0</v>
      </c>
    </row>
    <row r="82" spans="1:38" ht="12.75" customHeight="1" thickBot="1" x14ac:dyDescent="0.25">
      <c r="A82" s="12"/>
      <c r="B82" s="15"/>
      <c r="C82" s="15">
        <v>37</v>
      </c>
      <c r="D82" s="13"/>
      <c r="E82" s="14"/>
      <c r="F82" s="14"/>
      <c r="G82" s="14"/>
      <c r="H82" s="14"/>
      <c r="I82" s="14"/>
      <c r="J82" s="17"/>
      <c r="K82" s="14"/>
      <c r="L82" s="27"/>
      <c r="N82" s="16"/>
      <c r="O82" s="17"/>
      <c r="P82" s="17"/>
      <c r="Q82" s="17"/>
      <c r="R82" s="17"/>
      <c r="S82" s="17"/>
      <c r="T82" s="17"/>
      <c r="U82" s="17"/>
      <c r="V82" s="29"/>
      <c r="W82" s="14"/>
      <c r="X82" s="14"/>
      <c r="Y82" s="14"/>
      <c r="Z82" s="22"/>
      <c r="AA82" s="39"/>
      <c r="AB82" s="81"/>
      <c r="AC82" s="82"/>
      <c r="AD82" s="83"/>
      <c r="AE82" s="43"/>
      <c r="AF82" s="44"/>
      <c r="AG82" s="45"/>
      <c r="AH82" s="41"/>
      <c r="AI82" s="154" t="e">
        <f>(R82-J82)/J82</f>
        <v>#DIV/0!</v>
      </c>
      <c r="AJ82" s="155">
        <f>S82-K82</f>
        <v>0</v>
      </c>
      <c r="AK82" s="156">
        <f>T82-L82</f>
        <v>0</v>
      </c>
      <c r="AL82" s="157">
        <f>U82-M82</f>
        <v>0</v>
      </c>
    </row>
    <row r="83" spans="1:38" x14ac:dyDescent="0.2">
      <c r="A83" s="12"/>
      <c r="B83" s="9" t="s">
        <v>89</v>
      </c>
      <c r="C83" s="9">
        <v>22</v>
      </c>
      <c r="D83" s="10"/>
      <c r="E83" s="11"/>
      <c r="F83" s="11"/>
      <c r="G83" s="11"/>
      <c r="H83" s="11"/>
      <c r="I83" s="11"/>
      <c r="J83" s="11"/>
      <c r="K83" s="11"/>
      <c r="L83" s="25"/>
      <c r="N83" s="10"/>
      <c r="O83" s="11"/>
      <c r="P83" s="11"/>
      <c r="Q83" s="11"/>
      <c r="R83" s="11"/>
      <c r="S83" s="11"/>
      <c r="T83" s="11"/>
      <c r="U83" s="11"/>
      <c r="V83" s="25"/>
      <c r="W83" s="14"/>
      <c r="X83" s="14"/>
      <c r="Y83" s="14"/>
      <c r="Z83" s="22"/>
      <c r="AA83" s="39"/>
      <c r="AB83" s="75"/>
      <c r="AC83" s="76"/>
      <c r="AD83" s="76"/>
      <c r="AE83" s="46"/>
      <c r="AF83" s="47"/>
      <c r="AG83" s="49"/>
      <c r="AH83" s="41">
        <f>(AB83*6+AC83+AD83)/8</f>
        <v>0</v>
      </c>
      <c r="AI83" s="146" t="e">
        <f>(R83-J83)/J83</f>
        <v>#DIV/0!</v>
      </c>
      <c r="AJ83" s="147">
        <f>S83-K83</f>
        <v>0</v>
      </c>
      <c r="AK83" s="148">
        <f>T83-L83</f>
        <v>0</v>
      </c>
      <c r="AL83" s="149">
        <f>U83-M83</f>
        <v>0</v>
      </c>
    </row>
    <row r="84" spans="1:38" x14ac:dyDescent="0.2">
      <c r="A84" s="12"/>
      <c r="B84" s="12"/>
      <c r="C84" s="12">
        <v>27</v>
      </c>
      <c r="D84" s="13"/>
      <c r="E84" s="14"/>
      <c r="F84" s="14"/>
      <c r="G84" s="14"/>
      <c r="H84" s="14"/>
      <c r="I84" s="14"/>
      <c r="J84" s="14"/>
      <c r="K84" s="14"/>
      <c r="L84" s="27"/>
      <c r="N84" s="13"/>
      <c r="O84" s="14"/>
      <c r="P84" s="14"/>
      <c r="Q84" s="14"/>
      <c r="R84" s="14"/>
      <c r="S84" s="14"/>
      <c r="T84" s="14"/>
      <c r="U84" s="14"/>
      <c r="V84" s="27"/>
      <c r="W84" s="14"/>
      <c r="X84" s="14"/>
      <c r="Y84" s="14"/>
      <c r="Z84" s="22"/>
      <c r="AA84" s="39"/>
      <c r="AB84" s="78"/>
      <c r="AC84" s="79"/>
      <c r="AD84" s="79"/>
      <c r="AE84" s="40"/>
      <c r="AF84" s="41"/>
      <c r="AG84" s="42"/>
      <c r="AH84" s="41"/>
      <c r="AI84" s="150" t="e">
        <f>(R84-J84)/J84</f>
        <v>#DIV/0!</v>
      </c>
      <c r="AJ84" s="151">
        <f>S84-K84</f>
        <v>0</v>
      </c>
      <c r="AK84" s="152">
        <f>T84-L84</f>
        <v>0</v>
      </c>
      <c r="AL84" s="153">
        <f>U84-M84</f>
        <v>0</v>
      </c>
    </row>
    <row r="85" spans="1:38" x14ac:dyDescent="0.2">
      <c r="A85" s="12"/>
      <c r="B85" s="12"/>
      <c r="C85" s="12">
        <v>32</v>
      </c>
      <c r="D85" s="13"/>
      <c r="E85" s="14"/>
      <c r="F85" s="14"/>
      <c r="G85" s="14"/>
      <c r="H85" s="14"/>
      <c r="I85" s="14"/>
      <c r="J85" s="14"/>
      <c r="K85" s="14"/>
      <c r="L85" s="27"/>
      <c r="N85" s="13"/>
      <c r="O85" s="14"/>
      <c r="P85" s="14"/>
      <c r="Q85" s="14"/>
      <c r="R85" s="14"/>
      <c r="S85" s="14"/>
      <c r="T85" s="14"/>
      <c r="U85" s="14"/>
      <c r="V85" s="27"/>
      <c r="W85" s="14"/>
      <c r="X85" s="14"/>
      <c r="Y85" s="14"/>
      <c r="Z85" s="22"/>
      <c r="AA85" s="39"/>
      <c r="AB85" s="78"/>
      <c r="AC85" s="79"/>
      <c r="AD85" s="79"/>
      <c r="AE85" s="40"/>
      <c r="AF85" s="41"/>
      <c r="AG85" s="42"/>
      <c r="AH85" s="41"/>
      <c r="AI85" s="150" t="e">
        <f>(R85-J85)/J85</f>
        <v>#DIV/0!</v>
      </c>
      <c r="AJ85" s="151">
        <f>S85-K85</f>
        <v>0</v>
      </c>
      <c r="AK85" s="152">
        <f>T85-L85</f>
        <v>0</v>
      </c>
      <c r="AL85" s="153">
        <f>U85-M85</f>
        <v>0</v>
      </c>
    </row>
    <row r="86" spans="1:38" ht="12.75" customHeight="1" thickBot="1" x14ac:dyDescent="0.25">
      <c r="A86" s="12"/>
      <c r="B86" s="15"/>
      <c r="C86" s="15">
        <v>37</v>
      </c>
      <c r="D86" s="13"/>
      <c r="E86" s="14"/>
      <c r="F86" s="14"/>
      <c r="G86" s="14"/>
      <c r="H86" s="14"/>
      <c r="I86" s="14"/>
      <c r="J86" s="17"/>
      <c r="K86" s="14"/>
      <c r="L86" s="27"/>
      <c r="N86" s="16"/>
      <c r="O86" s="17"/>
      <c r="P86" s="17"/>
      <c r="Q86" s="17"/>
      <c r="R86" s="17"/>
      <c r="S86" s="17"/>
      <c r="T86" s="17"/>
      <c r="U86" s="17"/>
      <c r="V86" s="29"/>
      <c r="W86" s="14"/>
      <c r="X86" s="14"/>
      <c r="Y86" s="14"/>
      <c r="Z86" s="22"/>
      <c r="AA86" s="39"/>
      <c r="AB86" s="81"/>
      <c r="AC86" s="82"/>
      <c r="AD86" s="82"/>
      <c r="AE86" s="43"/>
      <c r="AF86" s="44"/>
      <c r="AG86" s="45"/>
      <c r="AH86" s="41"/>
      <c r="AI86" s="154" t="e">
        <f>(R86-J86)/J86</f>
        <v>#DIV/0!</v>
      </c>
      <c r="AJ86" s="155">
        <f>S86-K86</f>
        <v>0</v>
      </c>
      <c r="AK86" s="156">
        <f>T86-L86</f>
        <v>0</v>
      </c>
      <c r="AL86" s="157">
        <f>U86-M86</f>
        <v>0</v>
      </c>
    </row>
    <row r="87" spans="1:38" x14ac:dyDescent="0.2">
      <c r="A87" s="12"/>
      <c r="B87" s="9" t="s">
        <v>90</v>
      </c>
      <c r="C87" s="9">
        <v>22</v>
      </c>
      <c r="D87" s="10"/>
      <c r="E87" s="11"/>
      <c r="F87" s="11"/>
      <c r="G87" s="11"/>
      <c r="H87" s="11"/>
      <c r="I87" s="11"/>
      <c r="J87" s="11"/>
      <c r="K87" s="11"/>
      <c r="L87" s="25"/>
      <c r="N87" s="10"/>
      <c r="O87" s="11"/>
      <c r="P87" s="11"/>
      <c r="Q87" s="11"/>
      <c r="R87" s="11"/>
      <c r="S87" s="11"/>
      <c r="T87" s="11"/>
      <c r="U87" s="11"/>
      <c r="V87" s="25"/>
      <c r="W87" s="14"/>
      <c r="X87" s="14"/>
      <c r="Y87" s="14"/>
      <c r="Z87" s="22"/>
      <c r="AA87" s="39"/>
      <c r="AB87" s="75"/>
      <c r="AC87" s="76"/>
      <c r="AD87" s="76"/>
      <c r="AE87" s="46"/>
      <c r="AF87" s="47"/>
      <c r="AG87" s="49"/>
      <c r="AH87" s="41">
        <f>(AB87*6+AC87+AD87)/8</f>
        <v>0</v>
      </c>
      <c r="AI87" s="146" t="e">
        <f>(R87-J87)/J87</f>
        <v>#DIV/0!</v>
      </c>
      <c r="AJ87" s="147">
        <f>S87-K87</f>
        <v>0</v>
      </c>
      <c r="AK87" s="148">
        <f>T87-L87</f>
        <v>0</v>
      </c>
      <c r="AL87" s="149">
        <f>U87-M87</f>
        <v>0</v>
      </c>
    </row>
    <row r="88" spans="1:38" x14ac:dyDescent="0.2">
      <c r="A88" s="12"/>
      <c r="B88" s="12"/>
      <c r="C88" s="12">
        <v>27</v>
      </c>
      <c r="D88" s="13"/>
      <c r="E88" s="14"/>
      <c r="F88" s="14"/>
      <c r="G88" s="14"/>
      <c r="H88" s="14"/>
      <c r="I88" s="14"/>
      <c r="J88" s="14"/>
      <c r="K88" s="14"/>
      <c r="L88" s="27"/>
      <c r="N88" s="13"/>
      <c r="O88" s="14"/>
      <c r="P88" s="14"/>
      <c r="Q88" s="14"/>
      <c r="R88" s="14"/>
      <c r="S88" s="14"/>
      <c r="T88" s="14"/>
      <c r="U88" s="14"/>
      <c r="V88" s="27"/>
      <c r="W88" s="14"/>
      <c r="X88" s="14"/>
      <c r="Y88" s="14"/>
      <c r="Z88" s="22"/>
      <c r="AA88" s="39"/>
      <c r="AB88" s="78"/>
      <c r="AC88" s="79"/>
      <c r="AD88" s="79"/>
      <c r="AE88" s="40"/>
      <c r="AF88" s="41"/>
      <c r="AG88" s="42"/>
      <c r="AH88" s="41"/>
      <c r="AI88" s="150" t="e">
        <f>(R88-J88)/J88</f>
        <v>#DIV/0!</v>
      </c>
      <c r="AJ88" s="151">
        <f>S88-K88</f>
        <v>0</v>
      </c>
      <c r="AK88" s="152">
        <f>T88-L88</f>
        <v>0</v>
      </c>
      <c r="AL88" s="153">
        <f>U88-M88</f>
        <v>0</v>
      </c>
    </row>
    <row r="89" spans="1:38" x14ac:dyDescent="0.2">
      <c r="A89" s="12"/>
      <c r="B89" s="12"/>
      <c r="C89" s="12">
        <v>32</v>
      </c>
      <c r="D89" s="13"/>
      <c r="E89" s="14"/>
      <c r="F89" s="14"/>
      <c r="G89" s="14"/>
      <c r="H89" s="14"/>
      <c r="I89" s="14"/>
      <c r="J89" s="14"/>
      <c r="K89" s="14"/>
      <c r="L89" s="27"/>
      <c r="N89" s="13"/>
      <c r="O89" s="14"/>
      <c r="P89" s="14"/>
      <c r="Q89" s="14"/>
      <c r="R89" s="14"/>
      <c r="S89" s="14"/>
      <c r="T89" s="14"/>
      <c r="U89" s="14"/>
      <c r="V89" s="27"/>
      <c r="W89" s="14"/>
      <c r="X89" s="14"/>
      <c r="Y89" s="14"/>
      <c r="Z89" s="22"/>
      <c r="AA89" s="39"/>
      <c r="AB89" s="78"/>
      <c r="AC89" s="79"/>
      <c r="AD89" s="79"/>
      <c r="AE89" s="40"/>
      <c r="AF89" s="41"/>
      <c r="AG89" s="42"/>
      <c r="AH89" s="41"/>
      <c r="AI89" s="150" t="e">
        <f>(R89-J89)/J89</f>
        <v>#DIV/0!</v>
      </c>
      <c r="AJ89" s="151">
        <f>S89-K89</f>
        <v>0</v>
      </c>
      <c r="AK89" s="152">
        <f>T89-L89</f>
        <v>0</v>
      </c>
      <c r="AL89" s="153">
        <f>U89-M89</f>
        <v>0</v>
      </c>
    </row>
    <row r="90" spans="1:38" ht="12.75" customHeight="1" thickBot="1" x14ac:dyDescent="0.25">
      <c r="A90" s="15"/>
      <c r="B90" s="15"/>
      <c r="C90" s="15">
        <v>37</v>
      </c>
      <c r="D90" s="13"/>
      <c r="E90" s="14"/>
      <c r="F90" s="14"/>
      <c r="G90" s="14"/>
      <c r="H90" s="14"/>
      <c r="I90" s="14"/>
      <c r="J90" s="17"/>
      <c r="K90" s="14"/>
      <c r="L90" s="27"/>
      <c r="N90" s="16"/>
      <c r="O90" s="17"/>
      <c r="P90" s="17"/>
      <c r="Q90" s="17"/>
      <c r="R90" s="17"/>
      <c r="S90" s="17"/>
      <c r="T90" s="17"/>
      <c r="U90" s="17"/>
      <c r="V90" s="29"/>
      <c r="W90" s="14"/>
      <c r="X90" s="14"/>
      <c r="Y90" s="14"/>
      <c r="Z90" s="22"/>
      <c r="AA90" s="39"/>
      <c r="AB90" s="81"/>
      <c r="AC90" s="82"/>
      <c r="AD90" s="82"/>
      <c r="AE90" s="43"/>
      <c r="AF90" s="44"/>
      <c r="AG90" s="45"/>
      <c r="AH90" s="41"/>
      <c r="AI90" s="154" t="e">
        <f>(R90-J90)/J90</f>
        <v>#DIV/0!</v>
      </c>
      <c r="AJ90" s="155">
        <f>S90-K90</f>
        <v>0</v>
      </c>
      <c r="AK90" s="156">
        <f>T90-L90</f>
        <v>0</v>
      </c>
      <c r="AL90" s="157">
        <f>U90-M90</f>
        <v>0</v>
      </c>
    </row>
    <row r="91" spans="1:38" x14ac:dyDescent="0.2">
      <c r="A91" s="9" t="s">
        <v>28</v>
      </c>
      <c r="B91" s="9" t="s">
        <v>91</v>
      </c>
      <c r="C91" s="9">
        <v>22</v>
      </c>
      <c r="D91" s="10">
        <f>Reference!B209</f>
        <v>2399.8856000000001</v>
      </c>
      <c r="E91" s="11">
        <f>Reference!C209</f>
        <v>42.382800000000003</v>
      </c>
      <c r="F91" s="11">
        <f>Reference!D209</f>
        <v>44.5533</v>
      </c>
      <c r="G91" s="11">
        <f>Reference!E209</f>
        <v>45.470500000000001</v>
      </c>
      <c r="H91" s="11">
        <f>Reference!F209</f>
        <v>46971</v>
      </c>
      <c r="I91" s="11">
        <f>Reference!G209</f>
        <v>33.642000000000003</v>
      </c>
      <c r="J91" s="11">
        <f t="shared" ref="J91:J122" si="14">H91/3600</f>
        <v>13.047499999999999</v>
      </c>
      <c r="K91" s="24">
        <f>Reference!H209</f>
        <v>2317452</v>
      </c>
      <c r="L91" s="25">
        <f>Reference!I209</f>
        <v>431868</v>
      </c>
      <c r="N91" s="10">
        <f>Test!B209</f>
        <v>0</v>
      </c>
      <c r="O91" s="11">
        <f>Test!C209</f>
        <v>0</v>
      </c>
      <c r="P91" s="11">
        <f>Test!D209</f>
        <v>0</v>
      </c>
      <c r="Q91" s="11">
        <f>Test!E209</f>
        <v>0</v>
      </c>
      <c r="R91" s="11">
        <f>Test!F209</f>
        <v>0</v>
      </c>
      <c r="S91" s="11">
        <f>Test!G209</f>
        <v>0</v>
      </c>
      <c r="T91" s="11">
        <f t="shared" ref="T91:T122" si="15">R91/3600</f>
        <v>0</v>
      </c>
      <c r="U91" s="24">
        <f>Test!H209</f>
        <v>0</v>
      </c>
      <c r="V91" s="25">
        <f>Test!I209</f>
        <v>0</v>
      </c>
      <c r="W91" s="11">
        <f t="shared" ref="W91:W122" si="16">R91/H91</f>
        <v>0</v>
      </c>
      <c r="X91" s="11">
        <f t="shared" ref="X91:X122" si="17">S91/I91</f>
        <v>0</v>
      </c>
      <c r="Y91" s="11">
        <f>U91/K91</f>
        <v>0</v>
      </c>
      <c r="Z91" s="21">
        <f>V91/L91</f>
        <v>0</v>
      </c>
      <c r="AA91" s="35"/>
      <c r="AB91" s="36" t="e">
        <f>bdrate($D91:$D94,E91:E94,$N91:$N94,O91:O94)</f>
        <v>#VALUE!</v>
      </c>
      <c r="AC91" s="37" t="e">
        <f>bdrate($D91:$D94,F91:F94,$N91:$N94,P91:P94)</f>
        <v>#VALUE!</v>
      </c>
      <c r="AD91" s="38" t="e">
        <f>bdrate($D91:$D94,G91:G94,$N91:$N94,Q91:Q94)</f>
        <v>#VALUE!</v>
      </c>
      <c r="AE91" s="36" t="e">
        <f>bdrateOld($D91:$D94,E91:E94,$N91:$N94,O91:O94)</f>
        <v>#VALUE!</v>
      </c>
      <c r="AF91" s="37" t="e">
        <f>bdrateOld($D91:$D94,F91:F94,$N91:$N94,P91:P94)</f>
        <v>#VALUE!</v>
      </c>
      <c r="AG91" s="38" t="e">
        <f>bdrateOld($D91:$D94,G91:G94,$N91:$N94,Q91:Q94)</f>
        <v>#VALUE!</v>
      </c>
    </row>
    <row r="92" spans="1:38" x14ac:dyDescent="0.2">
      <c r="A92" s="12"/>
      <c r="C92" s="12">
        <v>27</v>
      </c>
      <c r="D92" s="13">
        <f>Reference!B210</f>
        <v>1134.452</v>
      </c>
      <c r="E92" s="14">
        <f>Reference!C210</f>
        <v>39.3626</v>
      </c>
      <c r="F92" s="14">
        <f>Reference!D210</f>
        <v>42.122799999999998</v>
      </c>
      <c r="G92" s="14">
        <f>Reference!E210</f>
        <v>42.547699999999999</v>
      </c>
      <c r="H92" s="14">
        <f>Reference!F210</f>
        <v>33939</v>
      </c>
      <c r="I92" s="14">
        <f>Reference!G210</f>
        <v>28.268999999999998</v>
      </c>
      <c r="J92" s="14">
        <f t="shared" si="14"/>
        <v>9.4275000000000002</v>
      </c>
      <c r="K92" s="26">
        <f>Reference!H210</f>
        <v>2309628</v>
      </c>
      <c r="L92" s="27">
        <f>Reference!I210</f>
        <v>424288</v>
      </c>
      <c r="N92" s="13">
        <f>Test!B210</f>
        <v>0</v>
      </c>
      <c r="O92" s="14">
        <f>Test!C210</f>
        <v>0</v>
      </c>
      <c r="P92" s="14">
        <f>Test!D210</f>
        <v>0</v>
      </c>
      <c r="Q92" s="14">
        <f>Test!E210</f>
        <v>0</v>
      </c>
      <c r="R92" s="14">
        <f>Test!F210</f>
        <v>0</v>
      </c>
      <c r="S92" s="14">
        <f>Test!G210</f>
        <v>0</v>
      </c>
      <c r="T92" s="14">
        <f t="shared" si="15"/>
        <v>0</v>
      </c>
      <c r="U92" s="26">
        <f>Test!H210</f>
        <v>0</v>
      </c>
      <c r="V92" s="27">
        <f>Test!I210</f>
        <v>0</v>
      </c>
      <c r="W92" s="14">
        <f t="shared" si="16"/>
        <v>0</v>
      </c>
      <c r="X92" s="14">
        <f t="shared" si="17"/>
        <v>0</v>
      </c>
      <c r="Y92" s="14">
        <f t="shared" ref="Y92:Z122" si="18">U92/K92</f>
        <v>0</v>
      </c>
      <c r="Z92" s="22">
        <f t="shared" si="18"/>
        <v>0</v>
      </c>
      <c r="AA92" s="39"/>
      <c r="AB92" s="40"/>
      <c r="AC92" s="41"/>
      <c r="AD92" s="42"/>
      <c r="AE92" s="40"/>
      <c r="AF92" s="41"/>
      <c r="AG92" s="42"/>
    </row>
    <row r="93" spans="1:38" x14ac:dyDescent="0.2">
      <c r="A93" s="12"/>
      <c r="B93" s="12"/>
      <c r="C93" s="12">
        <v>32</v>
      </c>
      <c r="D93" s="13">
        <f>Reference!B211</f>
        <v>578.70240000000001</v>
      </c>
      <c r="E93" s="14">
        <f>Reference!C211</f>
        <v>36.388599999999997</v>
      </c>
      <c r="F93" s="14">
        <f>Reference!D211</f>
        <v>40.081699999999998</v>
      </c>
      <c r="G93" s="14">
        <f>Reference!E211</f>
        <v>40.331600000000002</v>
      </c>
      <c r="H93" s="14">
        <f>Reference!F211</f>
        <v>25357</v>
      </c>
      <c r="I93" s="14">
        <f>Reference!G211</f>
        <v>22.916</v>
      </c>
      <c r="J93" s="14">
        <f t="shared" si="14"/>
        <v>7.0436111111111108</v>
      </c>
      <c r="K93" s="26">
        <f>Reference!H211</f>
        <v>2303368</v>
      </c>
      <c r="L93" s="27">
        <f>Reference!I211</f>
        <v>418976</v>
      </c>
      <c r="N93" s="13">
        <f>Test!B211</f>
        <v>0</v>
      </c>
      <c r="O93" s="14">
        <f>Test!C211</f>
        <v>0</v>
      </c>
      <c r="P93" s="14">
        <f>Test!D211</f>
        <v>0</v>
      </c>
      <c r="Q93" s="14">
        <f>Test!E211</f>
        <v>0</v>
      </c>
      <c r="R93" s="14">
        <f>Test!F211</f>
        <v>0</v>
      </c>
      <c r="S93" s="14">
        <f>Test!G211</f>
        <v>0</v>
      </c>
      <c r="T93" s="14">
        <f t="shared" si="15"/>
        <v>0</v>
      </c>
      <c r="U93" s="26">
        <f>Test!H211</f>
        <v>0</v>
      </c>
      <c r="V93" s="27">
        <f>Test!I211</f>
        <v>0</v>
      </c>
      <c r="W93" s="14">
        <f t="shared" si="16"/>
        <v>0</v>
      </c>
      <c r="X93" s="14">
        <f t="shared" si="17"/>
        <v>0</v>
      </c>
      <c r="Y93" s="14">
        <f t="shared" si="18"/>
        <v>0</v>
      </c>
      <c r="Z93" s="22">
        <f t="shared" si="18"/>
        <v>0</v>
      </c>
      <c r="AA93" s="39"/>
      <c r="AB93" s="40"/>
      <c r="AC93" s="41"/>
      <c r="AD93" s="42"/>
      <c r="AE93" s="40"/>
      <c r="AF93" s="41"/>
      <c r="AG93" s="42"/>
    </row>
    <row r="94" spans="1:38" ht="12.75" customHeight="1" x14ac:dyDescent="0.2">
      <c r="A94" s="12"/>
      <c r="B94" s="15"/>
      <c r="C94" s="15">
        <v>37</v>
      </c>
      <c r="D94" s="13">
        <f>Reference!B212</f>
        <v>301.71600000000001</v>
      </c>
      <c r="E94" s="14">
        <f>Reference!C212</f>
        <v>33.612099999999998</v>
      </c>
      <c r="F94" s="14">
        <f>Reference!D212</f>
        <v>38.088500000000003</v>
      </c>
      <c r="G94" s="14">
        <f>Reference!E212</f>
        <v>38.102899999999998</v>
      </c>
      <c r="H94" s="14">
        <f>Reference!F212</f>
        <v>18455</v>
      </c>
      <c r="I94" s="14">
        <f>Reference!G212</f>
        <v>20.259</v>
      </c>
      <c r="J94" s="17">
        <f t="shared" si="14"/>
        <v>5.1263888888888891</v>
      </c>
      <c r="K94" s="26">
        <f>Reference!H212</f>
        <v>2299100</v>
      </c>
      <c r="L94" s="27">
        <f>Reference!I212</f>
        <v>418072</v>
      </c>
      <c r="N94" s="16">
        <f>Test!B212</f>
        <v>0</v>
      </c>
      <c r="O94" s="17">
        <f>Test!C212</f>
        <v>0</v>
      </c>
      <c r="P94" s="17">
        <f>Test!D212</f>
        <v>0</v>
      </c>
      <c r="Q94" s="17">
        <f>Test!E212</f>
        <v>0</v>
      </c>
      <c r="R94" s="17">
        <f>Test!F212</f>
        <v>0</v>
      </c>
      <c r="S94" s="17">
        <f>Test!G212</f>
        <v>0</v>
      </c>
      <c r="T94" s="17">
        <f t="shared" si="15"/>
        <v>0</v>
      </c>
      <c r="U94" s="26">
        <f>Test!H212</f>
        <v>0</v>
      </c>
      <c r="V94" s="27">
        <f>Test!I212</f>
        <v>0</v>
      </c>
      <c r="W94" s="14">
        <f t="shared" si="16"/>
        <v>0</v>
      </c>
      <c r="X94" s="14">
        <f t="shared" si="17"/>
        <v>0</v>
      </c>
      <c r="Y94" s="14">
        <f t="shared" si="18"/>
        <v>0</v>
      </c>
      <c r="Z94" s="22">
        <f t="shared" si="18"/>
        <v>0</v>
      </c>
      <c r="AA94" s="39"/>
      <c r="AB94" s="43"/>
      <c r="AC94" s="44"/>
      <c r="AD94" s="45"/>
      <c r="AE94" s="43"/>
      <c r="AF94" s="44"/>
      <c r="AG94" s="45"/>
    </row>
    <row r="95" spans="1:38" x14ac:dyDescent="0.2">
      <c r="A95" s="12"/>
      <c r="B95" s="9" t="s">
        <v>116</v>
      </c>
      <c r="C95" s="9">
        <v>22</v>
      </c>
      <c r="D95" s="10">
        <f>Reference!B213</f>
        <v>11019.704</v>
      </c>
      <c r="E95" s="11">
        <f>Reference!C213</f>
        <v>44.230499999999999</v>
      </c>
      <c r="F95" s="11">
        <f>Reference!D213</f>
        <v>46.1434</v>
      </c>
      <c r="G95" s="11">
        <f>Reference!E213</f>
        <v>46.5154</v>
      </c>
      <c r="H95" s="11">
        <f>Reference!F213</f>
        <v>206827</v>
      </c>
      <c r="I95" s="11">
        <f>Reference!G213</f>
        <v>182.82300000000001</v>
      </c>
      <c r="J95" s="11">
        <f t="shared" si="14"/>
        <v>57.451944444444443</v>
      </c>
      <c r="K95" s="24">
        <f>Reference!H213</f>
        <v>6112528</v>
      </c>
      <c r="L95" s="25">
        <f>Reference!I213</f>
        <v>992804</v>
      </c>
      <c r="N95" s="10">
        <f>Test!B213</f>
        <v>0</v>
      </c>
      <c r="O95" s="11">
        <f>Test!C213</f>
        <v>0</v>
      </c>
      <c r="P95" s="11">
        <f>Test!D213</f>
        <v>0</v>
      </c>
      <c r="Q95" s="11">
        <f>Test!E213</f>
        <v>0</v>
      </c>
      <c r="R95" s="11">
        <f>Test!F213</f>
        <v>0</v>
      </c>
      <c r="S95" s="11">
        <f>Test!G213</f>
        <v>0</v>
      </c>
      <c r="T95" s="11">
        <f t="shared" si="15"/>
        <v>0</v>
      </c>
      <c r="U95" s="24">
        <f>Test!H213</f>
        <v>0</v>
      </c>
      <c r="V95" s="25">
        <f>Test!I213</f>
        <v>0</v>
      </c>
      <c r="W95" s="14">
        <f t="shared" si="16"/>
        <v>0</v>
      </c>
      <c r="X95" s="14">
        <f t="shared" si="17"/>
        <v>0</v>
      </c>
      <c r="Y95" s="14">
        <f t="shared" si="18"/>
        <v>0</v>
      </c>
      <c r="Z95" s="22">
        <f t="shared" si="18"/>
        <v>0</v>
      </c>
      <c r="AA95" s="39"/>
      <c r="AB95" s="36" t="e">
        <f>bdrate($D95:$D98,E95:E98,$N95:$N98,O95:O98)</f>
        <v>#VALUE!</v>
      </c>
      <c r="AC95" s="37" t="e">
        <f>bdrate($D95:$D98,F95:F98,$N95:$N98,P95:P98)</f>
        <v>#VALUE!</v>
      </c>
      <c r="AD95" s="37" t="e">
        <f>bdrate($D95:$D98,G95:G98,$N95:$N98,Q95:Q98)</f>
        <v>#VALUE!</v>
      </c>
      <c r="AE95" s="46" t="e">
        <f>bdrateOld($D95:$D98,E95:E98,$N95:$N98,O95:O98)</f>
        <v>#VALUE!</v>
      </c>
      <c r="AF95" s="47" t="e">
        <f>bdrateOld($D95:$D98,F95:F98,$N95:$N98,P95:P98)</f>
        <v>#VALUE!</v>
      </c>
      <c r="AG95" s="49" t="e">
        <f>bdrateOld($D95:$D98,G95:G98,$N95:$N98,Q95:Q98)</f>
        <v>#VALUE!</v>
      </c>
    </row>
    <row r="96" spans="1:38" x14ac:dyDescent="0.2">
      <c r="A96" s="12"/>
      <c r="B96" s="12"/>
      <c r="C96" s="12">
        <v>27</v>
      </c>
      <c r="D96" s="13">
        <f>Reference!B214</f>
        <v>4768.7272000000003</v>
      </c>
      <c r="E96" s="14">
        <f>Reference!C214</f>
        <v>40.947400000000002</v>
      </c>
      <c r="F96" s="14">
        <f>Reference!D214</f>
        <v>43.2637</v>
      </c>
      <c r="G96" s="14">
        <f>Reference!E214</f>
        <v>43.535800000000002</v>
      </c>
      <c r="H96" s="14">
        <f>Reference!F214</f>
        <v>144800</v>
      </c>
      <c r="I96" s="14">
        <f>Reference!G214</f>
        <v>147.42400000000001</v>
      </c>
      <c r="J96" s="14">
        <f t="shared" si="14"/>
        <v>40.222222222222221</v>
      </c>
      <c r="K96" s="26">
        <f>Reference!H214</f>
        <v>6083460</v>
      </c>
      <c r="L96" s="27">
        <f>Reference!I214</f>
        <v>945660</v>
      </c>
      <c r="N96" s="13">
        <f>Test!B214</f>
        <v>0</v>
      </c>
      <c r="O96" s="14">
        <f>Test!C214</f>
        <v>0</v>
      </c>
      <c r="P96" s="14">
        <f>Test!D214</f>
        <v>0</v>
      </c>
      <c r="Q96" s="14">
        <f>Test!E214</f>
        <v>0</v>
      </c>
      <c r="R96" s="14">
        <f>Test!F214</f>
        <v>0</v>
      </c>
      <c r="S96" s="14">
        <f>Test!G214</f>
        <v>0</v>
      </c>
      <c r="T96" s="14">
        <f t="shared" si="15"/>
        <v>0</v>
      </c>
      <c r="U96" s="26">
        <f>Test!H214</f>
        <v>0</v>
      </c>
      <c r="V96" s="27">
        <f>Test!I214</f>
        <v>0</v>
      </c>
      <c r="W96" s="14">
        <f t="shared" si="16"/>
        <v>0</v>
      </c>
      <c r="X96" s="14">
        <f t="shared" si="17"/>
        <v>0</v>
      </c>
      <c r="Y96" s="14">
        <f t="shared" si="18"/>
        <v>0</v>
      </c>
      <c r="Z96" s="22">
        <f t="shared" si="18"/>
        <v>0</v>
      </c>
      <c r="AA96" s="39"/>
      <c r="AB96" s="40"/>
      <c r="AC96" s="41"/>
      <c r="AD96" s="41"/>
      <c r="AE96" s="40"/>
      <c r="AF96" s="41"/>
      <c r="AG96" s="42"/>
    </row>
    <row r="97" spans="1:33" x14ac:dyDescent="0.2">
      <c r="A97" s="12"/>
      <c r="B97" s="12"/>
      <c r="C97" s="12">
        <v>32</v>
      </c>
      <c r="D97" s="13">
        <f>Reference!B215</f>
        <v>2250.6648</v>
      </c>
      <c r="E97" s="14">
        <f>Reference!C215</f>
        <v>38.090499999999999</v>
      </c>
      <c r="F97" s="14">
        <f>Reference!D215</f>
        <v>40.930199999999999</v>
      </c>
      <c r="G97" s="14">
        <f>Reference!E215</f>
        <v>41.103299999999997</v>
      </c>
      <c r="H97" s="14">
        <f>Reference!F215</f>
        <v>102271</v>
      </c>
      <c r="I97" s="14">
        <f>Reference!G215</f>
        <v>110.047</v>
      </c>
      <c r="J97" s="14">
        <f t="shared" si="14"/>
        <v>28.40861111111111</v>
      </c>
      <c r="K97" s="26">
        <f>Reference!H215</f>
        <v>6055656</v>
      </c>
      <c r="L97" s="27">
        <f>Reference!I215</f>
        <v>889528</v>
      </c>
      <c r="N97" s="13">
        <f>Test!B215</f>
        <v>0</v>
      </c>
      <c r="O97" s="14">
        <f>Test!C215</f>
        <v>0</v>
      </c>
      <c r="P97" s="14">
        <f>Test!D215</f>
        <v>0</v>
      </c>
      <c r="Q97" s="14">
        <f>Test!E215</f>
        <v>0</v>
      </c>
      <c r="R97" s="14">
        <f>Test!F215</f>
        <v>0</v>
      </c>
      <c r="S97" s="14">
        <f>Test!G215</f>
        <v>0</v>
      </c>
      <c r="T97" s="14">
        <f t="shared" si="15"/>
        <v>0</v>
      </c>
      <c r="U97" s="26">
        <f>Test!H215</f>
        <v>0</v>
      </c>
      <c r="V97" s="27">
        <f>Test!I215</f>
        <v>0</v>
      </c>
      <c r="W97" s="14">
        <f t="shared" si="16"/>
        <v>0</v>
      </c>
      <c r="X97" s="14">
        <f t="shared" si="17"/>
        <v>0</v>
      </c>
      <c r="Y97" s="14">
        <f t="shared" si="18"/>
        <v>0</v>
      </c>
      <c r="Z97" s="22">
        <f t="shared" si="18"/>
        <v>0</v>
      </c>
      <c r="AA97" s="39"/>
      <c r="AB97" s="40"/>
      <c r="AC97" s="41"/>
      <c r="AD97" s="41"/>
      <c r="AE97" s="40"/>
      <c r="AF97" s="41"/>
      <c r="AG97" s="42"/>
    </row>
    <row r="98" spans="1:33" ht="12.75" customHeight="1" x14ac:dyDescent="0.2">
      <c r="A98" s="12"/>
      <c r="B98" s="15"/>
      <c r="C98" s="15">
        <v>37</v>
      </c>
      <c r="D98" s="13">
        <f>Reference!B216</f>
        <v>1122.1880000000001</v>
      </c>
      <c r="E98" s="14">
        <f>Reference!C216</f>
        <v>35.421500000000002</v>
      </c>
      <c r="F98" s="14">
        <f>Reference!D216</f>
        <v>38.930500000000002</v>
      </c>
      <c r="G98" s="14">
        <f>Reference!E216</f>
        <v>38.969299999999997</v>
      </c>
      <c r="H98" s="14">
        <f>Reference!F216</f>
        <v>74163</v>
      </c>
      <c r="I98" s="14">
        <f>Reference!G216</f>
        <v>88.257000000000005</v>
      </c>
      <c r="J98" s="17">
        <f t="shared" si="14"/>
        <v>20.600833333333334</v>
      </c>
      <c r="K98" s="26">
        <f>Reference!H216</f>
        <v>6037212</v>
      </c>
      <c r="L98" s="27">
        <f>Reference!I216</f>
        <v>840048</v>
      </c>
      <c r="N98" s="16">
        <f>Test!B216</f>
        <v>0</v>
      </c>
      <c r="O98" s="17">
        <f>Test!C216</f>
        <v>0</v>
      </c>
      <c r="P98" s="17">
        <f>Test!D216</f>
        <v>0</v>
      </c>
      <c r="Q98" s="17">
        <f>Test!E216</f>
        <v>0</v>
      </c>
      <c r="R98" s="17">
        <f>Test!F216</f>
        <v>0</v>
      </c>
      <c r="S98" s="17">
        <f>Test!G216</f>
        <v>0</v>
      </c>
      <c r="T98" s="17">
        <f t="shared" si="15"/>
        <v>0</v>
      </c>
      <c r="U98" s="26">
        <f>Test!H216</f>
        <v>0</v>
      </c>
      <c r="V98" s="27">
        <f>Test!I216</f>
        <v>0</v>
      </c>
      <c r="W98" s="14">
        <f t="shared" si="16"/>
        <v>0</v>
      </c>
      <c r="X98" s="14">
        <f t="shared" si="17"/>
        <v>0</v>
      </c>
      <c r="Y98" s="14">
        <f t="shared" si="18"/>
        <v>0</v>
      </c>
      <c r="Z98" s="22">
        <f t="shared" si="18"/>
        <v>0</v>
      </c>
      <c r="AA98" s="39"/>
      <c r="AB98" s="43"/>
      <c r="AC98" s="44"/>
      <c r="AD98" s="44"/>
      <c r="AE98" s="43"/>
      <c r="AF98" s="44"/>
      <c r="AG98" s="45"/>
    </row>
    <row r="99" spans="1:33" x14ac:dyDescent="0.2">
      <c r="A99" s="12"/>
      <c r="B99" s="9" t="s">
        <v>93</v>
      </c>
      <c r="C99" s="9">
        <v>22</v>
      </c>
      <c r="D99" s="10">
        <f>Reference!B217</f>
        <v>582.9624</v>
      </c>
      <c r="E99" s="11">
        <f>Reference!C217</f>
        <v>52.997599999999998</v>
      </c>
      <c r="F99" s="11">
        <f>Reference!D217</f>
        <v>51.836799999999997</v>
      </c>
      <c r="G99" s="11">
        <f>Reference!E217</f>
        <v>51.899000000000001</v>
      </c>
      <c r="H99" s="11">
        <f>Reference!F217</f>
        <v>10206</v>
      </c>
      <c r="I99" s="11">
        <f>Reference!G217</f>
        <v>5.5350000000000001</v>
      </c>
      <c r="J99" s="11">
        <f t="shared" si="14"/>
        <v>2.835</v>
      </c>
      <c r="K99" s="24">
        <f>Reference!H217</f>
        <v>4186568</v>
      </c>
      <c r="L99" s="25">
        <f>Reference!I217</f>
        <v>537284</v>
      </c>
      <c r="N99" s="10">
        <f>Test!B217</f>
        <v>0</v>
      </c>
      <c r="O99" s="11">
        <f>Test!C217</f>
        <v>0</v>
      </c>
      <c r="P99" s="11">
        <f>Test!D217</f>
        <v>0</v>
      </c>
      <c r="Q99" s="11">
        <f>Test!E217</f>
        <v>0</v>
      </c>
      <c r="R99" s="11">
        <f>Test!F217</f>
        <v>0</v>
      </c>
      <c r="S99" s="11">
        <f>Test!G217</f>
        <v>0</v>
      </c>
      <c r="T99" s="11">
        <f t="shared" si="15"/>
        <v>0</v>
      </c>
      <c r="U99" s="24">
        <f>Test!H217</f>
        <v>0</v>
      </c>
      <c r="V99" s="25">
        <f>Test!I217</f>
        <v>0</v>
      </c>
      <c r="W99" s="14">
        <f t="shared" si="16"/>
        <v>0</v>
      </c>
      <c r="X99" s="14">
        <f t="shared" si="17"/>
        <v>0</v>
      </c>
      <c r="Y99" s="14">
        <f t="shared" si="18"/>
        <v>0</v>
      </c>
      <c r="Z99" s="22">
        <f t="shared" si="18"/>
        <v>0</v>
      </c>
      <c r="AA99" s="39"/>
      <c r="AB99" s="36" t="e">
        <f>bdrate($D99:$D102,E99:E102,$N99:$N102,O99:O102)</f>
        <v>#VALUE!</v>
      </c>
      <c r="AC99" s="37" t="e">
        <f>bdrate($D99:$D102,F99:F102,$N99:$N102,P99:P102)</f>
        <v>#VALUE!</v>
      </c>
      <c r="AD99" s="37" t="e">
        <f>bdrate($D99:$D102,G99:G102,$N99:$N102,Q99:Q102)</f>
        <v>#VALUE!</v>
      </c>
      <c r="AE99" s="46" t="e">
        <f>bdrateOld($D99:$D102,E99:E102,$N99:$N102,O99:O102)</f>
        <v>#VALUE!</v>
      </c>
      <c r="AF99" s="47" t="e">
        <f>bdrateOld($D99:$D102,F99:F102,$N99:$N102,P99:P102)</f>
        <v>#VALUE!</v>
      </c>
      <c r="AG99" s="49" t="e">
        <f>bdrateOld($D99:$D102,G99:G102,$N99:$N102,Q99:Q102)</f>
        <v>#VALUE!</v>
      </c>
    </row>
    <row r="100" spans="1:33" x14ac:dyDescent="0.2">
      <c r="A100" s="12"/>
      <c r="B100" s="12"/>
      <c r="C100" s="12">
        <v>27</v>
      </c>
      <c r="D100" s="13">
        <f>Reference!B218</f>
        <v>416.05360000000002</v>
      </c>
      <c r="E100" s="14">
        <f>Reference!C218</f>
        <v>49.503799999999998</v>
      </c>
      <c r="F100" s="14">
        <f>Reference!D218</f>
        <v>48.4086</v>
      </c>
      <c r="G100" s="14">
        <f>Reference!E218</f>
        <v>48.490600000000001</v>
      </c>
      <c r="H100" s="14">
        <f>Reference!F218</f>
        <v>9266</v>
      </c>
      <c r="I100" s="14">
        <f>Reference!G218</f>
        <v>5.0730000000000004</v>
      </c>
      <c r="J100" s="14">
        <f t="shared" si="14"/>
        <v>2.5738888888888889</v>
      </c>
      <c r="K100" s="26">
        <f>Reference!H218</f>
        <v>4181132</v>
      </c>
      <c r="L100" s="27">
        <f>Reference!I218</f>
        <v>529848</v>
      </c>
      <c r="N100" s="13">
        <f>Test!B218</f>
        <v>0</v>
      </c>
      <c r="O100" s="14">
        <f>Test!C218</f>
        <v>0</v>
      </c>
      <c r="P100" s="14">
        <f>Test!D218</f>
        <v>0</v>
      </c>
      <c r="Q100" s="14">
        <f>Test!E218</f>
        <v>0</v>
      </c>
      <c r="R100" s="14">
        <f>Test!F218</f>
        <v>0</v>
      </c>
      <c r="S100" s="14">
        <f>Test!G218</f>
        <v>0</v>
      </c>
      <c r="T100" s="14">
        <f t="shared" si="15"/>
        <v>0</v>
      </c>
      <c r="U100" s="26">
        <f>Test!H218</f>
        <v>0</v>
      </c>
      <c r="V100" s="27">
        <f>Test!I218</f>
        <v>0</v>
      </c>
      <c r="W100" s="14">
        <f t="shared" si="16"/>
        <v>0</v>
      </c>
      <c r="X100" s="14">
        <f t="shared" si="17"/>
        <v>0</v>
      </c>
      <c r="Y100" s="14">
        <f t="shared" si="18"/>
        <v>0</v>
      </c>
      <c r="Z100" s="22">
        <f t="shared" si="18"/>
        <v>0</v>
      </c>
      <c r="AA100" s="39"/>
      <c r="AB100" s="40"/>
      <c r="AC100" s="41"/>
      <c r="AD100" s="41"/>
      <c r="AE100" s="40"/>
      <c r="AF100" s="41"/>
      <c r="AG100" s="42"/>
    </row>
    <row r="101" spans="1:33" x14ac:dyDescent="0.2">
      <c r="A101" s="12"/>
      <c r="B101" s="12"/>
      <c r="C101" s="12">
        <v>32</v>
      </c>
      <c r="D101" s="13">
        <f>Reference!B219</f>
        <v>324.93360000000001</v>
      </c>
      <c r="E101" s="14">
        <f>Reference!C219</f>
        <v>45.4559</v>
      </c>
      <c r="F101" s="14">
        <f>Reference!D219</f>
        <v>45.946800000000003</v>
      </c>
      <c r="G101" s="14">
        <f>Reference!E219</f>
        <v>46.030200000000001</v>
      </c>
      <c r="H101" s="14">
        <f>Reference!F219</f>
        <v>8620</v>
      </c>
      <c r="I101" s="14">
        <f>Reference!G219</f>
        <v>5.0869999999999997</v>
      </c>
      <c r="J101" s="14">
        <f t="shared" si="14"/>
        <v>2.3944444444444444</v>
      </c>
      <c r="K101" s="26">
        <f>Reference!H219</f>
        <v>4176048</v>
      </c>
      <c r="L101" s="27">
        <f>Reference!I219</f>
        <v>530604</v>
      </c>
      <c r="N101" s="13">
        <f>Test!B219</f>
        <v>0</v>
      </c>
      <c r="O101" s="14">
        <f>Test!C219</f>
        <v>0</v>
      </c>
      <c r="P101" s="14">
        <f>Test!D219</f>
        <v>0</v>
      </c>
      <c r="Q101" s="14">
        <f>Test!E219</f>
        <v>0</v>
      </c>
      <c r="R101" s="14">
        <f>Test!F219</f>
        <v>0</v>
      </c>
      <c r="S101" s="14">
        <f>Test!G219</f>
        <v>0</v>
      </c>
      <c r="T101" s="14">
        <f t="shared" si="15"/>
        <v>0</v>
      </c>
      <c r="U101" s="26">
        <f>Test!H219</f>
        <v>0</v>
      </c>
      <c r="V101" s="27">
        <f>Test!I219</f>
        <v>0</v>
      </c>
      <c r="W101" s="14">
        <f t="shared" si="16"/>
        <v>0</v>
      </c>
      <c r="X101" s="14">
        <f t="shared" si="17"/>
        <v>0</v>
      </c>
      <c r="Y101" s="14">
        <f t="shared" si="18"/>
        <v>0</v>
      </c>
      <c r="Z101" s="22">
        <f t="shared" si="18"/>
        <v>0</v>
      </c>
      <c r="AA101" s="39"/>
      <c r="AB101" s="40"/>
      <c r="AC101" s="41"/>
      <c r="AD101" s="41"/>
      <c r="AE101" s="40"/>
      <c r="AF101" s="41"/>
      <c r="AG101" s="42"/>
    </row>
    <row r="102" spans="1:33" ht="12.75" customHeight="1" x14ac:dyDescent="0.2">
      <c r="A102" s="12"/>
      <c r="B102" s="15"/>
      <c r="C102" s="15">
        <v>37</v>
      </c>
      <c r="D102" s="13">
        <f>Reference!B220</f>
        <v>258.62720000000002</v>
      </c>
      <c r="E102" s="14">
        <f>Reference!C220</f>
        <v>41.522500000000001</v>
      </c>
      <c r="F102" s="14">
        <f>Reference!D220</f>
        <v>42.733400000000003</v>
      </c>
      <c r="G102" s="14">
        <f>Reference!E220</f>
        <v>43.31</v>
      </c>
      <c r="H102" s="14">
        <f>Reference!F220</f>
        <v>8115</v>
      </c>
      <c r="I102" s="14">
        <f>Reference!G220</f>
        <v>4.8529999999999998</v>
      </c>
      <c r="J102" s="17">
        <f t="shared" si="14"/>
        <v>2.2541666666666669</v>
      </c>
      <c r="K102" s="26">
        <f>Reference!H220</f>
        <v>4176680</v>
      </c>
      <c r="L102" s="27">
        <f>Reference!I220</f>
        <v>532980</v>
      </c>
      <c r="N102" s="16">
        <f>Test!B220</f>
        <v>0</v>
      </c>
      <c r="O102" s="17">
        <f>Test!C220</f>
        <v>0</v>
      </c>
      <c r="P102" s="17">
        <f>Test!D220</f>
        <v>0</v>
      </c>
      <c r="Q102" s="17">
        <f>Test!E220</f>
        <v>0</v>
      </c>
      <c r="R102" s="17">
        <f>Test!F220</f>
        <v>0</v>
      </c>
      <c r="S102" s="17">
        <f>Test!G220</f>
        <v>0</v>
      </c>
      <c r="T102" s="17">
        <f t="shared" si="15"/>
        <v>0</v>
      </c>
      <c r="U102" s="26">
        <f>Test!H220</f>
        <v>0</v>
      </c>
      <c r="V102" s="27">
        <f>Test!I220</f>
        <v>0</v>
      </c>
      <c r="W102" s="14">
        <f t="shared" si="16"/>
        <v>0</v>
      </c>
      <c r="X102" s="14">
        <f t="shared" si="17"/>
        <v>0</v>
      </c>
      <c r="Y102" s="14">
        <f t="shared" si="18"/>
        <v>0</v>
      </c>
      <c r="Z102" s="22">
        <f t="shared" si="18"/>
        <v>0</v>
      </c>
      <c r="AA102" s="39"/>
      <c r="AB102" s="43"/>
      <c r="AC102" s="44"/>
      <c r="AD102" s="44"/>
      <c r="AE102" s="43"/>
      <c r="AF102" s="44"/>
      <c r="AG102" s="45"/>
    </row>
    <row r="103" spans="1:33" x14ac:dyDescent="0.2">
      <c r="A103" s="12"/>
      <c r="B103" s="9" t="s">
        <v>94</v>
      </c>
      <c r="C103" s="9">
        <v>22</v>
      </c>
      <c r="D103" s="10">
        <f>Reference!B221</f>
        <v>383.78370000000001</v>
      </c>
      <c r="E103" s="11">
        <f>Reference!C221</f>
        <v>52.780900000000003</v>
      </c>
      <c r="F103" s="11">
        <f>Reference!D221</f>
        <v>56.479700000000001</v>
      </c>
      <c r="G103" s="11">
        <f>Reference!E221</f>
        <v>57.729599999999998</v>
      </c>
      <c r="H103" s="11">
        <f>Reference!F221</f>
        <v>23375</v>
      </c>
      <c r="I103" s="11">
        <f>Reference!G221</f>
        <v>20.021000000000001</v>
      </c>
      <c r="J103" s="11">
        <f t="shared" si="14"/>
        <v>6.4930555555555554</v>
      </c>
      <c r="K103" s="24">
        <f>Reference!H221</f>
        <v>4117780</v>
      </c>
      <c r="L103" s="25">
        <f>Reference!I221</f>
        <v>534704</v>
      </c>
      <c r="N103" s="10">
        <f>Test!B221</f>
        <v>0</v>
      </c>
      <c r="O103" s="11">
        <f>Test!C221</f>
        <v>0</v>
      </c>
      <c r="P103" s="11">
        <f>Test!D221</f>
        <v>0</v>
      </c>
      <c r="Q103" s="11">
        <f>Test!E221</f>
        <v>0</v>
      </c>
      <c r="R103" s="11">
        <f>Test!F221</f>
        <v>0</v>
      </c>
      <c r="S103" s="11">
        <f>Test!G221</f>
        <v>0</v>
      </c>
      <c r="T103" s="11">
        <f t="shared" si="15"/>
        <v>0</v>
      </c>
      <c r="U103" s="24">
        <f>Test!H221</f>
        <v>0</v>
      </c>
      <c r="V103" s="25">
        <f>Test!I221</f>
        <v>0</v>
      </c>
      <c r="W103" s="14">
        <f t="shared" si="16"/>
        <v>0</v>
      </c>
      <c r="X103" s="14">
        <f t="shared" si="17"/>
        <v>0</v>
      </c>
      <c r="Y103" s="14">
        <f t="shared" si="18"/>
        <v>0</v>
      </c>
      <c r="Z103" s="22">
        <f t="shared" si="18"/>
        <v>0</v>
      </c>
      <c r="AA103" s="39"/>
      <c r="AB103" s="36" t="e">
        <f>bdrate($D103:$D106,E103:E106,$N103:$N106,O103:O106)</f>
        <v>#VALUE!</v>
      </c>
      <c r="AC103" s="37" t="e">
        <f>bdrate($D103:$D106,F103:F106,$N103:$N106,P103:P106)</f>
        <v>#VALUE!</v>
      </c>
      <c r="AD103" s="37" t="e">
        <f>bdrate($D103:$D106,G103:G106,$N103:$N106,Q103:Q106)</f>
        <v>#VALUE!</v>
      </c>
      <c r="AE103" s="46" t="e">
        <f>bdrateOld($D103:$D106,E103:E106,$N103:$N106,O103:O106)</f>
        <v>#VALUE!</v>
      </c>
      <c r="AF103" s="47" t="e">
        <f>bdrateOld($D103:$D106,F103:F106,$N103:$N106,P103:P106)</f>
        <v>#VALUE!</v>
      </c>
      <c r="AG103" s="49" t="e">
        <f>bdrateOld($D103:$D106,G103:G106,$N103:$N106,Q103:Q106)</f>
        <v>#VALUE!</v>
      </c>
    </row>
    <row r="104" spans="1:33" x14ac:dyDescent="0.2">
      <c r="A104" s="12"/>
      <c r="B104" s="12"/>
      <c r="C104" s="12">
        <v>27</v>
      </c>
      <c r="D104" s="13">
        <f>Reference!B222</f>
        <v>204.18879999999999</v>
      </c>
      <c r="E104" s="14">
        <f>Reference!C222</f>
        <v>49.064300000000003</v>
      </c>
      <c r="F104" s="14">
        <f>Reference!D222</f>
        <v>53.271099999999997</v>
      </c>
      <c r="G104" s="14">
        <f>Reference!E222</f>
        <v>54.809199999999997</v>
      </c>
      <c r="H104" s="14">
        <f>Reference!F222</f>
        <v>20542</v>
      </c>
      <c r="I104" s="14">
        <f>Reference!G222</f>
        <v>18.608000000000001</v>
      </c>
      <c r="J104" s="14">
        <f t="shared" si="14"/>
        <v>5.7061111111111114</v>
      </c>
      <c r="K104" s="26">
        <f>Reference!H222</f>
        <v>4116020</v>
      </c>
      <c r="L104" s="27">
        <f>Reference!I222</f>
        <v>535768</v>
      </c>
      <c r="N104" s="13">
        <f>Test!B222</f>
        <v>0</v>
      </c>
      <c r="O104" s="14">
        <f>Test!C222</f>
        <v>0</v>
      </c>
      <c r="P104" s="14">
        <f>Test!D222</f>
        <v>0</v>
      </c>
      <c r="Q104" s="14">
        <f>Test!E222</f>
        <v>0</v>
      </c>
      <c r="R104" s="14">
        <f>Test!F222</f>
        <v>0</v>
      </c>
      <c r="S104" s="14">
        <f>Test!G222</f>
        <v>0</v>
      </c>
      <c r="T104" s="14">
        <f t="shared" si="15"/>
        <v>0</v>
      </c>
      <c r="U104" s="26">
        <f>Test!H222</f>
        <v>0</v>
      </c>
      <c r="V104" s="27">
        <f>Test!I222</f>
        <v>0</v>
      </c>
      <c r="W104" s="14">
        <f t="shared" si="16"/>
        <v>0</v>
      </c>
      <c r="X104" s="14">
        <f t="shared" si="17"/>
        <v>0</v>
      </c>
      <c r="Y104" s="14">
        <f t="shared" si="18"/>
        <v>0</v>
      </c>
      <c r="Z104" s="22">
        <f t="shared" si="18"/>
        <v>0</v>
      </c>
      <c r="AA104" s="39"/>
      <c r="AB104" s="40"/>
      <c r="AC104" s="41"/>
      <c r="AD104" s="41"/>
      <c r="AE104" s="40"/>
      <c r="AF104" s="41"/>
      <c r="AG104" s="42"/>
    </row>
    <row r="105" spans="1:33" x14ac:dyDescent="0.2">
      <c r="A105" s="12"/>
      <c r="B105" s="12"/>
      <c r="C105" s="12">
        <v>32</v>
      </c>
      <c r="D105" s="13">
        <f>Reference!B223</f>
        <v>117.7072</v>
      </c>
      <c r="E105" s="14">
        <f>Reference!C223</f>
        <v>45.629399999999997</v>
      </c>
      <c r="F105" s="14">
        <f>Reference!D223</f>
        <v>50.661499999999997</v>
      </c>
      <c r="G105" s="14">
        <f>Reference!E223</f>
        <v>52.434899999999999</v>
      </c>
      <c r="H105" s="14">
        <f>Reference!F223</f>
        <v>17297</v>
      </c>
      <c r="I105" s="14">
        <f>Reference!G223</f>
        <v>17.795999999999999</v>
      </c>
      <c r="J105" s="14">
        <f t="shared" si="14"/>
        <v>4.8047222222222219</v>
      </c>
      <c r="K105" s="26">
        <f>Reference!H223</f>
        <v>4112232</v>
      </c>
      <c r="L105" s="27">
        <f>Reference!I223</f>
        <v>522556</v>
      </c>
      <c r="N105" s="13">
        <f>Test!B223</f>
        <v>0</v>
      </c>
      <c r="O105" s="14">
        <f>Test!C223</f>
        <v>0</v>
      </c>
      <c r="P105" s="14">
        <f>Test!D223</f>
        <v>0</v>
      </c>
      <c r="Q105" s="14">
        <f>Test!E223</f>
        <v>0</v>
      </c>
      <c r="R105" s="14">
        <f>Test!F223</f>
        <v>0</v>
      </c>
      <c r="S105" s="14">
        <f>Test!G223</f>
        <v>0</v>
      </c>
      <c r="T105" s="14">
        <f t="shared" si="15"/>
        <v>0</v>
      </c>
      <c r="U105" s="26">
        <f>Test!H223</f>
        <v>0</v>
      </c>
      <c r="V105" s="27">
        <f>Test!I223</f>
        <v>0</v>
      </c>
      <c r="W105" s="14">
        <f t="shared" si="16"/>
        <v>0</v>
      </c>
      <c r="X105" s="14">
        <f t="shared" si="17"/>
        <v>0</v>
      </c>
      <c r="Y105" s="14">
        <f t="shared" si="18"/>
        <v>0</v>
      </c>
      <c r="Z105" s="22">
        <f t="shared" si="18"/>
        <v>0</v>
      </c>
      <c r="AA105" s="39"/>
      <c r="AB105" s="40"/>
      <c r="AC105" s="41"/>
      <c r="AD105" s="41"/>
      <c r="AE105" s="40"/>
      <c r="AF105" s="41"/>
      <c r="AG105" s="42"/>
    </row>
    <row r="106" spans="1:33" ht="12.75" customHeight="1" x14ac:dyDescent="0.2">
      <c r="A106" s="15"/>
      <c r="B106" s="15"/>
      <c r="C106" s="15">
        <v>37</v>
      </c>
      <c r="D106" s="13">
        <f>Reference!B224</f>
        <v>73.999700000000004</v>
      </c>
      <c r="E106" s="14">
        <f>Reference!C224</f>
        <v>42.336100000000002</v>
      </c>
      <c r="F106" s="14">
        <f>Reference!D224</f>
        <v>48.285299999999999</v>
      </c>
      <c r="G106" s="14">
        <f>Reference!E224</f>
        <v>50.263199999999998</v>
      </c>
      <c r="H106" s="14">
        <f>Reference!F224</f>
        <v>14204</v>
      </c>
      <c r="I106" s="14">
        <f>Reference!G224</f>
        <v>16.939</v>
      </c>
      <c r="J106" s="17">
        <f t="shared" si="14"/>
        <v>3.9455555555555555</v>
      </c>
      <c r="K106" s="26">
        <f>Reference!H224</f>
        <v>4109236</v>
      </c>
      <c r="L106" s="27">
        <f>Reference!I224</f>
        <v>520172</v>
      </c>
      <c r="N106" s="16">
        <f>Test!B224</f>
        <v>0</v>
      </c>
      <c r="O106" s="17">
        <f>Test!C224</f>
        <v>0</v>
      </c>
      <c r="P106" s="17">
        <f>Test!D224</f>
        <v>0</v>
      </c>
      <c r="Q106" s="17">
        <f>Test!E224</f>
        <v>0</v>
      </c>
      <c r="R106" s="17">
        <f>Test!F224</f>
        <v>0</v>
      </c>
      <c r="S106" s="17">
        <f>Test!G224</f>
        <v>0</v>
      </c>
      <c r="T106" s="17">
        <f t="shared" si="15"/>
        <v>0</v>
      </c>
      <c r="U106" s="26">
        <f>Test!H224</f>
        <v>0</v>
      </c>
      <c r="V106" s="27">
        <f>Test!I224</f>
        <v>0</v>
      </c>
      <c r="W106" s="17">
        <f t="shared" si="16"/>
        <v>0</v>
      </c>
      <c r="X106" s="17">
        <f t="shared" si="17"/>
        <v>0</v>
      </c>
      <c r="Y106" s="17">
        <f t="shared" si="18"/>
        <v>0</v>
      </c>
      <c r="Z106" s="23">
        <f t="shared" si="18"/>
        <v>0</v>
      </c>
      <c r="AA106" s="48"/>
      <c r="AB106" s="43"/>
      <c r="AC106" s="44"/>
      <c r="AD106" s="44"/>
      <c r="AE106" s="43"/>
      <c r="AF106" s="44"/>
      <c r="AG106" s="45"/>
    </row>
    <row r="107" spans="1:33" x14ac:dyDescent="0.2">
      <c r="A107" s="9" t="s">
        <v>29</v>
      </c>
      <c r="B107" s="9" t="s">
        <v>117</v>
      </c>
      <c r="C107" s="9">
        <v>22</v>
      </c>
      <c r="D107" s="10">
        <f>Reference!B225</f>
        <v>17899.436799999999</v>
      </c>
      <c r="E107" s="11">
        <f>Reference!C225</f>
        <v>46.085099999999997</v>
      </c>
      <c r="F107" s="11">
        <f>Reference!D225</f>
        <v>45.185499999999998</v>
      </c>
      <c r="G107" s="11">
        <f>Reference!E225</f>
        <v>45.349699999999999</v>
      </c>
      <c r="H107" s="11">
        <f>Reference!F225</f>
        <v>140544</v>
      </c>
      <c r="I107" s="11">
        <f>Reference!G225</f>
        <v>86.066999999999993</v>
      </c>
      <c r="J107" s="11">
        <f t="shared" si="14"/>
        <v>39.04</v>
      </c>
      <c r="K107" s="24">
        <f>Reference!H225</f>
        <v>7609368</v>
      </c>
      <c r="L107" s="25">
        <f>Reference!I225</f>
        <v>894816</v>
      </c>
      <c r="N107" s="10">
        <f>Test!B225</f>
        <v>0</v>
      </c>
      <c r="O107" s="11">
        <f>Test!C225</f>
        <v>0</v>
      </c>
      <c r="P107" s="11">
        <f>Test!D225</f>
        <v>0</v>
      </c>
      <c r="Q107" s="11">
        <f>Test!E225</f>
        <v>0</v>
      </c>
      <c r="R107" s="11">
        <f>Test!F225</f>
        <v>0</v>
      </c>
      <c r="S107" s="11">
        <f>Test!G225</f>
        <v>0</v>
      </c>
      <c r="T107" s="11">
        <f t="shared" si="15"/>
        <v>0</v>
      </c>
      <c r="U107" s="24">
        <f>Test!H225</f>
        <v>0</v>
      </c>
      <c r="V107" s="25">
        <f>Test!I225</f>
        <v>0</v>
      </c>
      <c r="W107" s="11">
        <f t="shared" si="16"/>
        <v>0</v>
      </c>
      <c r="X107" s="11">
        <f t="shared" si="17"/>
        <v>0</v>
      </c>
      <c r="Y107" s="11">
        <f t="shared" si="18"/>
        <v>0</v>
      </c>
      <c r="Z107" s="21">
        <f t="shared" si="18"/>
        <v>0</v>
      </c>
      <c r="AA107" s="35"/>
      <c r="AB107" s="36" t="e">
        <f>bdrate($D107:$D110,E107:E110,$N107:$N110,O107:O110)</f>
        <v>#VALUE!</v>
      </c>
      <c r="AC107" s="37" t="e">
        <f>bdrate($D107:$D110,F107:F110,$N107:$N110,P107:P110)</f>
        <v>#VALUE!</v>
      </c>
      <c r="AD107" s="38" t="e">
        <f>bdrate($D107:$D110,G107:G110,$N107:$N110,Q107:Q110)</f>
        <v>#VALUE!</v>
      </c>
      <c r="AE107" s="36" t="e">
        <f>bdrateOld($D107:$D110,E107:E110,$N107:$N110,O107:O110)</f>
        <v>#VALUE!</v>
      </c>
      <c r="AF107" s="37" t="e">
        <f>bdrateOld($D107:$D110,F107:F110,$N107:$N110,P107:P110)</f>
        <v>#VALUE!</v>
      </c>
      <c r="AG107" s="38" t="e">
        <f>bdrateOld($D107:$D110,G107:G110,$N107:$N110,Q107:Q110)</f>
        <v>#VALUE!</v>
      </c>
    </row>
    <row r="108" spans="1:33" x14ac:dyDescent="0.2">
      <c r="A108" s="12"/>
      <c r="C108" s="12">
        <v>27</v>
      </c>
      <c r="D108" s="13">
        <f>Reference!B226</f>
        <v>9682.1183999999994</v>
      </c>
      <c r="E108" s="14">
        <f>Reference!C226</f>
        <v>41.091099999999997</v>
      </c>
      <c r="F108" s="14">
        <f>Reference!D226</f>
        <v>41.505899999999997</v>
      </c>
      <c r="G108" s="14">
        <f>Reference!E226</f>
        <v>41.8386</v>
      </c>
      <c r="H108" s="14">
        <f>Reference!F226</f>
        <v>120789</v>
      </c>
      <c r="I108" s="14">
        <f>Reference!G226</f>
        <v>94.192999999999998</v>
      </c>
      <c r="J108" s="14">
        <f t="shared" si="14"/>
        <v>33.552500000000002</v>
      </c>
      <c r="K108" s="26">
        <f>Reference!H226</f>
        <v>7605992</v>
      </c>
      <c r="L108" s="27">
        <f>Reference!I226</f>
        <v>871656</v>
      </c>
      <c r="N108" s="13">
        <f>Test!B226</f>
        <v>0</v>
      </c>
      <c r="O108" s="14">
        <f>Test!C226</f>
        <v>0</v>
      </c>
      <c r="P108" s="14">
        <f>Test!D226</f>
        <v>0</v>
      </c>
      <c r="Q108" s="14">
        <f>Test!E226</f>
        <v>0</v>
      </c>
      <c r="R108" s="14">
        <f>Test!F226</f>
        <v>0</v>
      </c>
      <c r="S108" s="14">
        <f>Test!G226</f>
        <v>0</v>
      </c>
      <c r="T108" s="14">
        <f t="shared" si="15"/>
        <v>0</v>
      </c>
      <c r="U108" s="26">
        <f>Test!H226</f>
        <v>0</v>
      </c>
      <c r="V108" s="27">
        <f>Test!I226</f>
        <v>0</v>
      </c>
      <c r="W108" s="14">
        <f t="shared" si="16"/>
        <v>0</v>
      </c>
      <c r="X108" s="14">
        <f t="shared" si="17"/>
        <v>0</v>
      </c>
      <c r="Y108" s="14">
        <f t="shared" si="18"/>
        <v>0</v>
      </c>
      <c r="Z108" s="22">
        <f t="shared" si="18"/>
        <v>0</v>
      </c>
      <c r="AA108" s="39"/>
      <c r="AB108" s="40"/>
      <c r="AC108" s="41"/>
      <c r="AD108" s="42"/>
      <c r="AE108" s="40"/>
      <c r="AF108" s="41"/>
      <c r="AG108" s="42"/>
    </row>
    <row r="109" spans="1:33" x14ac:dyDescent="0.2">
      <c r="A109" s="12"/>
      <c r="B109" s="12"/>
      <c r="C109" s="12">
        <v>32</v>
      </c>
      <c r="D109" s="13">
        <f>Reference!B227</f>
        <v>5871.5439999999999</v>
      </c>
      <c r="E109" s="14">
        <f>Reference!C227</f>
        <v>37.122500000000002</v>
      </c>
      <c r="F109" s="14">
        <f>Reference!D227</f>
        <v>39.0548</v>
      </c>
      <c r="G109" s="14">
        <f>Reference!E227</f>
        <v>39.551600000000001</v>
      </c>
      <c r="H109" s="14">
        <f>Reference!F227</f>
        <v>100824</v>
      </c>
      <c r="I109" s="14">
        <f>Reference!G227</f>
        <v>94.728999999999999</v>
      </c>
      <c r="J109" s="14">
        <f t="shared" si="14"/>
        <v>28.006666666666668</v>
      </c>
      <c r="K109" s="26">
        <f>Reference!H227</f>
        <v>7595380</v>
      </c>
      <c r="L109" s="27">
        <f>Reference!I227</f>
        <v>860836</v>
      </c>
      <c r="N109" s="13">
        <f>Test!B227</f>
        <v>0</v>
      </c>
      <c r="O109" s="14">
        <f>Test!C227</f>
        <v>0</v>
      </c>
      <c r="P109" s="14">
        <f>Test!D227</f>
        <v>0</v>
      </c>
      <c r="Q109" s="14">
        <f>Test!E227</f>
        <v>0</v>
      </c>
      <c r="R109" s="14">
        <f>Test!F227</f>
        <v>0</v>
      </c>
      <c r="S109" s="14">
        <f>Test!G227</f>
        <v>0</v>
      </c>
      <c r="T109" s="14">
        <f t="shared" si="15"/>
        <v>0</v>
      </c>
      <c r="U109" s="26">
        <f>Test!H227</f>
        <v>0</v>
      </c>
      <c r="V109" s="27">
        <f>Test!I227</f>
        <v>0</v>
      </c>
      <c r="W109" s="14">
        <f t="shared" si="16"/>
        <v>0</v>
      </c>
      <c r="X109" s="14">
        <f t="shared" si="17"/>
        <v>0</v>
      </c>
      <c r="Y109" s="14">
        <f t="shared" si="18"/>
        <v>0</v>
      </c>
      <c r="Z109" s="22">
        <f t="shared" si="18"/>
        <v>0</v>
      </c>
      <c r="AA109" s="39"/>
      <c r="AB109" s="40"/>
      <c r="AC109" s="41"/>
      <c r="AD109" s="42"/>
      <c r="AE109" s="40"/>
      <c r="AF109" s="41"/>
      <c r="AG109" s="42"/>
    </row>
    <row r="110" spans="1:33" x14ac:dyDescent="0.2">
      <c r="A110" s="12"/>
      <c r="B110" s="15"/>
      <c r="C110" s="15">
        <v>37</v>
      </c>
      <c r="D110" s="13">
        <f>Reference!B228</f>
        <v>3401.4976000000001</v>
      </c>
      <c r="E110" s="14">
        <f>Reference!C228</f>
        <v>33.2712</v>
      </c>
      <c r="F110" s="14">
        <f>Reference!D228</f>
        <v>36.104799999999997</v>
      </c>
      <c r="G110" s="14">
        <f>Reference!E228</f>
        <v>36.752099999999999</v>
      </c>
      <c r="H110" s="14">
        <f>Reference!F228</f>
        <v>77070</v>
      </c>
      <c r="I110" s="14">
        <f>Reference!G228</f>
        <v>92.912999999999997</v>
      </c>
      <c r="J110" s="17">
        <f t="shared" si="14"/>
        <v>21.408333333333335</v>
      </c>
      <c r="K110" s="26">
        <f>Reference!H228</f>
        <v>7591476</v>
      </c>
      <c r="L110" s="27">
        <f>Reference!I228</f>
        <v>834052</v>
      </c>
      <c r="N110" s="16">
        <f>Test!B228</f>
        <v>0</v>
      </c>
      <c r="O110" s="17">
        <f>Test!C228</f>
        <v>0</v>
      </c>
      <c r="P110" s="17">
        <f>Test!D228</f>
        <v>0</v>
      </c>
      <c r="Q110" s="17">
        <f>Test!E228</f>
        <v>0</v>
      </c>
      <c r="R110" s="17">
        <f>Test!F228</f>
        <v>0</v>
      </c>
      <c r="S110" s="17">
        <f>Test!G228</f>
        <v>0</v>
      </c>
      <c r="T110" s="17">
        <f t="shared" si="15"/>
        <v>0</v>
      </c>
      <c r="U110" s="26">
        <f>Test!H228</f>
        <v>0</v>
      </c>
      <c r="V110" s="27">
        <f>Test!I228</f>
        <v>0</v>
      </c>
      <c r="W110" s="14">
        <f t="shared" si="16"/>
        <v>0</v>
      </c>
      <c r="X110" s="14">
        <f t="shared" si="17"/>
        <v>0</v>
      </c>
      <c r="Y110" s="14">
        <f t="shared" si="18"/>
        <v>0</v>
      </c>
      <c r="Z110" s="22">
        <f t="shared" si="18"/>
        <v>0</v>
      </c>
      <c r="AA110" s="39"/>
      <c r="AB110" s="43"/>
      <c r="AC110" s="44"/>
      <c r="AD110" s="45"/>
      <c r="AE110" s="43"/>
      <c r="AF110" s="44"/>
      <c r="AG110" s="45"/>
    </row>
    <row r="111" spans="1:33" x14ac:dyDescent="0.2">
      <c r="A111" s="12"/>
      <c r="B111" s="9" t="s">
        <v>118</v>
      </c>
      <c r="C111" s="9">
        <v>22</v>
      </c>
      <c r="D111" s="10">
        <f>Reference!B229</f>
        <v>1244.3879999999999</v>
      </c>
      <c r="E111" s="11">
        <f>Reference!C229</f>
        <v>57.405900000000003</v>
      </c>
      <c r="F111" s="11">
        <f>Reference!D229</f>
        <v>52.0259</v>
      </c>
      <c r="G111" s="11">
        <f>Reference!E229</f>
        <v>52.071199999999997</v>
      </c>
      <c r="H111" s="11">
        <f>Reference!F229</f>
        <v>60012</v>
      </c>
      <c r="I111" s="11">
        <f>Reference!G229</f>
        <v>68.578999999999994</v>
      </c>
      <c r="J111" s="11">
        <f t="shared" si="14"/>
        <v>16.670000000000002</v>
      </c>
      <c r="K111" s="24">
        <f>Reference!H229</f>
        <v>7530300</v>
      </c>
      <c r="L111" s="25">
        <f>Reference!I229</f>
        <v>863292</v>
      </c>
      <c r="N111" s="10">
        <f>Test!B229</f>
        <v>0</v>
      </c>
      <c r="O111" s="11">
        <f>Test!C229</f>
        <v>0</v>
      </c>
      <c r="P111" s="11">
        <f>Test!D229</f>
        <v>0</v>
      </c>
      <c r="Q111" s="11">
        <f>Test!E229</f>
        <v>0</v>
      </c>
      <c r="R111" s="11">
        <f>Test!F229</f>
        <v>0</v>
      </c>
      <c r="S111" s="11">
        <f>Test!G229</f>
        <v>0</v>
      </c>
      <c r="T111" s="11">
        <f t="shared" si="15"/>
        <v>0</v>
      </c>
      <c r="U111" s="24">
        <f>Test!H229</f>
        <v>0</v>
      </c>
      <c r="V111" s="25">
        <f>Test!I229</f>
        <v>0</v>
      </c>
      <c r="W111" s="14">
        <f t="shared" si="16"/>
        <v>0</v>
      </c>
      <c r="X111" s="14">
        <f t="shared" si="17"/>
        <v>0</v>
      </c>
      <c r="Y111" s="14">
        <f t="shared" si="18"/>
        <v>0</v>
      </c>
      <c r="Z111" s="22">
        <f t="shared" si="18"/>
        <v>0</v>
      </c>
      <c r="AA111" s="39"/>
      <c r="AB111" s="36" t="e">
        <f>bdrate($D111:$D114,E111:E114,$N111:$N114,O111:O114)</f>
        <v>#VALUE!</v>
      </c>
      <c r="AC111" s="37" t="e">
        <f>bdrate($D111:$D114,F111:F114,$N111:$N114,P111:P114)</f>
        <v>#VALUE!</v>
      </c>
      <c r="AD111" s="37" t="e">
        <f>bdrate($D111:$D114,G111:G114,$N111:$N114,Q111:Q114)</f>
        <v>#VALUE!</v>
      </c>
      <c r="AE111" s="46" t="e">
        <f>bdrateOld($D111:$D114,E111:E114,$N111:$N114,O111:O114)</f>
        <v>#VALUE!</v>
      </c>
      <c r="AF111" s="47" t="e">
        <f>bdrateOld($D111:$D114,F111:F114,$N111:$N114,P111:P114)</f>
        <v>#VALUE!</v>
      </c>
      <c r="AG111" s="49" t="e">
        <f>bdrateOld($D111:$D114,G111:G114,$N111:$N114,Q111:Q114)</f>
        <v>#VALUE!</v>
      </c>
    </row>
    <row r="112" spans="1:33" x14ac:dyDescent="0.2">
      <c r="A112" s="12"/>
      <c r="B112" s="12"/>
      <c r="C112" s="12">
        <v>27</v>
      </c>
      <c r="D112" s="13">
        <f>Reference!B230</f>
        <v>944.17759999999998</v>
      </c>
      <c r="E112" s="14">
        <f>Reference!C230</f>
        <v>52.1036</v>
      </c>
      <c r="F112" s="14">
        <f>Reference!D230</f>
        <v>48.450499999999998</v>
      </c>
      <c r="G112" s="14">
        <f>Reference!E230</f>
        <v>48.403500000000001</v>
      </c>
      <c r="H112" s="14">
        <f>Reference!F230</f>
        <v>61164</v>
      </c>
      <c r="I112" s="14">
        <f>Reference!G230</f>
        <v>45.982999999999997</v>
      </c>
      <c r="J112" s="14">
        <f t="shared" si="14"/>
        <v>16.989999999999998</v>
      </c>
      <c r="K112" s="26">
        <f>Reference!H230</f>
        <v>7515964</v>
      </c>
      <c r="L112" s="27">
        <f>Reference!I230</f>
        <v>840340</v>
      </c>
      <c r="N112" s="13">
        <f>Test!B230</f>
        <v>0</v>
      </c>
      <c r="O112" s="14">
        <f>Test!C230</f>
        <v>0</v>
      </c>
      <c r="P112" s="14">
        <f>Test!D230</f>
        <v>0</v>
      </c>
      <c r="Q112" s="14">
        <f>Test!E230</f>
        <v>0</v>
      </c>
      <c r="R112" s="14">
        <f>Test!F230</f>
        <v>0</v>
      </c>
      <c r="S112" s="14">
        <f>Test!G230</f>
        <v>0</v>
      </c>
      <c r="T112" s="14">
        <f t="shared" si="15"/>
        <v>0</v>
      </c>
      <c r="U112" s="26">
        <f>Test!H230</f>
        <v>0</v>
      </c>
      <c r="V112" s="27">
        <f>Test!I230</f>
        <v>0</v>
      </c>
      <c r="W112" s="14">
        <f t="shared" si="16"/>
        <v>0</v>
      </c>
      <c r="X112" s="14">
        <f t="shared" si="17"/>
        <v>0</v>
      </c>
      <c r="Y112" s="14">
        <f t="shared" si="18"/>
        <v>0</v>
      </c>
      <c r="Z112" s="22">
        <f t="shared" si="18"/>
        <v>0</v>
      </c>
      <c r="AA112" s="39"/>
      <c r="AB112" s="40"/>
      <c r="AC112" s="41"/>
      <c r="AD112" s="41"/>
      <c r="AE112" s="40"/>
      <c r="AF112" s="41"/>
      <c r="AG112" s="42"/>
    </row>
    <row r="113" spans="1:34" ht="12.75" customHeight="1" x14ac:dyDescent="0.2">
      <c r="A113" s="12"/>
      <c r="B113" s="12"/>
      <c r="C113" s="12">
        <v>32</v>
      </c>
      <c r="D113" s="13">
        <f>Reference!B231</f>
        <v>801.99120000000005</v>
      </c>
      <c r="E113" s="14">
        <f>Reference!C231</f>
        <v>47.5319</v>
      </c>
      <c r="F113" s="14">
        <f>Reference!D231</f>
        <v>45.648400000000002</v>
      </c>
      <c r="G113" s="14">
        <f>Reference!E231</f>
        <v>45.482999999999997</v>
      </c>
      <c r="H113" s="14">
        <f>Reference!F231</f>
        <v>57011</v>
      </c>
      <c r="I113" s="14">
        <f>Reference!G231</f>
        <v>53.978000000000002</v>
      </c>
      <c r="J113" s="14">
        <f t="shared" si="14"/>
        <v>15.836388888888889</v>
      </c>
      <c r="K113" s="26">
        <f>Reference!H231</f>
        <v>7514824</v>
      </c>
      <c r="L113" s="27">
        <f>Reference!I231</f>
        <v>829004</v>
      </c>
      <c r="N113" s="13">
        <f>Test!B231</f>
        <v>0</v>
      </c>
      <c r="O113" s="14">
        <f>Test!C231</f>
        <v>0</v>
      </c>
      <c r="P113" s="14">
        <f>Test!D231</f>
        <v>0</v>
      </c>
      <c r="Q113" s="14">
        <f>Test!E231</f>
        <v>0</v>
      </c>
      <c r="R113" s="14">
        <f>Test!F231</f>
        <v>0</v>
      </c>
      <c r="S113" s="14">
        <f>Test!G231</f>
        <v>0</v>
      </c>
      <c r="T113" s="14">
        <f t="shared" si="15"/>
        <v>0</v>
      </c>
      <c r="U113" s="26">
        <f>Test!H231</f>
        <v>0</v>
      </c>
      <c r="V113" s="27">
        <f>Test!I231</f>
        <v>0</v>
      </c>
      <c r="W113" s="14">
        <f t="shared" si="16"/>
        <v>0</v>
      </c>
      <c r="X113" s="14">
        <f t="shared" si="17"/>
        <v>0</v>
      </c>
      <c r="Y113" s="14">
        <f t="shared" si="18"/>
        <v>0</v>
      </c>
      <c r="Z113" s="22">
        <f t="shared" si="18"/>
        <v>0</v>
      </c>
      <c r="AA113" s="39"/>
      <c r="AB113" s="40"/>
      <c r="AC113" s="41"/>
      <c r="AD113" s="41"/>
      <c r="AE113" s="40"/>
      <c r="AF113" s="41"/>
      <c r="AG113" s="42"/>
    </row>
    <row r="114" spans="1:34" ht="12.75" customHeight="1" x14ac:dyDescent="0.2">
      <c r="A114" s="12"/>
      <c r="B114" s="15"/>
      <c r="C114" s="15">
        <v>37</v>
      </c>
      <c r="D114" s="13">
        <f>Reference!B232</f>
        <v>690.45839999999998</v>
      </c>
      <c r="E114" s="14">
        <f>Reference!C232</f>
        <v>42.104599999999998</v>
      </c>
      <c r="F114" s="14">
        <f>Reference!D232</f>
        <v>42.391199999999998</v>
      </c>
      <c r="G114" s="14">
        <f>Reference!E232</f>
        <v>42.249400000000001</v>
      </c>
      <c r="H114" s="14">
        <f>Reference!F232</f>
        <v>53582</v>
      </c>
      <c r="I114" s="14">
        <f>Reference!G232</f>
        <v>58.095999999999997</v>
      </c>
      <c r="J114" s="17">
        <f t="shared" si="14"/>
        <v>14.883888888888889</v>
      </c>
      <c r="K114" s="26">
        <f>Reference!H232</f>
        <v>7509292</v>
      </c>
      <c r="L114" s="27">
        <f>Reference!I232</f>
        <v>795484</v>
      </c>
      <c r="N114" s="16">
        <f>Test!B232</f>
        <v>0</v>
      </c>
      <c r="O114" s="17">
        <f>Test!C232</f>
        <v>0</v>
      </c>
      <c r="P114" s="17">
        <f>Test!D232</f>
        <v>0</v>
      </c>
      <c r="Q114" s="17">
        <f>Test!E232</f>
        <v>0</v>
      </c>
      <c r="R114" s="17">
        <f>Test!F232</f>
        <v>0</v>
      </c>
      <c r="S114" s="17">
        <f>Test!G232</f>
        <v>0</v>
      </c>
      <c r="T114" s="17">
        <f t="shared" si="15"/>
        <v>0</v>
      </c>
      <c r="U114" s="26">
        <f>Test!H232</f>
        <v>0</v>
      </c>
      <c r="V114" s="27">
        <f>Test!I232</f>
        <v>0</v>
      </c>
      <c r="W114" s="14">
        <f t="shared" si="16"/>
        <v>0</v>
      </c>
      <c r="X114" s="14">
        <f t="shared" si="17"/>
        <v>0</v>
      </c>
      <c r="Y114" s="14">
        <f t="shared" si="18"/>
        <v>0</v>
      </c>
      <c r="Z114" s="22">
        <f t="shared" si="18"/>
        <v>0</v>
      </c>
      <c r="AA114" s="39"/>
      <c r="AB114" s="43"/>
      <c r="AC114" s="44"/>
      <c r="AD114" s="44"/>
      <c r="AE114" s="43"/>
      <c r="AF114" s="44"/>
      <c r="AG114" s="45"/>
    </row>
    <row r="115" spans="1:34" x14ac:dyDescent="0.2">
      <c r="A115" s="12"/>
      <c r="B115" s="9" t="s">
        <v>119</v>
      </c>
      <c r="C115" s="9">
        <v>22</v>
      </c>
      <c r="D115" s="10">
        <f>Reference!B233</f>
        <v>3018.2384000000002</v>
      </c>
      <c r="E115" s="11">
        <f>Reference!C233</f>
        <v>55.562100000000001</v>
      </c>
      <c r="F115" s="11">
        <f>Reference!D233</f>
        <v>53.351700000000001</v>
      </c>
      <c r="G115" s="11">
        <f>Reference!E233</f>
        <v>52.0916</v>
      </c>
      <c r="H115" s="11">
        <f>Reference!F233</f>
        <v>103335</v>
      </c>
      <c r="I115" s="11">
        <f>Reference!G233</f>
        <v>91.683000000000007</v>
      </c>
      <c r="J115" s="11">
        <f t="shared" si="14"/>
        <v>28.704166666666666</v>
      </c>
      <c r="K115" s="24">
        <f>Reference!H233</f>
        <v>7428632</v>
      </c>
      <c r="L115" s="25">
        <f>Reference!I233</f>
        <v>874620</v>
      </c>
      <c r="N115" s="10">
        <f>Test!B233</f>
        <v>0</v>
      </c>
      <c r="O115" s="11">
        <f>Test!C233</f>
        <v>0</v>
      </c>
      <c r="P115" s="11">
        <f>Test!D233</f>
        <v>0</v>
      </c>
      <c r="Q115" s="11">
        <f>Test!E233</f>
        <v>0</v>
      </c>
      <c r="R115" s="11">
        <f>Test!F233</f>
        <v>0</v>
      </c>
      <c r="S115" s="11">
        <f>Test!G233</f>
        <v>0</v>
      </c>
      <c r="T115" s="11">
        <f t="shared" si="15"/>
        <v>0</v>
      </c>
      <c r="U115" s="24">
        <f>Test!H233</f>
        <v>0</v>
      </c>
      <c r="V115" s="25">
        <f>Test!I233</f>
        <v>0</v>
      </c>
      <c r="W115" s="14">
        <f t="shared" si="16"/>
        <v>0</v>
      </c>
      <c r="X115" s="14">
        <f t="shared" si="17"/>
        <v>0</v>
      </c>
      <c r="Y115" s="14">
        <f t="shared" si="18"/>
        <v>0</v>
      </c>
      <c r="Z115" s="22">
        <f t="shared" si="18"/>
        <v>0</v>
      </c>
      <c r="AA115" s="39"/>
      <c r="AB115" s="36" t="e">
        <f>bdrate($D115:$D118,E115:E118,$N115:$N118,O115:O118)</f>
        <v>#VALUE!</v>
      </c>
      <c r="AC115" s="37" t="e">
        <f>bdrate($D115:$D118,F115:F118,$N115:$N118,P115:P118)</f>
        <v>#VALUE!</v>
      </c>
      <c r="AD115" s="37" t="e">
        <f>bdrate($D115:$D118,G115:G118,$N115:$N118,Q115:Q118)</f>
        <v>#VALUE!</v>
      </c>
      <c r="AE115" s="46" t="e">
        <f>bdrateOld($D115:$D118,E115:E118,$N115:$N118,O115:O118)</f>
        <v>#VALUE!</v>
      </c>
      <c r="AF115" s="47" t="e">
        <f>bdrateOld($D115:$D118,F115:F118,$N115:$N118,P115:P118)</f>
        <v>#VALUE!</v>
      </c>
      <c r="AG115" s="49" t="e">
        <f>bdrateOld($D115:$D118,G115:G118,$N115:$N118,Q115:Q118)</f>
        <v>#VALUE!</v>
      </c>
    </row>
    <row r="116" spans="1:34" x14ac:dyDescent="0.2">
      <c r="A116" s="12"/>
      <c r="B116" s="12"/>
      <c r="C116" s="12">
        <v>27</v>
      </c>
      <c r="D116" s="13">
        <f>Reference!B234</f>
        <v>2204.4672</v>
      </c>
      <c r="E116" s="14">
        <f>Reference!C234</f>
        <v>50.820799999999998</v>
      </c>
      <c r="F116" s="14">
        <f>Reference!D234</f>
        <v>48.701799999999999</v>
      </c>
      <c r="G116" s="14">
        <f>Reference!E234</f>
        <v>46.776699999999998</v>
      </c>
      <c r="H116" s="14">
        <f>Reference!F234</f>
        <v>95255</v>
      </c>
      <c r="I116" s="14">
        <f>Reference!G234</f>
        <v>89.620999999999995</v>
      </c>
      <c r="J116" s="14">
        <f t="shared" si="14"/>
        <v>26.459722222222222</v>
      </c>
      <c r="K116" s="26">
        <f>Reference!H234</f>
        <v>7427256</v>
      </c>
      <c r="L116" s="27">
        <f>Reference!I234</f>
        <v>888340</v>
      </c>
      <c r="N116" s="13">
        <f>Test!B234</f>
        <v>0</v>
      </c>
      <c r="O116" s="14">
        <f>Test!C234</f>
        <v>0</v>
      </c>
      <c r="P116" s="14">
        <f>Test!D234</f>
        <v>0</v>
      </c>
      <c r="Q116" s="14">
        <f>Test!E234</f>
        <v>0</v>
      </c>
      <c r="R116" s="14">
        <f>Test!F234</f>
        <v>0</v>
      </c>
      <c r="S116" s="14">
        <f>Test!G234</f>
        <v>0</v>
      </c>
      <c r="T116" s="14">
        <f t="shared" si="15"/>
        <v>0</v>
      </c>
      <c r="U116" s="26">
        <f>Test!H234</f>
        <v>0</v>
      </c>
      <c r="V116" s="27">
        <f>Test!I234</f>
        <v>0</v>
      </c>
      <c r="W116" s="14">
        <f t="shared" si="16"/>
        <v>0</v>
      </c>
      <c r="X116" s="14">
        <f t="shared" si="17"/>
        <v>0</v>
      </c>
      <c r="Y116" s="14">
        <f t="shared" si="18"/>
        <v>0</v>
      </c>
      <c r="Z116" s="22">
        <f t="shared" si="18"/>
        <v>0</v>
      </c>
      <c r="AA116" s="39"/>
      <c r="AB116" s="40"/>
      <c r="AC116" s="41"/>
      <c r="AD116" s="41"/>
      <c r="AE116" s="40"/>
      <c r="AF116" s="41"/>
      <c r="AG116" s="42"/>
    </row>
    <row r="117" spans="1:34" x14ac:dyDescent="0.2">
      <c r="A117" s="12"/>
      <c r="B117" s="12"/>
      <c r="C117" s="12">
        <v>32</v>
      </c>
      <c r="D117" s="13">
        <f>Reference!B235</f>
        <v>1667.2080000000001</v>
      </c>
      <c r="E117" s="14">
        <f>Reference!C235</f>
        <v>45.405000000000001</v>
      </c>
      <c r="F117" s="14">
        <f>Reference!D235</f>
        <v>45.040700000000001</v>
      </c>
      <c r="G117" s="14">
        <f>Reference!E235</f>
        <v>42.603900000000003</v>
      </c>
      <c r="H117" s="14">
        <f>Reference!F235</f>
        <v>87306</v>
      </c>
      <c r="I117" s="14">
        <f>Reference!G235</f>
        <v>93.447000000000003</v>
      </c>
      <c r="J117" s="14">
        <f t="shared" si="14"/>
        <v>24.251666666666665</v>
      </c>
      <c r="K117" s="26">
        <f>Reference!H235</f>
        <v>7438028</v>
      </c>
      <c r="L117" s="27">
        <f>Reference!I235</f>
        <v>903508</v>
      </c>
      <c r="N117" s="13">
        <f>Test!B235</f>
        <v>0</v>
      </c>
      <c r="O117" s="14">
        <f>Test!C235</f>
        <v>0</v>
      </c>
      <c r="P117" s="14">
        <f>Test!D235</f>
        <v>0</v>
      </c>
      <c r="Q117" s="14">
        <f>Test!E235</f>
        <v>0</v>
      </c>
      <c r="R117" s="14">
        <f>Test!F235</f>
        <v>0</v>
      </c>
      <c r="S117" s="14">
        <f>Test!G235</f>
        <v>0</v>
      </c>
      <c r="T117" s="14">
        <f t="shared" si="15"/>
        <v>0</v>
      </c>
      <c r="U117" s="26">
        <f>Test!H235</f>
        <v>0</v>
      </c>
      <c r="V117" s="27">
        <f>Test!I235</f>
        <v>0</v>
      </c>
      <c r="W117" s="14">
        <f t="shared" si="16"/>
        <v>0</v>
      </c>
      <c r="X117" s="14">
        <f t="shared" si="17"/>
        <v>0</v>
      </c>
      <c r="Y117" s="14">
        <f t="shared" si="18"/>
        <v>0</v>
      </c>
      <c r="Z117" s="22">
        <f t="shared" si="18"/>
        <v>0</v>
      </c>
      <c r="AA117" s="39"/>
      <c r="AB117" s="40"/>
      <c r="AC117" s="41"/>
      <c r="AD117" s="41"/>
      <c r="AE117" s="40"/>
      <c r="AF117" s="41"/>
      <c r="AG117" s="42"/>
    </row>
    <row r="118" spans="1:34" x14ac:dyDescent="0.2">
      <c r="A118" s="12"/>
      <c r="B118" s="15"/>
      <c r="C118" s="15">
        <v>37</v>
      </c>
      <c r="D118" s="13">
        <f>Reference!B236</f>
        <v>1274.06</v>
      </c>
      <c r="E118" s="14">
        <f>Reference!C236</f>
        <v>40.264000000000003</v>
      </c>
      <c r="F118" s="14">
        <f>Reference!D236</f>
        <v>41.399700000000003</v>
      </c>
      <c r="G118" s="14">
        <f>Reference!E236</f>
        <v>39.052799999999998</v>
      </c>
      <c r="H118" s="14">
        <f>Reference!F236</f>
        <v>77227</v>
      </c>
      <c r="I118" s="14">
        <f>Reference!G236</f>
        <v>92.412999999999997</v>
      </c>
      <c r="J118" s="14">
        <f t="shared" si="14"/>
        <v>21.451944444444443</v>
      </c>
      <c r="K118" s="26">
        <f>Reference!H236</f>
        <v>7426696</v>
      </c>
      <c r="L118" s="27">
        <f>Reference!I236</f>
        <v>881924</v>
      </c>
      <c r="N118" s="16">
        <f>Test!B236</f>
        <v>0</v>
      </c>
      <c r="O118" s="17">
        <f>Test!C236</f>
        <v>0</v>
      </c>
      <c r="P118" s="17">
        <f>Test!D236</f>
        <v>0</v>
      </c>
      <c r="Q118" s="17">
        <f>Test!E236</f>
        <v>0</v>
      </c>
      <c r="R118" s="17">
        <f>Test!F236</f>
        <v>0</v>
      </c>
      <c r="S118" s="17">
        <f>Test!G236</f>
        <v>0</v>
      </c>
      <c r="T118" s="17">
        <f t="shared" si="15"/>
        <v>0</v>
      </c>
      <c r="U118" s="26">
        <f>Test!H236</f>
        <v>0</v>
      </c>
      <c r="V118" s="27">
        <f>Test!I236</f>
        <v>0</v>
      </c>
      <c r="W118" s="14">
        <f t="shared" si="16"/>
        <v>0</v>
      </c>
      <c r="X118" s="14">
        <f t="shared" si="17"/>
        <v>0</v>
      </c>
      <c r="Y118" s="14">
        <f t="shared" si="18"/>
        <v>0</v>
      </c>
      <c r="Z118" s="22">
        <f t="shared" si="18"/>
        <v>0</v>
      </c>
      <c r="AA118" s="39"/>
      <c r="AB118" s="43"/>
      <c r="AC118" s="44"/>
      <c r="AD118" s="44"/>
      <c r="AE118" s="43"/>
      <c r="AF118" s="44"/>
      <c r="AG118" s="45"/>
    </row>
    <row r="119" spans="1:34" x14ac:dyDescent="0.2">
      <c r="A119" s="12"/>
      <c r="B119" s="9" t="s">
        <v>120</v>
      </c>
      <c r="C119" s="4">
        <v>22</v>
      </c>
      <c r="D119" s="10">
        <f>Reference!B237</f>
        <v>2993.7536</v>
      </c>
      <c r="E119" s="11">
        <f>Reference!C237</f>
        <v>52.214599999999997</v>
      </c>
      <c r="F119" s="11">
        <f>Reference!D237</f>
        <v>51.305100000000003</v>
      </c>
      <c r="G119" s="11">
        <f>Reference!E237</f>
        <v>51.133299999999998</v>
      </c>
      <c r="H119" s="11">
        <f>Reference!F237</f>
        <v>65980</v>
      </c>
      <c r="I119" s="11">
        <f>Reference!G237</f>
        <v>48.46</v>
      </c>
      <c r="J119" s="11">
        <f t="shared" si="14"/>
        <v>18.327777777777779</v>
      </c>
      <c r="K119" s="24">
        <f>Reference!H237</f>
        <v>7853884</v>
      </c>
      <c r="L119" s="25">
        <f>Reference!I237</f>
        <v>890472</v>
      </c>
      <c r="N119" s="10">
        <f>Test!B237</f>
        <v>0</v>
      </c>
      <c r="O119" s="11">
        <f>Test!C237</f>
        <v>0</v>
      </c>
      <c r="P119" s="11">
        <f>Test!D237</f>
        <v>0</v>
      </c>
      <c r="Q119" s="11">
        <f>Test!E237</f>
        <v>0</v>
      </c>
      <c r="R119" s="11">
        <f>Test!F237</f>
        <v>0</v>
      </c>
      <c r="S119" s="11">
        <f>Test!G237</f>
        <v>0</v>
      </c>
      <c r="T119" s="11">
        <f t="shared" si="15"/>
        <v>0</v>
      </c>
      <c r="U119" s="24">
        <f>Test!H237</f>
        <v>0</v>
      </c>
      <c r="V119" s="25">
        <f>Test!I237</f>
        <v>0</v>
      </c>
      <c r="W119" s="14">
        <f t="shared" si="16"/>
        <v>0</v>
      </c>
      <c r="X119" s="14">
        <f t="shared" si="17"/>
        <v>0</v>
      </c>
      <c r="Y119" s="14">
        <f t="shared" si="18"/>
        <v>0</v>
      </c>
      <c r="Z119" s="22">
        <f t="shared" si="18"/>
        <v>0</v>
      </c>
      <c r="AA119" s="39"/>
      <c r="AB119" s="36" t="e">
        <f>bdrate($D119:$D122,E119:E122,$N119:$N122,O119:O122)</f>
        <v>#VALUE!</v>
      </c>
      <c r="AC119" s="37" t="e">
        <f>bdrate($D119:$D122,F119:F122,$N119:$N122,P119:P122)</f>
        <v>#VALUE!</v>
      </c>
      <c r="AD119" s="37" t="e">
        <f>bdrate($D119:$D122,G119:G122,$N119:$N122,Q119:Q122)</f>
        <v>#VALUE!</v>
      </c>
      <c r="AE119" s="46" t="e">
        <f>bdrateOld($D119:$D122,E119:E122,$N119:$N122,O119:O122)</f>
        <v>#VALUE!</v>
      </c>
      <c r="AF119" s="47" t="e">
        <f>bdrateOld($D119:$D122,F119:F122,$N119:$N122,P119:P122)</f>
        <v>#VALUE!</v>
      </c>
      <c r="AG119" s="49" t="e">
        <f>bdrateOld($D119:$D122,G119:G122,$N119:$N122,Q119:Q122)</f>
        <v>#VALUE!</v>
      </c>
    </row>
    <row r="120" spans="1:34" x14ac:dyDescent="0.2">
      <c r="A120" s="12"/>
      <c r="B120" s="12"/>
      <c r="C120" s="62">
        <v>27</v>
      </c>
      <c r="D120" s="13">
        <f>Reference!B238</f>
        <v>2233.7831999999999</v>
      </c>
      <c r="E120" s="14">
        <f>Reference!C238</f>
        <v>47.555199999999999</v>
      </c>
      <c r="F120" s="14">
        <f>Reference!D238</f>
        <v>47.198099999999997</v>
      </c>
      <c r="G120" s="14">
        <f>Reference!E238</f>
        <v>47.138800000000003</v>
      </c>
      <c r="H120" s="14">
        <f>Reference!F238</f>
        <v>64201</v>
      </c>
      <c r="I120" s="14">
        <f>Reference!G238</f>
        <v>38.944000000000003</v>
      </c>
      <c r="J120" s="14">
        <f t="shared" si="14"/>
        <v>17.833611111111111</v>
      </c>
      <c r="K120" s="26">
        <f>Reference!H238</f>
        <v>7844824</v>
      </c>
      <c r="L120" s="27">
        <f>Reference!I238</f>
        <v>872464</v>
      </c>
      <c r="N120" s="13">
        <f>Test!B238</f>
        <v>0</v>
      </c>
      <c r="O120" s="14">
        <f>Test!C238</f>
        <v>0</v>
      </c>
      <c r="P120" s="14">
        <f>Test!D238</f>
        <v>0</v>
      </c>
      <c r="Q120" s="14">
        <f>Test!E238</f>
        <v>0</v>
      </c>
      <c r="R120" s="14">
        <f>Test!F238</f>
        <v>0</v>
      </c>
      <c r="S120" s="14">
        <f>Test!G238</f>
        <v>0</v>
      </c>
      <c r="T120" s="14">
        <f t="shared" si="15"/>
        <v>0</v>
      </c>
      <c r="U120" s="26">
        <f>Test!H238</f>
        <v>0</v>
      </c>
      <c r="V120" s="27">
        <f>Test!I238</f>
        <v>0</v>
      </c>
      <c r="W120" s="14">
        <f t="shared" si="16"/>
        <v>0</v>
      </c>
      <c r="X120" s="14">
        <f t="shared" si="17"/>
        <v>0</v>
      </c>
      <c r="Y120" s="14">
        <f t="shared" si="18"/>
        <v>0</v>
      </c>
      <c r="Z120" s="22">
        <f t="shared" si="18"/>
        <v>0</v>
      </c>
      <c r="AA120" s="39"/>
      <c r="AB120" s="40"/>
      <c r="AC120" s="41"/>
      <c r="AD120" s="41"/>
      <c r="AE120" s="40"/>
      <c r="AF120" s="41"/>
      <c r="AG120" s="42"/>
    </row>
    <row r="121" spans="1:34" x14ac:dyDescent="0.2">
      <c r="A121" s="12"/>
      <c r="B121" s="12"/>
      <c r="C121" s="62">
        <v>32</v>
      </c>
      <c r="D121" s="13">
        <f>Reference!B239</f>
        <v>1678.0352</v>
      </c>
      <c r="E121" s="14">
        <f>Reference!C239</f>
        <v>42.7502</v>
      </c>
      <c r="F121" s="14">
        <f>Reference!D239</f>
        <v>44.036000000000001</v>
      </c>
      <c r="G121" s="14">
        <f>Reference!E239</f>
        <v>43.974600000000002</v>
      </c>
      <c r="H121" s="14">
        <f>Reference!F239</f>
        <v>61318</v>
      </c>
      <c r="I121" s="14">
        <f>Reference!G239</f>
        <v>39.581000000000003</v>
      </c>
      <c r="J121" s="14">
        <f t="shared" si="14"/>
        <v>17.032777777777778</v>
      </c>
      <c r="K121" s="26">
        <f>Reference!H239</f>
        <v>7839404</v>
      </c>
      <c r="L121" s="27">
        <f>Reference!I239</f>
        <v>895176</v>
      </c>
      <c r="N121" s="13">
        <f>Test!B239</f>
        <v>0</v>
      </c>
      <c r="O121" s="14">
        <f>Test!C239</f>
        <v>0</v>
      </c>
      <c r="P121" s="14">
        <f>Test!D239</f>
        <v>0</v>
      </c>
      <c r="Q121" s="14">
        <f>Test!E239</f>
        <v>0</v>
      </c>
      <c r="R121" s="14">
        <f>Test!F239</f>
        <v>0</v>
      </c>
      <c r="S121" s="14">
        <f>Test!G239</f>
        <v>0</v>
      </c>
      <c r="T121" s="14">
        <f t="shared" si="15"/>
        <v>0</v>
      </c>
      <c r="U121" s="26">
        <f>Test!H239</f>
        <v>0</v>
      </c>
      <c r="V121" s="27">
        <f>Test!I239</f>
        <v>0</v>
      </c>
      <c r="W121" s="14">
        <f t="shared" si="16"/>
        <v>0</v>
      </c>
      <c r="X121" s="14">
        <f t="shared" si="17"/>
        <v>0</v>
      </c>
      <c r="Y121" s="14">
        <f t="shared" si="18"/>
        <v>0</v>
      </c>
      <c r="Z121" s="22">
        <f t="shared" si="18"/>
        <v>0</v>
      </c>
      <c r="AA121" s="39"/>
      <c r="AB121" s="40"/>
      <c r="AC121" s="41"/>
      <c r="AD121" s="41"/>
      <c r="AE121" s="40"/>
      <c r="AF121" s="41"/>
      <c r="AG121" s="42"/>
    </row>
    <row r="122" spans="1:34" x14ac:dyDescent="0.2">
      <c r="A122" s="15"/>
      <c r="B122" s="15"/>
      <c r="C122" s="74">
        <v>37</v>
      </c>
      <c r="D122" s="16">
        <f>Reference!B240</f>
        <v>1256.5904</v>
      </c>
      <c r="E122" s="17">
        <f>Reference!C240</f>
        <v>38.044800000000002</v>
      </c>
      <c r="F122" s="17">
        <f>Reference!D240</f>
        <v>40.885300000000001</v>
      </c>
      <c r="G122" s="17">
        <f>Reference!E240</f>
        <v>40.992699999999999</v>
      </c>
      <c r="H122" s="17">
        <f>Reference!F240</f>
        <v>57585</v>
      </c>
      <c r="I122" s="17">
        <f>Reference!G240</f>
        <v>39.307000000000002</v>
      </c>
      <c r="J122" s="17">
        <f t="shared" si="14"/>
        <v>15.995833333333334</v>
      </c>
      <c r="K122" s="28">
        <f>Reference!H240</f>
        <v>7835688</v>
      </c>
      <c r="L122" s="29">
        <f>Reference!I240</f>
        <v>901304</v>
      </c>
      <c r="N122" s="16">
        <f>Test!B240</f>
        <v>0</v>
      </c>
      <c r="O122" s="17">
        <f>Test!C240</f>
        <v>0</v>
      </c>
      <c r="P122" s="17">
        <f>Test!D240</f>
        <v>0</v>
      </c>
      <c r="Q122" s="17">
        <f>Test!E240</f>
        <v>0</v>
      </c>
      <c r="R122" s="17">
        <f>Test!F240</f>
        <v>0</v>
      </c>
      <c r="S122" s="17">
        <f>Test!G240</f>
        <v>0</v>
      </c>
      <c r="T122" s="17">
        <f t="shared" si="15"/>
        <v>0</v>
      </c>
      <c r="U122" s="28">
        <f>Test!H240</f>
        <v>0</v>
      </c>
      <c r="V122" s="29">
        <f>Test!I240</f>
        <v>0</v>
      </c>
      <c r="W122" s="17">
        <f t="shared" si="16"/>
        <v>0</v>
      </c>
      <c r="X122" s="17">
        <f t="shared" si="17"/>
        <v>0</v>
      </c>
      <c r="Y122" s="17">
        <f t="shared" si="18"/>
        <v>0</v>
      </c>
      <c r="Z122" s="23">
        <f t="shared" si="18"/>
        <v>0</v>
      </c>
      <c r="AA122" s="48"/>
      <c r="AB122" s="43"/>
      <c r="AC122" s="44"/>
      <c r="AD122" s="44"/>
      <c r="AE122" s="43"/>
      <c r="AF122" s="44"/>
      <c r="AG122" s="45"/>
    </row>
    <row r="123" spans="1:34" x14ac:dyDescent="0.2">
      <c r="B123" s="2" t="s">
        <v>19</v>
      </c>
      <c r="I123" s="39">
        <f>GEOMEAN(I3:I14)</f>
        <v>238.24468584307476</v>
      </c>
      <c r="J123" s="39">
        <f>GEOMEAN(J3:J14)</f>
        <v>238.23096762042388</v>
      </c>
      <c r="K123" s="39"/>
      <c r="L123" s="50"/>
      <c r="S123" s="39" t="e">
        <f>GEOMEAN(S3:S14)</f>
        <v>#NUM!</v>
      </c>
      <c r="T123" s="39" t="e">
        <f>GEOMEAN(T3:T14)</f>
        <v>#NUM!</v>
      </c>
      <c r="U123" s="39"/>
      <c r="V123" s="50"/>
      <c r="W123" s="39" t="e">
        <f>GEOMEAN(W3:W14)</f>
        <v>#NUM!</v>
      </c>
      <c r="X123" s="39" t="e">
        <f>GEOMEAN(X3:X14)</f>
        <v>#NUM!</v>
      </c>
      <c r="Y123" s="39" t="e">
        <f>GEOMEAN(Y3:Y14)</f>
        <v>#NUM!</v>
      </c>
      <c r="Z123" s="50" t="e">
        <f>GEOMEAN(Z3:Z14)</f>
        <v>#NUM!</v>
      </c>
      <c r="AB123" s="36" t="e">
        <f t="shared" ref="AB123:AG123" si="19">AVERAGE(AB3:AB14)</f>
        <v>#VALUE!</v>
      </c>
      <c r="AC123" s="37" t="e">
        <f t="shared" si="19"/>
        <v>#VALUE!</v>
      </c>
      <c r="AD123" s="38" t="e">
        <f t="shared" si="19"/>
        <v>#VALUE!</v>
      </c>
      <c r="AE123" s="36" t="e">
        <f t="shared" si="19"/>
        <v>#VALUE!</v>
      </c>
      <c r="AF123" s="37" t="e">
        <f t="shared" si="19"/>
        <v>#VALUE!</v>
      </c>
      <c r="AG123" s="38" t="e">
        <f t="shared" si="19"/>
        <v>#VALUE!</v>
      </c>
      <c r="AH123" s="41" t="e">
        <f>(AB123*6+AC123+AD123)/8</f>
        <v>#VALUE!</v>
      </c>
    </row>
    <row r="124" spans="1:34" x14ac:dyDescent="0.2">
      <c r="B124" s="2" t="s">
        <v>21</v>
      </c>
      <c r="I124" s="39">
        <f>GEOMEAN(I15:I26)</f>
        <v>340.05207000114478</v>
      </c>
      <c r="J124" s="39">
        <f>GEOMEAN(J15:J26)</f>
        <v>220.03366261592436</v>
      </c>
      <c r="K124" s="39"/>
      <c r="L124" s="50"/>
      <c r="S124" s="39" t="e">
        <f>GEOMEAN(S15:S26)</f>
        <v>#NUM!</v>
      </c>
      <c r="T124" s="39" t="e">
        <f>GEOMEAN(T15:T26)</f>
        <v>#NUM!</v>
      </c>
      <c r="U124" s="39"/>
      <c r="V124" s="50"/>
      <c r="W124" s="39" t="e">
        <f>GEOMEAN(W15:W26)</f>
        <v>#NUM!</v>
      </c>
      <c r="X124" s="39" t="e">
        <f>GEOMEAN(X15:X26)</f>
        <v>#NUM!</v>
      </c>
      <c r="Y124" s="39" t="e">
        <f>GEOMEAN(Y15:Y26)</f>
        <v>#NUM!</v>
      </c>
      <c r="Z124" s="50" t="e">
        <f>GEOMEAN(Z15:Z26)</f>
        <v>#NUM!</v>
      </c>
      <c r="AB124" s="46" t="e">
        <f t="shared" ref="AB124:AG124" si="20">AVERAGE(AB15:AB26)</f>
        <v>#VALUE!</v>
      </c>
      <c r="AC124" s="47" t="e">
        <f t="shared" si="20"/>
        <v>#VALUE!</v>
      </c>
      <c r="AD124" s="49" t="e">
        <f t="shared" si="20"/>
        <v>#VALUE!</v>
      </c>
      <c r="AE124" s="46" t="e">
        <f t="shared" si="20"/>
        <v>#VALUE!</v>
      </c>
      <c r="AF124" s="47" t="e">
        <f t="shared" si="20"/>
        <v>#VALUE!</v>
      </c>
      <c r="AG124" s="49" t="e">
        <f t="shared" si="20"/>
        <v>#VALUE!</v>
      </c>
      <c r="AH124" s="41" t="e">
        <f>(AB124*6+AC124+AD124)/8</f>
        <v>#VALUE!</v>
      </c>
    </row>
    <row r="125" spans="1:34" x14ac:dyDescent="0.2">
      <c r="B125" s="2" t="s">
        <v>22</v>
      </c>
      <c r="I125" s="39">
        <f>GEOMEAN(I27:I46)</f>
        <v>134.0273756240679</v>
      </c>
      <c r="J125" s="39">
        <f>GEOMEAN(J27:J46)</f>
        <v>100.81101340562941</v>
      </c>
      <c r="K125" s="39"/>
      <c r="L125" s="50"/>
      <c r="S125" s="39" t="e">
        <f>GEOMEAN(S27:S46)</f>
        <v>#NUM!</v>
      </c>
      <c r="T125" s="39" t="e">
        <f>GEOMEAN(T27:T46)</f>
        <v>#NUM!</v>
      </c>
      <c r="U125" s="39"/>
      <c r="V125" s="50"/>
      <c r="W125" s="39" t="e">
        <f>GEOMEAN(W27:W46)</f>
        <v>#NUM!</v>
      </c>
      <c r="X125" s="39" t="e">
        <f>GEOMEAN(X27:X46)</f>
        <v>#NUM!</v>
      </c>
      <c r="Y125" s="39" t="e">
        <f>GEOMEAN(Y27:Y46)</f>
        <v>#NUM!</v>
      </c>
      <c r="Z125" s="50" t="e">
        <f>GEOMEAN(Z27:Z46)</f>
        <v>#NUM!</v>
      </c>
      <c r="AB125" s="46" t="e">
        <f t="shared" ref="AB125:AG125" si="21">AVERAGE(AB27:AB46)</f>
        <v>#VALUE!</v>
      </c>
      <c r="AC125" s="47" t="e">
        <f t="shared" si="21"/>
        <v>#VALUE!</v>
      </c>
      <c r="AD125" s="49" t="e">
        <f t="shared" si="21"/>
        <v>#VALUE!</v>
      </c>
      <c r="AE125" s="46" t="e">
        <f t="shared" si="21"/>
        <v>#VALUE!</v>
      </c>
      <c r="AF125" s="47" t="e">
        <f t="shared" si="21"/>
        <v>#VALUE!</v>
      </c>
      <c r="AG125" s="49" t="e">
        <f t="shared" si="21"/>
        <v>#VALUE!</v>
      </c>
      <c r="AH125" s="41" t="e">
        <f>(AB125*6+AC125+AD125)/8</f>
        <v>#VALUE!</v>
      </c>
    </row>
    <row r="126" spans="1:34" x14ac:dyDescent="0.2">
      <c r="B126" s="2" t="s">
        <v>23</v>
      </c>
      <c r="I126" s="39">
        <f>GEOMEAN(I47:I62)</f>
        <v>27.922517450773608</v>
      </c>
      <c r="J126" s="39">
        <f>GEOMEAN(J47:J62)</f>
        <v>11.918760747409946</v>
      </c>
      <c r="K126" s="39"/>
      <c r="L126" s="50"/>
      <c r="S126" s="39" t="e">
        <f>GEOMEAN(S47:S62)</f>
        <v>#NUM!</v>
      </c>
      <c r="T126" s="39" t="e">
        <f>GEOMEAN(T47:T62)</f>
        <v>#NUM!</v>
      </c>
      <c r="U126" s="39"/>
      <c r="V126" s="50"/>
      <c r="W126" s="39" t="e">
        <f>GEOMEAN(W47:W62)</f>
        <v>#NUM!</v>
      </c>
      <c r="X126" s="39" t="e">
        <f>GEOMEAN(X47:X62)</f>
        <v>#NUM!</v>
      </c>
      <c r="Y126" s="39" t="e">
        <f>GEOMEAN(Y47:Y62)</f>
        <v>#NUM!</v>
      </c>
      <c r="Z126" s="50" t="e">
        <f>GEOMEAN(Z47:Z62)</f>
        <v>#NUM!</v>
      </c>
      <c r="AB126" s="46" t="e">
        <f t="shared" ref="AB126:AG126" si="22">AVERAGE(AB47:AB62)</f>
        <v>#VALUE!</v>
      </c>
      <c r="AC126" s="47" t="e">
        <f t="shared" si="22"/>
        <v>#VALUE!</v>
      </c>
      <c r="AD126" s="49" t="e">
        <f t="shared" si="22"/>
        <v>#VALUE!</v>
      </c>
      <c r="AE126" s="46" t="e">
        <f t="shared" si="22"/>
        <v>#VALUE!</v>
      </c>
      <c r="AF126" s="47" t="e">
        <f t="shared" si="22"/>
        <v>#VALUE!</v>
      </c>
      <c r="AG126" s="49" t="e">
        <f t="shared" si="22"/>
        <v>#VALUE!</v>
      </c>
      <c r="AH126" s="41" t="e">
        <f t="shared" ref="AH126:AH131" si="23">(AB126*6+AC126+AD126)/8</f>
        <v>#VALUE!</v>
      </c>
    </row>
    <row r="127" spans="1:34" x14ac:dyDescent="0.2">
      <c r="B127" s="2" t="s">
        <v>27</v>
      </c>
      <c r="I127" s="39">
        <f>GEOMEAN(I63:I78)</f>
        <v>10.511822229966443</v>
      </c>
      <c r="J127" s="39">
        <f>GEOMEAN(J63:J78)</f>
        <v>4.0964649629491339</v>
      </c>
      <c r="K127" s="39"/>
      <c r="L127" s="50"/>
      <c r="S127" s="39" t="e">
        <f>GEOMEAN(S63:S78)</f>
        <v>#NUM!</v>
      </c>
      <c r="T127" s="39" t="e">
        <f>GEOMEAN(T63:T78)</f>
        <v>#NUM!</v>
      </c>
      <c r="U127" s="39"/>
      <c r="V127" s="50"/>
      <c r="W127" s="39" t="e">
        <f>GEOMEAN(W63:W78)</f>
        <v>#NUM!</v>
      </c>
      <c r="X127" s="39" t="e">
        <f>GEOMEAN(X63:X78)</f>
        <v>#NUM!</v>
      </c>
      <c r="Y127" s="39" t="e">
        <f>GEOMEAN(Y63:Y78)</f>
        <v>#NUM!</v>
      </c>
      <c r="Z127" s="50" t="e">
        <f>GEOMEAN(Z63:Z78)</f>
        <v>#NUM!</v>
      </c>
      <c r="AB127" s="46" t="e">
        <f t="shared" ref="AB127:AG127" si="24">AVERAGE(AB63:AB78)</f>
        <v>#VALUE!</v>
      </c>
      <c r="AC127" s="47" t="e">
        <f t="shared" si="24"/>
        <v>#VALUE!</v>
      </c>
      <c r="AD127" s="49" t="e">
        <f t="shared" si="24"/>
        <v>#VALUE!</v>
      </c>
      <c r="AE127" s="46" t="e">
        <f t="shared" si="24"/>
        <v>#VALUE!</v>
      </c>
      <c r="AF127" s="47" t="e">
        <f t="shared" si="24"/>
        <v>#VALUE!</v>
      </c>
      <c r="AG127" s="49" t="e">
        <f t="shared" si="24"/>
        <v>#VALUE!</v>
      </c>
      <c r="AH127" s="41" t="e">
        <f t="shared" si="23"/>
        <v>#VALUE!</v>
      </c>
    </row>
    <row r="128" spans="1:34" x14ac:dyDescent="0.2">
      <c r="B128" s="2" t="s">
        <v>24</v>
      </c>
      <c r="I128" s="39"/>
      <c r="J128" s="39"/>
      <c r="K128" s="39"/>
      <c r="L128" s="50"/>
      <c r="S128" s="39"/>
      <c r="T128" s="39"/>
      <c r="U128" s="39"/>
      <c r="V128" s="50"/>
      <c r="W128" s="39"/>
      <c r="X128" s="39"/>
      <c r="Y128" s="39"/>
      <c r="Z128" s="50"/>
      <c r="AB128" s="46"/>
      <c r="AC128" s="47"/>
      <c r="AD128" s="49"/>
      <c r="AE128" s="46"/>
      <c r="AF128" s="47"/>
      <c r="AG128" s="49"/>
    </row>
    <row r="129" spans="1:34" x14ac:dyDescent="0.2">
      <c r="B129" s="2" t="s">
        <v>28</v>
      </c>
      <c r="I129" s="39">
        <f>GEOMEAN(I91:I106)</f>
        <v>23.557698017793914</v>
      </c>
      <c r="J129" s="39">
        <f>GEOMEAN(J91:J106)</f>
        <v>7.7407579344092161</v>
      </c>
      <c r="K129" s="39"/>
      <c r="L129" s="50"/>
      <c r="S129" s="39" t="e">
        <f>GEOMEAN(S91:S106)</f>
        <v>#NUM!</v>
      </c>
      <c r="T129" s="39" t="e">
        <f>GEOMEAN(T91:T106)</f>
        <v>#NUM!</v>
      </c>
      <c r="U129" s="39"/>
      <c r="V129" s="50"/>
      <c r="W129" s="39" t="e">
        <f>GEOMEAN(W91:W106)</f>
        <v>#NUM!</v>
      </c>
      <c r="X129" s="39" t="e">
        <f>GEOMEAN(X91:X106)</f>
        <v>#NUM!</v>
      </c>
      <c r="Y129" s="39" t="e">
        <f>GEOMEAN(Y91:Y106)</f>
        <v>#NUM!</v>
      </c>
      <c r="Z129" s="50" t="e">
        <f>GEOMEAN(Z91:Z106)</f>
        <v>#NUM!</v>
      </c>
      <c r="AB129" s="46" t="e">
        <f t="shared" ref="AB129:AG129" si="25">AVERAGE(AB91:AB106)</f>
        <v>#VALUE!</v>
      </c>
      <c r="AC129" s="47" t="e">
        <f t="shared" si="25"/>
        <v>#VALUE!</v>
      </c>
      <c r="AD129" s="49" t="e">
        <f t="shared" si="25"/>
        <v>#VALUE!</v>
      </c>
      <c r="AE129" s="46" t="e">
        <f t="shared" si="25"/>
        <v>#VALUE!</v>
      </c>
      <c r="AF129" s="47" t="e">
        <f t="shared" si="25"/>
        <v>#VALUE!</v>
      </c>
      <c r="AG129" s="49" t="e">
        <f t="shared" si="25"/>
        <v>#VALUE!</v>
      </c>
      <c r="AH129" s="41" t="e">
        <f t="shared" si="23"/>
        <v>#VALUE!</v>
      </c>
    </row>
    <row r="130" spans="1:34" x14ac:dyDescent="0.2">
      <c r="B130" s="2" t="s">
        <v>121</v>
      </c>
      <c r="I130" s="39">
        <f>GEOMEAN(I107:I122)</f>
        <v>66.521034013282943</v>
      </c>
      <c r="J130" s="39">
        <f>GEOMEAN(J107:J122)</f>
        <v>21.336468005691689</v>
      </c>
      <c r="K130" s="39"/>
      <c r="L130" s="50"/>
      <c r="S130" s="39" t="e">
        <f>GEOMEAN(S107:S122)</f>
        <v>#NUM!</v>
      </c>
      <c r="T130" s="39" t="e">
        <f>GEOMEAN(T107:T122)</f>
        <v>#NUM!</v>
      </c>
      <c r="U130" s="39"/>
      <c r="V130" s="50"/>
      <c r="W130" s="39" t="e">
        <f>GEOMEAN(W107:W122)</f>
        <v>#NUM!</v>
      </c>
      <c r="X130" s="39" t="e">
        <f>GEOMEAN(X107:X122)</f>
        <v>#NUM!</v>
      </c>
      <c r="Y130" s="39" t="e">
        <f>GEOMEAN(Y107:Y122)</f>
        <v>#NUM!</v>
      </c>
      <c r="Z130" s="50" t="e">
        <f>GEOMEAN(Z107:Z122)</f>
        <v>#NUM!</v>
      </c>
      <c r="AB130" s="46" t="e">
        <f t="shared" ref="AB130:AG130" si="26">AVERAGE(AB107:AB122)</f>
        <v>#VALUE!</v>
      </c>
      <c r="AC130" s="47" t="e">
        <f t="shared" si="26"/>
        <v>#VALUE!</v>
      </c>
      <c r="AD130" s="49" t="e">
        <f t="shared" si="26"/>
        <v>#VALUE!</v>
      </c>
      <c r="AE130" s="46" t="e">
        <f t="shared" si="26"/>
        <v>#VALUE!</v>
      </c>
      <c r="AF130" s="47" t="e">
        <f t="shared" si="26"/>
        <v>#VALUE!</v>
      </c>
      <c r="AG130" s="49" t="e">
        <f t="shared" si="26"/>
        <v>#VALUE!</v>
      </c>
      <c r="AH130" s="41" t="e">
        <f t="shared" si="23"/>
        <v>#VALUE!</v>
      </c>
    </row>
    <row r="131" spans="1:34" x14ac:dyDescent="0.2">
      <c r="A131" s="51"/>
      <c r="B131" s="52" t="s">
        <v>34</v>
      </c>
      <c r="C131" s="52"/>
      <c r="D131" s="52"/>
      <c r="E131" s="52"/>
      <c r="F131" s="52"/>
      <c r="G131" s="52"/>
      <c r="H131" s="52"/>
      <c r="I131" s="53">
        <f>GEOMEAN(I3:I62,I79:I90)</f>
        <v>119.22466731187674</v>
      </c>
      <c r="J131" s="53">
        <f>GEOMEAN(J3:J62,J79:J90)</f>
        <v>79.200591043885595</v>
      </c>
      <c r="K131" s="53"/>
      <c r="L131" s="54"/>
      <c r="M131" s="52"/>
      <c r="N131" s="52"/>
      <c r="O131" s="52"/>
      <c r="P131" s="52"/>
      <c r="Q131" s="52"/>
      <c r="R131" s="52"/>
      <c r="S131" s="53" t="e">
        <f>GEOMEAN(S3:S62,S79:S90)</f>
        <v>#NUM!</v>
      </c>
      <c r="T131" s="53" t="e">
        <f>GEOMEAN(T3:T62,T79:T90)</f>
        <v>#NUM!</v>
      </c>
      <c r="U131" s="53"/>
      <c r="V131" s="54"/>
      <c r="W131" s="53" t="e">
        <f>GEOMEAN(W3:W62,W79:W90)</f>
        <v>#NUM!</v>
      </c>
      <c r="X131" s="53" t="e">
        <f>GEOMEAN(X3:X62,X79:X90)</f>
        <v>#NUM!</v>
      </c>
      <c r="Y131" s="53" t="e">
        <f>GEOMEAN(Y3:Y62,Y79:Y90)</f>
        <v>#NUM!</v>
      </c>
      <c r="Z131" s="54" t="e">
        <f>GEOMEAN(Z3:Z62,Z79:Z90)</f>
        <v>#NUM!</v>
      </c>
      <c r="AA131" s="52"/>
      <c r="AB131" s="59" t="e">
        <f t="shared" ref="AB131:AG131" si="27">AVERAGE(AB3:AB62,AB79:AB90)</f>
        <v>#VALUE!</v>
      </c>
      <c r="AC131" s="60" t="e">
        <f t="shared" si="27"/>
        <v>#VALUE!</v>
      </c>
      <c r="AD131" s="61" t="e">
        <f t="shared" si="27"/>
        <v>#VALUE!</v>
      </c>
      <c r="AE131" s="59" t="e">
        <f t="shared" si="27"/>
        <v>#VALUE!</v>
      </c>
      <c r="AF131" s="60" t="e">
        <f t="shared" si="27"/>
        <v>#VALUE!</v>
      </c>
      <c r="AG131" s="61" t="e">
        <f t="shared" si="27"/>
        <v>#VALUE!</v>
      </c>
      <c r="AH131" s="41" t="e">
        <f t="shared" si="23"/>
        <v>#VALUE!</v>
      </c>
    </row>
    <row r="132" spans="1:34" x14ac:dyDescent="0.2">
      <c r="B132" s="2" t="s">
        <v>122</v>
      </c>
      <c r="I132" s="55">
        <f>GEOMEAN(I3:I106)</f>
        <v>58.94768427080573</v>
      </c>
      <c r="J132" s="55">
        <f>GEOMEAN(J3:J106)</f>
        <v>31.577528945401557</v>
      </c>
      <c r="K132" s="55"/>
      <c r="L132" s="56"/>
      <c r="S132" s="55" t="e">
        <f>GEOMEAN(S3:S106)</f>
        <v>#NUM!</v>
      </c>
      <c r="T132" s="55" t="e">
        <f>GEOMEAN(T3:T106)</f>
        <v>#NUM!</v>
      </c>
      <c r="U132" s="55"/>
      <c r="V132" s="56"/>
      <c r="W132" s="55"/>
      <c r="X132" s="55"/>
      <c r="Y132" s="55"/>
      <c r="Z132" s="55"/>
    </row>
    <row r="133" spans="1:34" x14ac:dyDescent="0.2">
      <c r="B133" s="2" t="s">
        <v>123</v>
      </c>
      <c r="S133" s="57" t="e">
        <f>S132/I132</f>
        <v>#NUM!</v>
      </c>
      <c r="T133" s="57" t="e">
        <f>T132/J132</f>
        <v>#NUM!</v>
      </c>
      <c r="U133" s="57"/>
      <c r="V133" s="58"/>
      <c r="W133" s="57"/>
      <c r="X133" s="57"/>
      <c r="Y133" s="57"/>
      <c r="Z133" s="57"/>
    </row>
    <row r="134" spans="1:34" x14ac:dyDescent="0.2">
      <c r="B134" s="2" t="s">
        <v>124</v>
      </c>
    </row>
    <row r="136" spans="1:34" x14ac:dyDescent="0.2">
      <c r="B136" s="2" t="s">
        <v>125</v>
      </c>
    </row>
    <row r="137" spans="1:34" x14ac:dyDescent="0.2">
      <c r="B137" s="2" t="s">
        <v>19</v>
      </c>
      <c r="I137" s="39">
        <f>SUM(I$3:I$14)</f>
        <v>3365.8460000000009</v>
      </c>
      <c r="J137" s="39">
        <f>SUM(J$3:J$14)</f>
        <v>4088.1930555555555</v>
      </c>
      <c r="K137" s="39"/>
      <c r="L137" s="50"/>
      <c r="S137" s="39">
        <f>SUM(S$3:S$14)</f>
        <v>0</v>
      </c>
      <c r="T137" s="39">
        <f>SUM(T$3:T$14)</f>
        <v>0</v>
      </c>
      <c r="U137" s="39"/>
      <c r="V137" s="50"/>
      <c r="W137" s="39">
        <f>T137/J137</f>
        <v>0</v>
      </c>
      <c r="X137" s="39">
        <f>S137/I137</f>
        <v>0</v>
      </c>
      <c r="Y137" s="39"/>
      <c r="Z137" s="39"/>
    </row>
    <row r="138" spans="1:34" x14ac:dyDescent="0.2">
      <c r="B138" s="2" t="s">
        <v>21</v>
      </c>
      <c r="I138" s="39">
        <f>SUM(I$15:I$26)</f>
        <v>4467.174</v>
      </c>
      <c r="J138" s="39">
        <f>SUM(J$15:J$26)</f>
        <v>3191.1422222222227</v>
      </c>
      <c r="K138" s="39"/>
      <c r="L138" s="50"/>
      <c r="S138" s="39">
        <f>SUM(S$15:S$26)</f>
        <v>0</v>
      </c>
      <c r="T138" s="39">
        <f>SUM(T$15:T$26)</f>
        <v>0</v>
      </c>
      <c r="U138" s="39"/>
      <c r="V138" s="50"/>
      <c r="W138" s="39">
        <f t="shared" ref="W138:W145" si="28">T138/J138</f>
        <v>0</v>
      </c>
      <c r="X138" s="39">
        <f t="shared" ref="X138:X145" si="29">S138/I138</f>
        <v>0</v>
      </c>
      <c r="Y138" s="39"/>
      <c r="Z138" s="39"/>
    </row>
    <row r="139" spans="1:34" x14ac:dyDescent="0.2">
      <c r="B139" s="2" t="s">
        <v>22</v>
      </c>
      <c r="I139" s="39">
        <f>SUM(I$27:I$46)</f>
        <v>2796.444</v>
      </c>
      <c r="J139" s="39">
        <f>SUM(J$27:J$46)</f>
        <v>2349.8183333333336</v>
      </c>
      <c r="K139" s="39"/>
      <c r="L139" s="50"/>
      <c r="S139" s="39">
        <f>SUM(S$27:S$46)</f>
        <v>0</v>
      </c>
      <c r="T139" s="39">
        <f>SUM(T$27:T$46)</f>
        <v>0</v>
      </c>
      <c r="U139" s="39"/>
      <c r="V139" s="50"/>
      <c r="W139" s="39">
        <f t="shared" si="28"/>
        <v>0</v>
      </c>
      <c r="X139" s="39">
        <f t="shared" si="29"/>
        <v>0</v>
      </c>
      <c r="Y139" s="39"/>
      <c r="Z139" s="39"/>
    </row>
    <row r="140" spans="1:34" x14ac:dyDescent="0.2">
      <c r="B140" s="2" t="s">
        <v>23</v>
      </c>
      <c r="I140" s="39">
        <f>SUM(I$47:I$62)</f>
        <v>465.41099999999994</v>
      </c>
      <c r="J140" s="39">
        <f>SUM(J$47:J$62)</f>
        <v>205.09722222222223</v>
      </c>
      <c r="K140" s="39"/>
      <c r="L140" s="50"/>
      <c r="S140" s="39">
        <f>SUM(S$47:S$62)</f>
        <v>0</v>
      </c>
      <c r="T140" s="39">
        <f>SUM(T$47:T$62)</f>
        <v>0</v>
      </c>
      <c r="U140" s="39"/>
      <c r="V140" s="50"/>
      <c r="W140" s="39">
        <f t="shared" si="28"/>
        <v>0</v>
      </c>
      <c r="X140" s="39">
        <f t="shared" si="29"/>
        <v>0</v>
      </c>
      <c r="Y140" s="39"/>
      <c r="Z140" s="39"/>
    </row>
    <row r="141" spans="1:34" x14ac:dyDescent="0.2">
      <c r="B141" s="2" t="s">
        <v>27</v>
      </c>
      <c r="I141" s="39">
        <f>SUM(I$63:I$78)</f>
        <v>173.32599999999999</v>
      </c>
      <c r="J141" s="39">
        <f>SUM(J$63:J$78)</f>
        <v>72.307777777777773</v>
      </c>
      <c r="K141" s="39"/>
      <c r="L141" s="50"/>
      <c r="S141" s="39">
        <f>SUM(S$63:S$78)</f>
        <v>0</v>
      </c>
      <c r="T141" s="39">
        <f>SUM(T$63:T$78)</f>
        <v>0</v>
      </c>
      <c r="U141" s="39"/>
      <c r="V141" s="50"/>
      <c r="W141" s="39">
        <f t="shared" si="28"/>
        <v>0</v>
      </c>
      <c r="X141" s="39">
        <f t="shared" si="29"/>
        <v>0</v>
      </c>
      <c r="Y141" s="39"/>
      <c r="Z141" s="39"/>
    </row>
    <row r="142" spans="1:34" x14ac:dyDescent="0.2">
      <c r="B142" s="2" t="s">
        <v>24</v>
      </c>
      <c r="I142" s="39">
        <f>SUM(I$79:I$90)</f>
        <v>0</v>
      </c>
      <c r="J142" s="39">
        <f>SUM(J$79:J$90)</f>
        <v>0</v>
      </c>
      <c r="K142" s="39"/>
      <c r="L142" s="50"/>
      <c r="S142" s="39">
        <f>SUM(S$79:S$90)</f>
        <v>0</v>
      </c>
      <c r="T142" s="39">
        <f>SUM(T$79:T$90)</f>
        <v>0</v>
      </c>
      <c r="U142" s="39"/>
      <c r="V142" s="50"/>
      <c r="W142" s="39" t="e">
        <f t="shared" si="28"/>
        <v>#DIV/0!</v>
      </c>
      <c r="X142" s="39" t="e">
        <f t="shared" si="29"/>
        <v>#DIV/0!</v>
      </c>
      <c r="Y142" s="39"/>
      <c r="Z142" s="39"/>
    </row>
    <row r="143" spans="1:34" x14ac:dyDescent="0.2">
      <c r="B143" s="2" t="s">
        <v>28</v>
      </c>
      <c r="I143" s="39">
        <f>SUM(I$91:I$106)</f>
        <v>727.54899999999975</v>
      </c>
      <c r="J143" s="39">
        <f>SUM(J$91:J$106)</f>
        <v>212.33555555555552</v>
      </c>
      <c r="K143" s="39"/>
      <c r="L143" s="50"/>
      <c r="S143" s="39">
        <f>SUM(S$91:S$106)</f>
        <v>0</v>
      </c>
      <c r="T143" s="39">
        <f>SUM(T$91:T$106)</f>
        <v>0</v>
      </c>
      <c r="U143" s="39"/>
      <c r="V143" s="50"/>
      <c r="W143" s="39">
        <f t="shared" si="28"/>
        <v>0</v>
      </c>
      <c r="X143" s="39">
        <f t="shared" si="29"/>
        <v>0</v>
      </c>
      <c r="Y143" s="39"/>
      <c r="Z143" s="39"/>
    </row>
    <row r="144" spans="1:34" x14ac:dyDescent="0.2">
      <c r="B144" s="2" t="s">
        <v>29</v>
      </c>
      <c r="I144" s="39">
        <f>SUM(I$107:I$122)</f>
        <v>1127.9939999999999</v>
      </c>
      <c r="J144" s="39">
        <f>SUM(J$107:J$122)</f>
        <v>356.44527777777773</v>
      </c>
      <c r="K144" s="39"/>
      <c r="L144" s="50"/>
      <c r="S144" s="39">
        <f>SUM(S$107:S$122)</f>
        <v>0</v>
      </c>
      <c r="T144" s="39">
        <f>SUM(T$107:T$122)</f>
        <v>0</v>
      </c>
      <c r="U144" s="39"/>
      <c r="V144" s="50"/>
      <c r="W144" s="39">
        <f t="shared" si="28"/>
        <v>0</v>
      </c>
      <c r="X144" s="39">
        <f t="shared" si="29"/>
        <v>0</v>
      </c>
      <c r="Y144" s="39"/>
      <c r="Z144" s="39"/>
    </row>
    <row r="145" spans="2:26" x14ac:dyDescent="0.2">
      <c r="B145" s="2" t="s">
        <v>34</v>
      </c>
      <c r="I145" s="39">
        <f>SUM(I137:I144)</f>
        <v>13123.743999999999</v>
      </c>
      <c r="J145" s="39">
        <f>SUM(J137:J144)</f>
        <v>10475.339444444446</v>
      </c>
      <c r="K145" s="39"/>
      <c r="L145" s="50"/>
      <c r="S145" s="39">
        <f>SUM(S137:S144)</f>
        <v>0</v>
      </c>
      <c r="T145" s="39">
        <f>SUM(T137:T144)</f>
        <v>0</v>
      </c>
      <c r="U145" s="39"/>
      <c r="V145" s="50"/>
      <c r="W145" s="39">
        <f t="shared" si="28"/>
        <v>0</v>
      </c>
      <c r="X145" s="39">
        <f t="shared" si="29"/>
        <v>0</v>
      </c>
      <c r="Y145" s="39"/>
      <c r="Z145" s="39"/>
    </row>
    <row r="146" spans="2:26" x14ac:dyDescent="0.2">
      <c r="W146" s="39"/>
      <c r="X146" s="39"/>
      <c r="Y146" s="39"/>
      <c r="Z146" s="39"/>
    </row>
    <row r="147" spans="2:26" x14ac:dyDescent="0.2">
      <c r="B147" s="2" t="s">
        <v>126</v>
      </c>
      <c r="W147" s="39"/>
      <c r="X147" s="39"/>
      <c r="Y147" s="39"/>
      <c r="Z147" s="39"/>
    </row>
    <row r="148" spans="2:26" x14ac:dyDescent="0.2">
      <c r="B148" s="2" t="s">
        <v>19</v>
      </c>
      <c r="I148" s="39">
        <f>MAX(I$3:I$14)</f>
        <v>484.52300000000002</v>
      </c>
      <c r="J148" s="39">
        <f>MAX(J$3:J$14)</f>
        <v>968.48944444444442</v>
      </c>
      <c r="K148" s="39"/>
      <c r="L148" s="50"/>
      <c r="S148" s="39">
        <f>MAX(S$3:S$14)</f>
        <v>0</v>
      </c>
      <c r="T148" s="39">
        <f>MAX(T$3:T$14)</f>
        <v>0</v>
      </c>
      <c r="U148" s="39"/>
      <c r="V148" s="50"/>
      <c r="W148" s="39">
        <f t="shared" ref="W148:W156" si="30">T148/J148</f>
        <v>0</v>
      </c>
      <c r="X148" s="39">
        <f t="shared" ref="X148:X156" si="31">S148/I148</f>
        <v>0</v>
      </c>
      <c r="Y148" s="39"/>
      <c r="Z148" s="39"/>
    </row>
    <row r="149" spans="2:26" x14ac:dyDescent="0.2">
      <c r="B149" s="2" t="s">
        <v>21</v>
      </c>
      <c r="I149" s="39">
        <f>MAX(I$15:I$26)</f>
        <v>580.82899999999995</v>
      </c>
      <c r="J149" s="39">
        <f>MAX(J$15:J$26)</f>
        <v>567.17166666666662</v>
      </c>
      <c r="K149" s="39"/>
      <c r="L149" s="50"/>
      <c r="S149" s="39">
        <f>MAX(S$15:S$26)</f>
        <v>0</v>
      </c>
      <c r="T149" s="39">
        <f>MAX(T$15:T$26)</f>
        <v>0</v>
      </c>
      <c r="U149" s="39"/>
      <c r="V149" s="50"/>
      <c r="W149" s="39">
        <f t="shared" si="30"/>
        <v>0</v>
      </c>
      <c r="X149" s="39">
        <f t="shared" si="31"/>
        <v>0</v>
      </c>
      <c r="Y149" s="39"/>
      <c r="Z149" s="39"/>
    </row>
    <row r="150" spans="2:26" x14ac:dyDescent="0.2">
      <c r="B150" s="2" t="s">
        <v>22</v>
      </c>
      <c r="I150" s="39">
        <f>MAX(I$27:I$46)</f>
        <v>220.14699999999999</v>
      </c>
      <c r="J150" s="39">
        <f>MAX(J$27:J$46)</f>
        <v>248.54138888888889</v>
      </c>
      <c r="K150" s="39"/>
      <c r="L150" s="50"/>
      <c r="S150" s="39">
        <f>MAX(S$27:S$46)</f>
        <v>0</v>
      </c>
      <c r="T150" s="39">
        <f>MAX(T$27:T$46)</f>
        <v>0</v>
      </c>
      <c r="U150" s="39"/>
      <c r="V150" s="50"/>
      <c r="W150" s="39">
        <f t="shared" si="30"/>
        <v>0</v>
      </c>
      <c r="X150" s="39">
        <f t="shared" si="31"/>
        <v>0</v>
      </c>
      <c r="Y150" s="39"/>
      <c r="Z150" s="39"/>
    </row>
    <row r="151" spans="2:26" x14ac:dyDescent="0.2">
      <c r="B151" s="2" t="s">
        <v>23</v>
      </c>
      <c r="I151" s="39">
        <f>MAX(I$47:I$62)</f>
        <v>46.174999999999997</v>
      </c>
      <c r="J151" s="39">
        <f>MAX(J$47:J$62)</f>
        <v>21.855833333333333</v>
      </c>
      <c r="K151" s="39"/>
      <c r="L151" s="50"/>
      <c r="S151" s="39">
        <f>MAX(S$47:S$62)</f>
        <v>0</v>
      </c>
      <c r="T151" s="39">
        <f>MAX(T$47:T$62)</f>
        <v>0</v>
      </c>
      <c r="U151" s="39"/>
      <c r="V151" s="50"/>
      <c r="W151" s="39">
        <f t="shared" si="30"/>
        <v>0</v>
      </c>
      <c r="X151" s="39">
        <f t="shared" si="31"/>
        <v>0</v>
      </c>
      <c r="Y151" s="39"/>
      <c r="Z151" s="39"/>
    </row>
    <row r="152" spans="2:26" x14ac:dyDescent="0.2">
      <c r="B152" s="2" t="s">
        <v>27</v>
      </c>
      <c r="I152" s="39">
        <f>MAX(I$63:I$78)</f>
        <v>15.706</v>
      </c>
      <c r="J152" s="39">
        <f>MAX(J$63:J$78)</f>
        <v>8.0905555555555555</v>
      </c>
      <c r="K152" s="39"/>
      <c r="L152" s="50"/>
      <c r="S152" s="39">
        <f>MAX(S$63:S$78)</f>
        <v>0</v>
      </c>
      <c r="T152" s="39">
        <f>MAX(T$63:T$78)</f>
        <v>0</v>
      </c>
      <c r="U152" s="39"/>
      <c r="V152" s="50"/>
      <c r="W152" s="39">
        <f t="shared" si="30"/>
        <v>0</v>
      </c>
      <c r="X152" s="39">
        <f t="shared" si="31"/>
        <v>0</v>
      </c>
      <c r="Y152" s="39"/>
      <c r="Z152" s="39"/>
    </row>
    <row r="153" spans="2:26" x14ac:dyDescent="0.2">
      <c r="B153" s="2" t="s">
        <v>24</v>
      </c>
      <c r="I153" s="39">
        <f>MAX(I$79:I$90)</f>
        <v>0</v>
      </c>
      <c r="J153" s="39">
        <f>MAX(J$79:J$90)</f>
        <v>0</v>
      </c>
      <c r="K153" s="39"/>
      <c r="L153" s="50"/>
      <c r="S153" s="39">
        <f>MAX(S$79:S$90)</f>
        <v>0</v>
      </c>
      <c r="T153" s="39">
        <f>MAX(T$79:T$90)</f>
        <v>0</v>
      </c>
      <c r="U153" s="39"/>
      <c r="V153" s="50"/>
      <c r="W153" s="39" t="e">
        <f t="shared" si="30"/>
        <v>#DIV/0!</v>
      </c>
      <c r="X153" s="39" t="e">
        <f t="shared" si="31"/>
        <v>#DIV/0!</v>
      </c>
      <c r="Y153" s="39"/>
      <c r="Z153" s="39"/>
    </row>
    <row r="154" spans="2:26" x14ac:dyDescent="0.2">
      <c r="B154" s="2" t="s">
        <v>28</v>
      </c>
      <c r="I154" s="39">
        <f>MAX(I$91:I$106)</f>
        <v>182.82300000000001</v>
      </c>
      <c r="J154" s="39">
        <f>MAX(J$91:J$106)</f>
        <v>57.451944444444443</v>
      </c>
      <c r="K154" s="39"/>
      <c r="L154" s="50"/>
      <c r="S154" s="39">
        <f>MAX(S$91:S$106)</f>
        <v>0</v>
      </c>
      <c r="T154" s="39">
        <f>MAX(T$91:T$106)</f>
        <v>0</v>
      </c>
      <c r="U154" s="39"/>
      <c r="V154" s="50"/>
      <c r="W154" s="39">
        <f t="shared" si="30"/>
        <v>0</v>
      </c>
      <c r="X154" s="39">
        <f t="shared" si="31"/>
        <v>0</v>
      </c>
      <c r="Y154" s="39"/>
      <c r="Z154" s="39"/>
    </row>
    <row r="155" spans="2:26" x14ac:dyDescent="0.2">
      <c r="B155" s="2" t="s">
        <v>29</v>
      </c>
      <c r="I155" s="39">
        <f>MAX(I$107:I$122)</f>
        <v>94.728999999999999</v>
      </c>
      <c r="J155" s="39">
        <f>MAX(J$107:J$122)</f>
        <v>39.04</v>
      </c>
      <c r="K155" s="39"/>
      <c r="L155" s="50"/>
      <c r="S155" s="39">
        <f>MAX(S$107:S$122)</f>
        <v>0</v>
      </c>
      <c r="T155" s="39">
        <f>MAX(T$107:T$122)</f>
        <v>0</v>
      </c>
      <c r="U155" s="39"/>
      <c r="V155" s="50"/>
      <c r="W155" s="39">
        <f t="shared" si="30"/>
        <v>0</v>
      </c>
      <c r="X155" s="39">
        <f t="shared" si="31"/>
        <v>0</v>
      </c>
      <c r="Y155" s="39"/>
      <c r="Z155" s="39"/>
    </row>
    <row r="156" spans="2:26" x14ac:dyDescent="0.2">
      <c r="B156" s="2" t="s">
        <v>34</v>
      </c>
      <c r="I156" s="39">
        <f>MAX(I148:I155)</f>
        <v>580.82899999999995</v>
      </c>
      <c r="J156" s="39">
        <f>MAX(J148:J155)</f>
        <v>968.48944444444442</v>
      </c>
      <c r="K156" s="39"/>
      <c r="L156" s="50"/>
      <c r="S156" s="39">
        <f>MAX(S148:S155)</f>
        <v>0</v>
      </c>
      <c r="T156" s="39">
        <f>MAX(T148:T155)</f>
        <v>0</v>
      </c>
      <c r="U156" s="39"/>
      <c r="V156" s="50"/>
      <c r="W156" s="39">
        <f t="shared" si="30"/>
        <v>0</v>
      </c>
      <c r="X156" s="39">
        <f t="shared" si="31"/>
        <v>0</v>
      </c>
      <c r="Y156" s="39"/>
      <c r="Z156" s="39"/>
    </row>
  </sheetData>
  <mergeCells count="4">
    <mergeCell ref="D1:L1"/>
    <mergeCell ref="N1:V1"/>
    <mergeCell ref="AB1:AD1"/>
    <mergeCell ref="AE1:AG1"/>
  </mergeCells>
  <phoneticPr fontId="7" type="noConversion"/>
  <conditionalFormatting sqref="AE3">
    <cfRule type="cellIs" dxfId="905" priority="649" operator="greaterThan">
      <formula>0.03</formula>
    </cfRule>
    <cfRule type="cellIs" dxfId="904" priority="650" stopIfTrue="1" operator="lessThan">
      <formula>-0.03</formula>
    </cfRule>
  </conditionalFormatting>
  <conditionalFormatting sqref="AF3">
    <cfRule type="cellIs" dxfId="903" priority="647" operator="greaterThan">
      <formula>0.03</formula>
    </cfRule>
    <cfRule type="cellIs" dxfId="902" priority="648" stopIfTrue="1" operator="lessThan">
      <formula>-0.03</formula>
    </cfRule>
  </conditionalFormatting>
  <conditionalFormatting sqref="AG3">
    <cfRule type="cellIs" dxfId="901" priority="645" operator="greaterThan">
      <formula>0.03</formula>
    </cfRule>
    <cfRule type="cellIs" dxfId="900" priority="646" stopIfTrue="1" operator="lessThan">
      <formula>-0.03</formula>
    </cfRule>
  </conditionalFormatting>
  <conditionalFormatting sqref="AE6:AF6">
    <cfRule type="cellIs" dxfId="899" priority="625" operator="greaterThan">
      <formula>0.03</formula>
    </cfRule>
    <cfRule type="cellIs" dxfId="898" priority="626" stopIfTrue="1" operator="lessThan">
      <formula>-0.03</formula>
    </cfRule>
  </conditionalFormatting>
  <conditionalFormatting sqref="AE7">
    <cfRule type="cellIs" dxfId="897" priority="643" operator="greaterThan">
      <formula>0.03</formula>
    </cfRule>
    <cfRule type="cellIs" dxfId="896" priority="644" stopIfTrue="1" operator="lessThan">
      <formula>-0.03</formula>
    </cfRule>
  </conditionalFormatting>
  <conditionalFormatting sqref="AF7">
    <cfRule type="cellIs" dxfId="895" priority="641" operator="greaterThan">
      <formula>0.03</formula>
    </cfRule>
    <cfRule type="cellIs" dxfId="894" priority="642" stopIfTrue="1" operator="lessThan">
      <formula>-0.03</formula>
    </cfRule>
  </conditionalFormatting>
  <conditionalFormatting sqref="AG7">
    <cfRule type="cellIs" dxfId="893" priority="639" operator="greaterThan">
      <formula>0.03</formula>
    </cfRule>
    <cfRule type="cellIs" dxfId="892" priority="640" stopIfTrue="1" operator="lessThan">
      <formula>-0.03</formula>
    </cfRule>
  </conditionalFormatting>
  <conditionalFormatting sqref="AE10:AF10">
    <cfRule type="cellIs" dxfId="891" priority="623" operator="greaterThan">
      <formula>0.03</formula>
    </cfRule>
    <cfRule type="cellIs" dxfId="890" priority="624" stopIfTrue="1" operator="lessThan">
      <formula>-0.03</formula>
    </cfRule>
  </conditionalFormatting>
  <conditionalFormatting sqref="AE11">
    <cfRule type="cellIs" dxfId="889" priority="637" operator="greaterThan">
      <formula>0.03</formula>
    </cfRule>
    <cfRule type="cellIs" dxfId="888" priority="638" stopIfTrue="1" operator="lessThan">
      <formula>-0.03</formula>
    </cfRule>
  </conditionalFormatting>
  <conditionalFormatting sqref="AF11">
    <cfRule type="cellIs" dxfId="887" priority="635" operator="greaterThan">
      <formula>0.03</formula>
    </cfRule>
    <cfRule type="cellIs" dxfId="886" priority="636" stopIfTrue="1" operator="lessThan">
      <formula>-0.03</formula>
    </cfRule>
  </conditionalFormatting>
  <conditionalFormatting sqref="AG11">
    <cfRule type="cellIs" dxfId="885" priority="633" operator="greaterThan">
      <formula>0.03</formula>
    </cfRule>
    <cfRule type="cellIs" dxfId="884" priority="634" stopIfTrue="1" operator="lessThan">
      <formula>-0.03</formula>
    </cfRule>
  </conditionalFormatting>
  <conditionalFormatting sqref="AE14:AF14">
    <cfRule type="cellIs" dxfId="883" priority="621" operator="greaterThan">
      <formula>0.03</formula>
    </cfRule>
    <cfRule type="cellIs" dxfId="882" priority="622" stopIfTrue="1" operator="lessThan">
      <formula>-0.03</formula>
    </cfRule>
  </conditionalFormatting>
  <conditionalFormatting sqref="AE15">
    <cfRule type="cellIs" dxfId="881" priority="551" operator="greaterThan">
      <formula>0.03</formula>
    </cfRule>
    <cfRule type="cellIs" dxfId="880" priority="552" stopIfTrue="1" operator="lessThan">
      <formula>-0.03</formula>
    </cfRule>
  </conditionalFormatting>
  <conditionalFormatting sqref="AF15">
    <cfRule type="cellIs" dxfId="879" priority="549" operator="greaterThan">
      <formula>0.03</formula>
    </cfRule>
    <cfRule type="cellIs" dxfId="878" priority="550" stopIfTrue="1" operator="lessThan">
      <formula>-0.03</formula>
    </cfRule>
  </conditionalFormatting>
  <conditionalFormatting sqref="AG15">
    <cfRule type="cellIs" dxfId="877" priority="547" operator="greaterThan">
      <formula>0.03</formula>
    </cfRule>
    <cfRule type="cellIs" dxfId="876" priority="548" stopIfTrue="1" operator="lessThan">
      <formula>-0.03</formula>
    </cfRule>
  </conditionalFormatting>
  <conditionalFormatting sqref="AE18:AF18">
    <cfRule type="cellIs" dxfId="875" priority="527" operator="greaterThan">
      <formula>0.03</formula>
    </cfRule>
    <cfRule type="cellIs" dxfId="874" priority="528" stopIfTrue="1" operator="lessThan">
      <formula>-0.03</formula>
    </cfRule>
  </conditionalFormatting>
  <conditionalFormatting sqref="AE19">
    <cfRule type="cellIs" dxfId="873" priority="545" operator="greaterThan">
      <formula>0.03</formula>
    </cfRule>
    <cfRule type="cellIs" dxfId="872" priority="546" stopIfTrue="1" operator="lessThan">
      <formula>-0.03</formula>
    </cfRule>
  </conditionalFormatting>
  <conditionalFormatting sqref="AF19">
    <cfRule type="cellIs" dxfId="871" priority="543" operator="greaterThan">
      <formula>0.03</formula>
    </cfRule>
    <cfRule type="cellIs" dxfId="870" priority="544" stopIfTrue="1" operator="lessThan">
      <formula>-0.03</formula>
    </cfRule>
  </conditionalFormatting>
  <conditionalFormatting sqref="AG19">
    <cfRule type="cellIs" dxfId="869" priority="541" operator="greaterThan">
      <formula>0.03</formula>
    </cfRule>
    <cfRule type="cellIs" dxfId="868" priority="542" stopIfTrue="1" operator="lessThan">
      <formula>-0.03</formula>
    </cfRule>
  </conditionalFormatting>
  <conditionalFormatting sqref="AE22:AF22">
    <cfRule type="cellIs" dxfId="867" priority="525" operator="greaterThan">
      <formula>0.03</formula>
    </cfRule>
    <cfRule type="cellIs" dxfId="866" priority="526" stopIfTrue="1" operator="lessThan">
      <formula>-0.03</formula>
    </cfRule>
  </conditionalFormatting>
  <conditionalFormatting sqref="AE23">
    <cfRule type="cellIs" dxfId="865" priority="539" operator="greaterThan">
      <formula>0.03</formula>
    </cfRule>
    <cfRule type="cellIs" dxfId="864" priority="540" stopIfTrue="1" operator="lessThan">
      <formula>-0.03</formula>
    </cfRule>
  </conditionalFormatting>
  <conditionalFormatting sqref="AF23">
    <cfRule type="cellIs" dxfId="863" priority="537" operator="greaterThan">
      <formula>0.03</formula>
    </cfRule>
    <cfRule type="cellIs" dxfId="862" priority="538" stopIfTrue="1" operator="lessThan">
      <formula>-0.03</formula>
    </cfRule>
  </conditionalFormatting>
  <conditionalFormatting sqref="AG23">
    <cfRule type="cellIs" dxfId="861" priority="535" operator="greaterThan">
      <formula>0.03</formula>
    </cfRule>
    <cfRule type="cellIs" dxfId="860" priority="536" stopIfTrue="1" operator="lessThan">
      <formula>-0.03</formula>
    </cfRule>
  </conditionalFormatting>
  <conditionalFormatting sqref="AE26:AF26">
    <cfRule type="cellIs" dxfId="859" priority="523" operator="greaterThan">
      <formula>0.03</formula>
    </cfRule>
    <cfRule type="cellIs" dxfId="858" priority="524" stopIfTrue="1" operator="lessThan">
      <formula>-0.03</formula>
    </cfRule>
  </conditionalFormatting>
  <conditionalFormatting sqref="AE27">
    <cfRule type="cellIs" dxfId="857" priority="477" operator="greaterThan">
      <formula>0.03</formula>
    </cfRule>
    <cfRule type="cellIs" dxfId="856" priority="478" stopIfTrue="1" operator="lessThan">
      <formula>-0.03</formula>
    </cfRule>
  </conditionalFormatting>
  <conditionalFormatting sqref="AF27">
    <cfRule type="cellIs" dxfId="855" priority="475" operator="greaterThan">
      <formula>0.03</formula>
    </cfRule>
    <cfRule type="cellIs" dxfId="854" priority="476" stopIfTrue="1" operator="lessThan">
      <formula>-0.03</formula>
    </cfRule>
  </conditionalFormatting>
  <conditionalFormatting sqref="AG27">
    <cfRule type="cellIs" dxfId="853" priority="473" operator="greaterThan">
      <formula>0.03</formula>
    </cfRule>
    <cfRule type="cellIs" dxfId="852" priority="474" stopIfTrue="1" operator="lessThan">
      <formula>-0.03</formula>
    </cfRule>
  </conditionalFormatting>
  <conditionalFormatting sqref="AE30:AF30">
    <cfRule type="cellIs" dxfId="851" priority="471" operator="greaterThan">
      <formula>0.03</formula>
    </cfRule>
    <cfRule type="cellIs" dxfId="850" priority="472" stopIfTrue="1" operator="lessThan">
      <formula>-0.03</formula>
    </cfRule>
  </conditionalFormatting>
  <conditionalFormatting sqref="AE31">
    <cfRule type="cellIs" dxfId="849" priority="457" operator="greaterThan">
      <formula>0.03</formula>
    </cfRule>
    <cfRule type="cellIs" dxfId="848" priority="458" stopIfTrue="1" operator="lessThan">
      <formula>-0.03</formula>
    </cfRule>
  </conditionalFormatting>
  <conditionalFormatting sqref="AF31">
    <cfRule type="cellIs" dxfId="847" priority="455" operator="greaterThan">
      <formula>0.03</formula>
    </cfRule>
    <cfRule type="cellIs" dxfId="846" priority="456" stopIfTrue="1" operator="lessThan">
      <formula>-0.03</formula>
    </cfRule>
  </conditionalFormatting>
  <conditionalFormatting sqref="AG31">
    <cfRule type="cellIs" dxfId="845" priority="453" operator="greaterThan">
      <formula>0.03</formula>
    </cfRule>
    <cfRule type="cellIs" dxfId="844" priority="454" stopIfTrue="1" operator="lessThan">
      <formula>-0.03</formula>
    </cfRule>
  </conditionalFormatting>
  <conditionalFormatting sqref="AE34:AF34">
    <cfRule type="cellIs" dxfId="843" priority="445" operator="greaterThan">
      <formula>0.03</formula>
    </cfRule>
    <cfRule type="cellIs" dxfId="842" priority="446" stopIfTrue="1" operator="lessThan">
      <formula>-0.03</formula>
    </cfRule>
  </conditionalFormatting>
  <conditionalFormatting sqref="AE35">
    <cfRule type="cellIs" dxfId="841" priority="451" operator="greaterThan">
      <formula>0.03</formula>
    </cfRule>
    <cfRule type="cellIs" dxfId="840" priority="452" stopIfTrue="1" operator="lessThan">
      <formula>-0.03</formula>
    </cfRule>
  </conditionalFormatting>
  <conditionalFormatting sqref="AF35">
    <cfRule type="cellIs" dxfId="839" priority="449" operator="greaterThan">
      <formula>0.03</formula>
    </cfRule>
    <cfRule type="cellIs" dxfId="838" priority="450" stopIfTrue="1" operator="lessThan">
      <formula>-0.03</formula>
    </cfRule>
  </conditionalFormatting>
  <conditionalFormatting sqref="AG35">
    <cfRule type="cellIs" dxfId="837" priority="447" operator="greaterThan">
      <formula>0.03</formula>
    </cfRule>
    <cfRule type="cellIs" dxfId="836" priority="448" stopIfTrue="1" operator="lessThan">
      <formula>-0.03</formula>
    </cfRule>
  </conditionalFormatting>
  <conditionalFormatting sqref="AE38:AF38">
    <cfRule type="cellIs" dxfId="835" priority="443" operator="greaterThan">
      <formula>0.03</formula>
    </cfRule>
    <cfRule type="cellIs" dxfId="834" priority="444" stopIfTrue="1" operator="lessThan">
      <formula>-0.03</formula>
    </cfRule>
  </conditionalFormatting>
  <conditionalFormatting sqref="AE39">
    <cfRule type="cellIs" dxfId="833" priority="419" operator="greaterThan">
      <formula>0.03</formula>
    </cfRule>
    <cfRule type="cellIs" dxfId="832" priority="420" stopIfTrue="1" operator="lessThan">
      <formula>-0.03</formula>
    </cfRule>
  </conditionalFormatting>
  <conditionalFormatting sqref="AF39">
    <cfRule type="cellIs" dxfId="831" priority="417" operator="greaterThan">
      <formula>0.03</formula>
    </cfRule>
    <cfRule type="cellIs" dxfId="830" priority="418" stopIfTrue="1" operator="lessThan">
      <formula>-0.03</formula>
    </cfRule>
  </conditionalFormatting>
  <conditionalFormatting sqref="AG39">
    <cfRule type="cellIs" dxfId="829" priority="415" operator="greaterThan">
      <formula>0.03</formula>
    </cfRule>
    <cfRule type="cellIs" dxfId="828" priority="416" stopIfTrue="1" operator="lessThan">
      <formula>-0.03</formula>
    </cfRule>
  </conditionalFormatting>
  <conditionalFormatting sqref="AE42:AF42">
    <cfRule type="cellIs" dxfId="827" priority="407" operator="greaterThan">
      <formula>0.03</formula>
    </cfRule>
    <cfRule type="cellIs" dxfId="826" priority="408" stopIfTrue="1" operator="lessThan">
      <formula>-0.03</formula>
    </cfRule>
  </conditionalFormatting>
  <conditionalFormatting sqref="AE43">
    <cfRule type="cellIs" dxfId="825" priority="413" operator="greaterThan">
      <formula>0.03</formula>
    </cfRule>
    <cfRule type="cellIs" dxfId="824" priority="414" stopIfTrue="1" operator="lessThan">
      <formula>-0.03</formula>
    </cfRule>
  </conditionalFormatting>
  <conditionalFormatting sqref="AF43">
    <cfRule type="cellIs" dxfId="823" priority="411" operator="greaterThan">
      <formula>0.03</formula>
    </cfRule>
    <cfRule type="cellIs" dxfId="822" priority="412" stopIfTrue="1" operator="lessThan">
      <formula>-0.03</formula>
    </cfRule>
  </conditionalFormatting>
  <conditionalFormatting sqref="AG43">
    <cfRule type="cellIs" dxfId="821" priority="409" operator="greaterThan">
      <formula>0.03</formula>
    </cfRule>
    <cfRule type="cellIs" dxfId="820" priority="410" stopIfTrue="1" operator="lessThan">
      <formula>-0.03</formula>
    </cfRule>
  </conditionalFormatting>
  <conditionalFormatting sqref="AE46:AF46">
    <cfRule type="cellIs" dxfId="819" priority="405" operator="greaterThan">
      <formula>0.03</formula>
    </cfRule>
    <cfRule type="cellIs" dxfId="818" priority="406" stopIfTrue="1" operator="lessThan">
      <formula>-0.03</formula>
    </cfRule>
  </conditionalFormatting>
  <conditionalFormatting sqref="AE47">
    <cfRule type="cellIs" dxfId="817" priority="381" operator="greaterThan">
      <formula>0.03</formula>
    </cfRule>
    <cfRule type="cellIs" dxfId="816" priority="382" stopIfTrue="1" operator="lessThan">
      <formula>-0.03</formula>
    </cfRule>
  </conditionalFormatting>
  <conditionalFormatting sqref="AF47">
    <cfRule type="cellIs" dxfId="815" priority="379" operator="greaterThan">
      <formula>0.03</formula>
    </cfRule>
    <cfRule type="cellIs" dxfId="814" priority="380" stopIfTrue="1" operator="lessThan">
      <formula>-0.03</formula>
    </cfRule>
  </conditionalFormatting>
  <conditionalFormatting sqref="AG47">
    <cfRule type="cellIs" dxfId="813" priority="377" operator="greaterThan">
      <formula>0.03</formula>
    </cfRule>
    <cfRule type="cellIs" dxfId="812" priority="378" stopIfTrue="1" operator="lessThan">
      <formula>-0.03</formula>
    </cfRule>
  </conditionalFormatting>
  <conditionalFormatting sqref="AE50:AF50">
    <cfRule type="cellIs" dxfId="811" priority="357" operator="greaterThan">
      <formula>0.03</formula>
    </cfRule>
    <cfRule type="cellIs" dxfId="810" priority="358" stopIfTrue="1" operator="lessThan">
      <formula>-0.03</formula>
    </cfRule>
  </conditionalFormatting>
  <conditionalFormatting sqref="AE51">
    <cfRule type="cellIs" dxfId="809" priority="375" operator="greaterThan">
      <formula>0.03</formula>
    </cfRule>
    <cfRule type="cellIs" dxfId="808" priority="376" stopIfTrue="1" operator="lessThan">
      <formula>-0.03</formula>
    </cfRule>
  </conditionalFormatting>
  <conditionalFormatting sqref="AF51">
    <cfRule type="cellIs" dxfId="807" priority="373" operator="greaterThan">
      <formula>0.03</formula>
    </cfRule>
    <cfRule type="cellIs" dxfId="806" priority="374" stopIfTrue="1" operator="lessThan">
      <formula>-0.03</formula>
    </cfRule>
  </conditionalFormatting>
  <conditionalFormatting sqref="AG51">
    <cfRule type="cellIs" dxfId="805" priority="371" operator="greaterThan">
      <formula>0.03</formula>
    </cfRule>
    <cfRule type="cellIs" dxfId="804" priority="372" stopIfTrue="1" operator="lessThan">
      <formula>-0.03</formula>
    </cfRule>
  </conditionalFormatting>
  <conditionalFormatting sqref="AE54:AF54">
    <cfRule type="cellIs" dxfId="803" priority="355" operator="greaterThan">
      <formula>0.03</formula>
    </cfRule>
    <cfRule type="cellIs" dxfId="802" priority="356" stopIfTrue="1" operator="lessThan">
      <formula>-0.03</formula>
    </cfRule>
  </conditionalFormatting>
  <conditionalFormatting sqref="AE55">
    <cfRule type="cellIs" dxfId="801" priority="369" operator="greaterThan">
      <formula>0.03</formula>
    </cfRule>
    <cfRule type="cellIs" dxfId="800" priority="370" stopIfTrue="1" operator="lessThan">
      <formula>-0.03</formula>
    </cfRule>
  </conditionalFormatting>
  <conditionalFormatting sqref="AF55">
    <cfRule type="cellIs" dxfId="799" priority="367" operator="greaterThan">
      <formula>0.03</formula>
    </cfRule>
    <cfRule type="cellIs" dxfId="798" priority="368" stopIfTrue="1" operator="lessThan">
      <formula>-0.03</formula>
    </cfRule>
  </conditionalFormatting>
  <conditionalFormatting sqref="AG55">
    <cfRule type="cellIs" dxfId="797" priority="365" operator="greaterThan">
      <formula>0.03</formula>
    </cfRule>
    <cfRule type="cellIs" dxfId="796" priority="366" stopIfTrue="1" operator="lessThan">
      <formula>-0.03</formula>
    </cfRule>
  </conditionalFormatting>
  <conditionalFormatting sqref="AE58:AF58">
    <cfRule type="cellIs" dxfId="795" priority="353" operator="greaterThan">
      <formula>0.03</formula>
    </cfRule>
    <cfRule type="cellIs" dxfId="794" priority="354" stopIfTrue="1" operator="lessThan">
      <formula>-0.03</formula>
    </cfRule>
  </conditionalFormatting>
  <conditionalFormatting sqref="AE59">
    <cfRule type="cellIs" dxfId="793" priority="363" operator="greaterThan">
      <formula>0.03</formula>
    </cfRule>
    <cfRule type="cellIs" dxfId="792" priority="364" stopIfTrue="1" operator="lessThan">
      <formula>-0.03</formula>
    </cfRule>
  </conditionalFormatting>
  <conditionalFormatting sqref="AF59">
    <cfRule type="cellIs" dxfId="791" priority="361" operator="greaterThan">
      <formula>0.03</formula>
    </cfRule>
    <cfRule type="cellIs" dxfId="790" priority="362" stopIfTrue="1" operator="lessThan">
      <formula>-0.03</formula>
    </cfRule>
  </conditionalFormatting>
  <conditionalFormatting sqref="AG59">
    <cfRule type="cellIs" dxfId="789" priority="359" operator="greaterThan">
      <formula>0.03</formula>
    </cfRule>
    <cfRule type="cellIs" dxfId="788" priority="360" stopIfTrue="1" operator="lessThan">
      <formula>-0.03</formula>
    </cfRule>
  </conditionalFormatting>
  <conditionalFormatting sqref="AE62:AF62">
    <cfRule type="cellIs" dxfId="787" priority="351" operator="greaterThan">
      <formula>0.03</formula>
    </cfRule>
    <cfRule type="cellIs" dxfId="786" priority="352" stopIfTrue="1" operator="lessThan">
      <formula>-0.03</formula>
    </cfRule>
  </conditionalFormatting>
  <conditionalFormatting sqref="AE63">
    <cfRule type="cellIs" dxfId="785" priority="307" operator="greaterThan">
      <formula>0.03</formula>
    </cfRule>
    <cfRule type="cellIs" dxfId="784" priority="308" stopIfTrue="1" operator="lessThan">
      <formula>-0.03</formula>
    </cfRule>
  </conditionalFormatting>
  <conditionalFormatting sqref="AF63">
    <cfRule type="cellIs" dxfId="783" priority="305" operator="greaterThan">
      <formula>0.03</formula>
    </cfRule>
    <cfRule type="cellIs" dxfId="782" priority="306" stopIfTrue="1" operator="lessThan">
      <formula>-0.03</formula>
    </cfRule>
  </conditionalFormatting>
  <conditionalFormatting sqref="AG63">
    <cfRule type="cellIs" dxfId="781" priority="303" operator="greaterThan">
      <formula>0.03</formula>
    </cfRule>
    <cfRule type="cellIs" dxfId="780" priority="304" stopIfTrue="1" operator="lessThan">
      <formula>-0.03</formula>
    </cfRule>
  </conditionalFormatting>
  <conditionalFormatting sqref="AE66:AF66">
    <cfRule type="cellIs" dxfId="779" priority="283" operator="greaterThan">
      <formula>0.03</formula>
    </cfRule>
    <cfRule type="cellIs" dxfId="778" priority="284" stopIfTrue="1" operator="lessThan">
      <formula>-0.03</formula>
    </cfRule>
  </conditionalFormatting>
  <conditionalFormatting sqref="AE67">
    <cfRule type="cellIs" dxfId="777" priority="301" operator="greaterThan">
      <formula>0.03</formula>
    </cfRule>
    <cfRule type="cellIs" dxfId="776" priority="302" stopIfTrue="1" operator="lessThan">
      <formula>-0.03</formula>
    </cfRule>
  </conditionalFormatting>
  <conditionalFormatting sqref="AF67">
    <cfRule type="cellIs" dxfId="775" priority="299" operator="greaterThan">
      <formula>0.03</formula>
    </cfRule>
    <cfRule type="cellIs" dxfId="774" priority="300" stopIfTrue="1" operator="lessThan">
      <formula>-0.03</formula>
    </cfRule>
  </conditionalFormatting>
  <conditionalFormatting sqref="AG67">
    <cfRule type="cellIs" dxfId="773" priority="297" operator="greaterThan">
      <formula>0.03</formula>
    </cfRule>
    <cfRule type="cellIs" dxfId="772" priority="298" stopIfTrue="1" operator="lessThan">
      <formula>-0.03</formula>
    </cfRule>
  </conditionalFormatting>
  <conditionalFormatting sqref="AE70:AF70">
    <cfRule type="cellIs" dxfId="771" priority="281" operator="greaterThan">
      <formula>0.03</formula>
    </cfRule>
    <cfRule type="cellIs" dxfId="770" priority="282" stopIfTrue="1" operator="lessThan">
      <formula>-0.03</formula>
    </cfRule>
  </conditionalFormatting>
  <conditionalFormatting sqref="AE71">
    <cfRule type="cellIs" dxfId="769" priority="295" operator="greaterThan">
      <formula>0.03</formula>
    </cfRule>
    <cfRule type="cellIs" dxfId="768" priority="296" stopIfTrue="1" operator="lessThan">
      <formula>-0.03</formula>
    </cfRule>
  </conditionalFormatting>
  <conditionalFormatting sqref="AF71">
    <cfRule type="cellIs" dxfId="767" priority="293" operator="greaterThan">
      <formula>0.03</formula>
    </cfRule>
    <cfRule type="cellIs" dxfId="766" priority="294" stopIfTrue="1" operator="lessThan">
      <formula>-0.03</formula>
    </cfRule>
  </conditionalFormatting>
  <conditionalFormatting sqref="AG71">
    <cfRule type="cellIs" dxfId="765" priority="291" operator="greaterThan">
      <formula>0.03</formula>
    </cfRule>
    <cfRule type="cellIs" dxfId="764" priority="292" stopIfTrue="1" operator="lessThan">
      <formula>-0.03</formula>
    </cfRule>
  </conditionalFormatting>
  <conditionalFormatting sqref="AE74:AF74">
    <cfRule type="cellIs" dxfId="763" priority="279" operator="greaterThan">
      <formula>0.03</formula>
    </cfRule>
    <cfRule type="cellIs" dxfId="762" priority="280" stopIfTrue="1" operator="lessThan">
      <formula>-0.03</formula>
    </cfRule>
  </conditionalFormatting>
  <conditionalFormatting sqref="AE75">
    <cfRule type="cellIs" dxfId="761" priority="289" operator="greaterThan">
      <formula>0.03</formula>
    </cfRule>
    <cfRule type="cellIs" dxfId="760" priority="290" stopIfTrue="1" operator="lessThan">
      <formula>-0.03</formula>
    </cfRule>
  </conditionalFormatting>
  <conditionalFormatting sqref="AF75">
    <cfRule type="cellIs" dxfId="759" priority="287" operator="greaterThan">
      <formula>0.03</formula>
    </cfRule>
    <cfRule type="cellIs" dxfId="758" priority="288" stopIfTrue="1" operator="lessThan">
      <formula>-0.03</formula>
    </cfRule>
  </conditionalFormatting>
  <conditionalFormatting sqref="AG75">
    <cfRule type="cellIs" dxfId="757" priority="285" operator="greaterThan">
      <formula>0.03</formula>
    </cfRule>
    <cfRule type="cellIs" dxfId="756" priority="286" stopIfTrue="1" operator="lessThan">
      <formula>-0.03</formula>
    </cfRule>
  </conditionalFormatting>
  <conditionalFormatting sqref="AE78:AF78">
    <cfRule type="cellIs" dxfId="755" priority="277" operator="greaterThan">
      <formula>0.03</formula>
    </cfRule>
    <cfRule type="cellIs" dxfId="754" priority="278" stopIfTrue="1" operator="lessThan">
      <formula>-0.03</formula>
    </cfRule>
  </conditionalFormatting>
  <conditionalFormatting sqref="AE79">
    <cfRule type="cellIs" dxfId="753" priority="159" operator="greaterThan">
      <formula>0.03</formula>
    </cfRule>
    <cfRule type="cellIs" dxfId="752" priority="160" stopIfTrue="1" operator="lessThan">
      <formula>-0.03</formula>
    </cfRule>
  </conditionalFormatting>
  <conditionalFormatting sqref="AF79">
    <cfRule type="cellIs" dxfId="751" priority="157" operator="greaterThan">
      <formula>0.03</formula>
    </cfRule>
    <cfRule type="cellIs" dxfId="750" priority="158" stopIfTrue="1" operator="lessThan">
      <formula>-0.03</formula>
    </cfRule>
  </conditionalFormatting>
  <conditionalFormatting sqref="AG79">
    <cfRule type="cellIs" dxfId="749" priority="155" operator="greaterThan">
      <formula>0.03</formula>
    </cfRule>
    <cfRule type="cellIs" dxfId="748" priority="156" stopIfTrue="1" operator="lessThan">
      <formula>-0.03</formula>
    </cfRule>
  </conditionalFormatting>
  <conditionalFormatting sqref="AE82:AF82">
    <cfRule type="cellIs" dxfId="747" priority="141" operator="greaterThan">
      <formula>0.03</formula>
    </cfRule>
    <cfRule type="cellIs" dxfId="746" priority="142" stopIfTrue="1" operator="lessThan">
      <formula>-0.03</formula>
    </cfRule>
  </conditionalFormatting>
  <conditionalFormatting sqref="AE83">
    <cfRule type="cellIs" dxfId="745" priority="153" operator="greaterThan">
      <formula>0.03</formula>
    </cfRule>
    <cfRule type="cellIs" dxfId="744" priority="154" stopIfTrue="1" operator="lessThan">
      <formula>-0.03</formula>
    </cfRule>
  </conditionalFormatting>
  <conditionalFormatting sqref="AF83">
    <cfRule type="cellIs" dxfId="743" priority="151" operator="greaterThan">
      <formula>0.03</formula>
    </cfRule>
    <cfRule type="cellIs" dxfId="742" priority="152" stopIfTrue="1" operator="lessThan">
      <formula>-0.03</formula>
    </cfRule>
  </conditionalFormatting>
  <conditionalFormatting sqref="AG83">
    <cfRule type="cellIs" dxfId="741" priority="149" operator="greaterThan">
      <formula>0.03</formula>
    </cfRule>
    <cfRule type="cellIs" dxfId="740" priority="150" stopIfTrue="1" operator="lessThan">
      <formula>-0.03</formula>
    </cfRule>
  </conditionalFormatting>
  <conditionalFormatting sqref="AE86:AF86">
    <cfRule type="cellIs" dxfId="739" priority="139" operator="greaterThan">
      <formula>0.03</formula>
    </cfRule>
    <cfRule type="cellIs" dxfId="738" priority="140" stopIfTrue="1" operator="lessThan">
      <formula>-0.03</formula>
    </cfRule>
  </conditionalFormatting>
  <conditionalFormatting sqref="AE87">
    <cfRule type="cellIs" dxfId="737" priority="147" operator="greaterThan">
      <formula>0.03</formula>
    </cfRule>
    <cfRule type="cellIs" dxfId="736" priority="148" stopIfTrue="1" operator="lessThan">
      <formula>-0.03</formula>
    </cfRule>
  </conditionalFormatting>
  <conditionalFormatting sqref="AF87">
    <cfRule type="cellIs" dxfId="735" priority="145" operator="greaterThan">
      <formula>0.03</formula>
    </cfRule>
    <cfRule type="cellIs" dxfId="734" priority="146" stopIfTrue="1" operator="lessThan">
      <formula>-0.03</formula>
    </cfRule>
  </conditionalFormatting>
  <conditionalFormatting sqref="AG87">
    <cfRule type="cellIs" dxfId="733" priority="143" operator="greaterThan">
      <formula>0.03</formula>
    </cfRule>
    <cfRule type="cellIs" dxfId="732" priority="144" stopIfTrue="1" operator="lessThan">
      <formula>-0.03</formula>
    </cfRule>
  </conditionalFormatting>
  <conditionalFormatting sqref="AE90:AF90">
    <cfRule type="cellIs" dxfId="731" priority="137" operator="greaterThan">
      <formula>0.03</formula>
    </cfRule>
    <cfRule type="cellIs" dxfId="730" priority="138" stopIfTrue="1" operator="lessThan">
      <formula>-0.03</formula>
    </cfRule>
  </conditionalFormatting>
  <conditionalFormatting sqref="AE91">
    <cfRule type="cellIs" dxfId="729" priority="233" operator="greaterThan">
      <formula>0.03</formula>
    </cfRule>
    <cfRule type="cellIs" dxfId="728" priority="234" stopIfTrue="1" operator="lessThan">
      <formula>-0.03</formula>
    </cfRule>
  </conditionalFormatting>
  <conditionalFormatting sqref="AF91">
    <cfRule type="cellIs" dxfId="727" priority="231" operator="greaterThan">
      <formula>0.03</formula>
    </cfRule>
    <cfRule type="cellIs" dxfId="726" priority="232" stopIfTrue="1" operator="lessThan">
      <formula>-0.03</formula>
    </cfRule>
  </conditionalFormatting>
  <conditionalFormatting sqref="AG91">
    <cfRule type="cellIs" dxfId="725" priority="229" operator="greaterThan">
      <formula>0.03</formula>
    </cfRule>
    <cfRule type="cellIs" dxfId="724" priority="230" stopIfTrue="1" operator="lessThan">
      <formula>-0.03</formula>
    </cfRule>
  </conditionalFormatting>
  <conditionalFormatting sqref="AE94:AF94">
    <cfRule type="cellIs" dxfId="723" priority="209" operator="greaterThan">
      <formula>0.03</formula>
    </cfRule>
    <cfRule type="cellIs" dxfId="722" priority="210" stopIfTrue="1" operator="lessThan">
      <formula>-0.03</formula>
    </cfRule>
  </conditionalFormatting>
  <conditionalFormatting sqref="AE95">
    <cfRule type="cellIs" dxfId="721" priority="227" operator="greaterThan">
      <formula>0.03</formula>
    </cfRule>
    <cfRule type="cellIs" dxfId="720" priority="228" stopIfTrue="1" operator="lessThan">
      <formula>-0.03</formula>
    </cfRule>
  </conditionalFormatting>
  <conditionalFormatting sqref="AF95">
    <cfRule type="cellIs" dxfId="719" priority="225" operator="greaterThan">
      <formula>0.03</formula>
    </cfRule>
    <cfRule type="cellIs" dxfId="718" priority="226" stopIfTrue="1" operator="lessThan">
      <formula>-0.03</formula>
    </cfRule>
  </conditionalFormatting>
  <conditionalFormatting sqref="AG95">
    <cfRule type="cellIs" dxfId="717" priority="223" operator="greaterThan">
      <formula>0.03</formula>
    </cfRule>
    <cfRule type="cellIs" dxfId="716" priority="224" stopIfTrue="1" operator="lessThan">
      <formula>-0.03</formula>
    </cfRule>
  </conditionalFormatting>
  <conditionalFormatting sqref="AE98:AF98">
    <cfRule type="cellIs" dxfId="715" priority="207" operator="greaterThan">
      <formula>0.03</formula>
    </cfRule>
    <cfRule type="cellIs" dxfId="714" priority="208" stopIfTrue="1" operator="lessThan">
      <formula>-0.03</formula>
    </cfRule>
  </conditionalFormatting>
  <conditionalFormatting sqref="AE99">
    <cfRule type="cellIs" dxfId="713" priority="221" operator="greaterThan">
      <formula>0.03</formula>
    </cfRule>
    <cfRule type="cellIs" dxfId="712" priority="222" stopIfTrue="1" operator="lessThan">
      <formula>-0.03</formula>
    </cfRule>
  </conditionalFormatting>
  <conditionalFormatting sqref="AF99">
    <cfRule type="cellIs" dxfId="711" priority="219" operator="greaterThan">
      <formula>0.03</formula>
    </cfRule>
    <cfRule type="cellIs" dxfId="710" priority="220" stopIfTrue="1" operator="lessThan">
      <formula>-0.03</formula>
    </cfRule>
  </conditionalFormatting>
  <conditionalFormatting sqref="AG99">
    <cfRule type="cellIs" dxfId="709" priority="217" operator="greaterThan">
      <formula>0.03</formula>
    </cfRule>
    <cfRule type="cellIs" dxfId="708" priority="218" stopIfTrue="1" operator="lessThan">
      <formula>-0.03</formula>
    </cfRule>
  </conditionalFormatting>
  <conditionalFormatting sqref="AE102:AF102">
    <cfRule type="cellIs" dxfId="707" priority="205" operator="greaterThan">
      <formula>0.03</formula>
    </cfRule>
    <cfRule type="cellIs" dxfId="706" priority="206" stopIfTrue="1" operator="lessThan">
      <formula>-0.03</formula>
    </cfRule>
  </conditionalFormatting>
  <conditionalFormatting sqref="AE103">
    <cfRule type="cellIs" dxfId="705" priority="215" operator="greaterThan">
      <formula>0.03</formula>
    </cfRule>
    <cfRule type="cellIs" dxfId="704" priority="216" stopIfTrue="1" operator="lessThan">
      <formula>-0.03</formula>
    </cfRule>
  </conditionalFormatting>
  <conditionalFormatting sqref="AF103">
    <cfRule type="cellIs" dxfId="703" priority="213" operator="greaterThan">
      <formula>0.03</formula>
    </cfRule>
    <cfRule type="cellIs" dxfId="702" priority="214" stopIfTrue="1" operator="lessThan">
      <formula>-0.03</formula>
    </cfRule>
  </conditionalFormatting>
  <conditionalFormatting sqref="AG103">
    <cfRule type="cellIs" dxfId="701" priority="211" operator="greaterThan">
      <formula>0.03</formula>
    </cfRule>
    <cfRule type="cellIs" dxfId="700" priority="212" stopIfTrue="1" operator="lessThan">
      <formula>-0.03</formula>
    </cfRule>
  </conditionalFormatting>
  <conditionalFormatting sqref="AE106:AF106">
    <cfRule type="cellIs" dxfId="699" priority="203" operator="greaterThan">
      <formula>0.03</formula>
    </cfRule>
    <cfRule type="cellIs" dxfId="698" priority="204" stopIfTrue="1" operator="lessThan">
      <formula>-0.03</formula>
    </cfRule>
  </conditionalFormatting>
  <conditionalFormatting sqref="AE107">
    <cfRule type="cellIs" dxfId="697" priority="103" operator="greaterThan">
      <formula>0.03</formula>
    </cfRule>
    <cfRule type="cellIs" dxfId="696" priority="104" stopIfTrue="1" operator="lessThan">
      <formula>-0.03</formula>
    </cfRule>
  </conditionalFormatting>
  <conditionalFormatting sqref="AF107">
    <cfRule type="cellIs" dxfId="695" priority="101" operator="greaterThan">
      <formula>0.03</formula>
    </cfRule>
    <cfRule type="cellIs" dxfId="694" priority="102" stopIfTrue="1" operator="lessThan">
      <formula>-0.03</formula>
    </cfRule>
  </conditionalFormatting>
  <conditionalFormatting sqref="AG107">
    <cfRule type="cellIs" dxfId="693" priority="99" operator="greaterThan">
      <formula>0.03</formula>
    </cfRule>
    <cfRule type="cellIs" dxfId="692" priority="100" stopIfTrue="1" operator="lessThan">
      <formula>-0.03</formula>
    </cfRule>
  </conditionalFormatting>
  <conditionalFormatting sqref="AE110:AF110">
    <cfRule type="cellIs" dxfId="691" priority="79" operator="greaterThan">
      <formula>0.03</formula>
    </cfRule>
    <cfRule type="cellIs" dxfId="690" priority="80" stopIfTrue="1" operator="lessThan">
      <formula>-0.03</formula>
    </cfRule>
  </conditionalFormatting>
  <conditionalFormatting sqref="AE111">
    <cfRule type="cellIs" dxfId="689" priority="97" operator="greaterThan">
      <formula>0.03</formula>
    </cfRule>
    <cfRule type="cellIs" dxfId="688" priority="98" stopIfTrue="1" operator="lessThan">
      <formula>-0.03</formula>
    </cfRule>
  </conditionalFormatting>
  <conditionalFormatting sqref="AF111">
    <cfRule type="cellIs" dxfId="687" priority="95" operator="greaterThan">
      <formula>0.03</formula>
    </cfRule>
    <cfRule type="cellIs" dxfId="686" priority="96" stopIfTrue="1" operator="lessThan">
      <formula>-0.03</formula>
    </cfRule>
  </conditionalFormatting>
  <conditionalFormatting sqref="AG111">
    <cfRule type="cellIs" dxfId="685" priority="93" operator="greaterThan">
      <formula>0.03</formula>
    </cfRule>
    <cfRule type="cellIs" dxfId="684" priority="94" stopIfTrue="1" operator="lessThan">
      <formula>-0.03</formula>
    </cfRule>
  </conditionalFormatting>
  <conditionalFormatting sqref="AE114:AF114">
    <cfRule type="cellIs" dxfId="683" priority="77" operator="greaterThan">
      <formula>0.03</formula>
    </cfRule>
    <cfRule type="cellIs" dxfId="682" priority="78" stopIfTrue="1" operator="lessThan">
      <formula>-0.03</formula>
    </cfRule>
  </conditionalFormatting>
  <conditionalFormatting sqref="AE115">
    <cfRule type="cellIs" dxfId="681" priority="91" operator="greaterThan">
      <formula>0.03</formula>
    </cfRule>
    <cfRule type="cellIs" dxfId="680" priority="92" stopIfTrue="1" operator="lessThan">
      <formula>-0.03</formula>
    </cfRule>
  </conditionalFormatting>
  <conditionalFormatting sqref="AF115">
    <cfRule type="cellIs" dxfId="679" priority="89" operator="greaterThan">
      <formula>0.03</formula>
    </cfRule>
    <cfRule type="cellIs" dxfId="678" priority="90" stopIfTrue="1" operator="lessThan">
      <formula>-0.03</formula>
    </cfRule>
  </conditionalFormatting>
  <conditionalFormatting sqref="AG115">
    <cfRule type="cellIs" dxfId="677" priority="87" operator="greaterThan">
      <formula>0.03</formula>
    </cfRule>
    <cfRule type="cellIs" dxfId="676" priority="88" stopIfTrue="1" operator="lessThan">
      <formula>-0.03</formula>
    </cfRule>
  </conditionalFormatting>
  <conditionalFormatting sqref="AE118:AF118">
    <cfRule type="cellIs" dxfId="675" priority="75" operator="greaterThan">
      <formula>0.03</formula>
    </cfRule>
    <cfRule type="cellIs" dxfId="674" priority="76" stopIfTrue="1" operator="lessThan">
      <formula>-0.03</formula>
    </cfRule>
  </conditionalFormatting>
  <conditionalFormatting sqref="AE119">
    <cfRule type="cellIs" dxfId="673" priority="85" operator="greaterThan">
      <formula>0.03</formula>
    </cfRule>
    <cfRule type="cellIs" dxfId="672" priority="86" stopIfTrue="1" operator="lessThan">
      <formula>-0.03</formula>
    </cfRule>
  </conditionalFormatting>
  <conditionalFormatting sqref="AF119">
    <cfRule type="cellIs" dxfId="671" priority="83" operator="greaterThan">
      <formula>0.03</formula>
    </cfRule>
    <cfRule type="cellIs" dxfId="670" priority="84" stopIfTrue="1" operator="lessThan">
      <formula>-0.03</formula>
    </cfRule>
  </conditionalFormatting>
  <conditionalFormatting sqref="AG119">
    <cfRule type="cellIs" dxfId="669" priority="81" operator="greaterThan">
      <formula>0.03</formula>
    </cfRule>
    <cfRule type="cellIs" dxfId="668" priority="82" stopIfTrue="1" operator="lessThan">
      <formula>-0.03</formula>
    </cfRule>
  </conditionalFormatting>
  <conditionalFormatting sqref="AE122:AF122">
    <cfRule type="cellIs" dxfId="667" priority="73" operator="greaterThan">
      <formula>0.03</formula>
    </cfRule>
    <cfRule type="cellIs" dxfId="666" priority="74" stopIfTrue="1" operator="lessThan">
      <formula>-0.03</formula>
    </cfRule>
  </conditionalFormatting>
  <conditionalFormatting sqref="AB124:AG124">
    <cfRule type="cellIs" dxfId="665" priority="567" operator="greaterThan">
      <formula>0.03</formula>
    </cfRule>
    <cfRule type="cellIs" dxfId="664" priority="568" stopIfTrue="1" operator="lessThan">
      <formula>-0.03</formula>
    </cfRule>
  </conditionalFormatting>
  <conditionalFormatting sqref="AB126:AG126">
    <cfRule type="cellIs" dxfId="663" priority="571" operator="greaterThan">
      <formula>0.03</formula>
    </cfRule>
    <cfRule type="cellIs" dxfId="662" priority="572" stopIfTrue="1" operator="lessThan">
      <formula>-0.03</formula>
    </cfRule>
  </conditionalFormatting>
  <conditionalFormatting sqref="AB129:AG129">
    <cfRule type="cellIs" dxfId="661" priority="569" operator="greaterThan">
      <formula>0.03</formula>
    </cfRule>
    <cfRule type="cellIs" dxfId="660" priority="570" stopIfTrue="1" operator="lessThan">
      <formula>-0.03</formula>
    </cfRule>
  </conditionalFormatting>
  <conditionalFormatting sqref="AB130:AG130">
    <cfRule type="cellIs" dxfId="659" priority="71" operator="greaterThan">
      <formula>0.03</formula>
    </cfRule>
    <cfRule type="cellIs" dxfId="658" priority="72" stopIfTrue="1" operator="lessThan">
      <formula>-0.03</formula>
    </cfRule>
  </conditionalFormatting>
  <conditionalFormatting sqref="AB131:AG131">
    <cfRule type="cellIs" dxfId="657" priority="577" operator="greaterThan">
      <formula>0.03</formula>
    </cfRule>
    <cfRule type="cellIs" dxfId="656" priority="578" stopIfTrue="1" operator="lessThan">
      <formula>-0.03</formula>
    </cfRule>
  </conditionalFormatting>
  <conditionalFormatting sqref="AB3:AD14">
    <cfRule type="cellIs" dxfId="655" priority="651" operator="greaterThan">
      <formula>0.03</formula>
    </cfRule>
    <cfRule type="cellIs" dxfId="654" priority="652" stopIfTrue="1" operator="lessThan">
      <formula>-0.03</formula>
    </cfRule>
  </conditionalFormatting>
  <conditionalFormatting sqref="AB15:AD26">
    <cfRule type="cellIs" dxfId="653" priority="553" operator="greaterThan">
      <formula>0.03</formula>
    </cfRule>
    <cfRule type="cellIs" dxfId="652" priority="554" stopIfTrue="1" operator="lessThan">
      <formula>-0.03</formula>
    </cfRule>
  </conditionalFormatting>
  <conditionalFormatting sqref="AB27:AD30">
    <cfRule type="cellIs" dxfId="651" priority="479" operator="greaterThan">
      <formula>0.03</formula>
    </cfRule>
    <cfRule type="cellIs" dxfId="650" priority="480" stopIfTrue="1" operator="lessThan">
      <formula>-0.03</formula>
    </cfRule>
  </conditionalFormatting>
  <conditionalFormatting sqref="AB31:AD38">
    <cfRule type="cellIs" dxfId="649" priority="459" operator="greaterThan">
      <formula>0.03</formula>
    </cfRule>
    <cfRule type="cellIs" dxfId="648" priority="460" stopIfTrue="1" operator="lessThan">
      <formula>-0.03</formula>
    </cfRule>
  </conditionalFormatting>
  <conditionalFormatting sqref="AB39:AD46">
    <cfRule type="cellIs" dxfId="647" priority="421" operator="greaterThan">
      <formula>0.03</formula>
    </cfRule>
    <cfRule type="cellIs" dxfId="646" priority="422" stopIfTrue="1" operator="lessThan">
      <formula>-0.03</formula>
    </cfRule>
  </conditionalFormatting>
  <conditionalFormatting sqref="AB47:AD62">
    <cfRule type="cellIs" dxfId="645" priority="383" operator="greaterThan">
      <formula>0.03</formula>
    </cfRule>
    <cfRule type="cellIs" dxfId="644" priority="384" stopIfTrue="1" operator="lessThan">
      <formula>-0.03</formula>
    </cfRule>
  </conditionalFormatting>
  <conditionalFormatting sqref="AB63:AD78">
    <cfRule type="cellIs" dxfId="643" priority="309" operator="greaterThan">
      <formula>0.03</formula>
    </cfRule>
    <cfRule type="cellIs" dxfId="642" priority="310" stopIfTrue="1" operator="lessThan">
      <formula>-0.03</formula>
    </cfRule>
  </conditionalFormatting>
  <conditionalFormatting sqref="AB79:AD90">
    <cfRule type="cellIs" dxfId="641" priority="161" operator="greaterThan">
      <formula>0.03</formula>
    </cfRule>
    <cfRule type="cellIs" dxfId="640" priority="162" stopIfTrue="1" operator="lessThan">
      <formula>-0.03</formula>
    </cfRule>
  </conditionalFormatting>
  <conditionalFormatting sqref="AB91:AD106">
    <cfRule type="cellIs" dxfId="639" priority="235" operator="greaterThan">
      <formula>0.03</formula>
    </cfRule>
    <cfRule type="cellIs" dxfId="638" priority="236" stopIfTrue="1" operator="lessThan">
      <formula>-0.03</formula>
    </cfRule>
  </conditionalFormatting>
  <conditionalFormatting sqref="AB107:AD122">
    <cfRule type="cellIs" dxfId="637" priority="105" operator="greaterThan">
      <formula>0.03</formula>
    </cfRule>
    <cfRule type="cellIs" dxfId="636" priority="106" stopIfTrue="1" operator="lessThan">
      <formula>-0.03</formula>
    </cfRule>
  </conditionalFormatting>
  <conditionalFormatting sqref="AB123:AG123 AB125:AG125">
    <cfRule type="cellIs" dxfId="635" priority="573" operator="greaterThan">
      <formula>0.03</formula>
    </cfRule>
    <cfRule type="cellIs" dxfId="634" priority="574" stopIfTrue="1" operator="lessThan">
      <formula>-0.03</formula>
    </cfRule>
  </conditionalFormatting>
  <conditionalFormatting sqref="AB127:AG128">
    <cfRule type="cellIs" dxfId="633" priority="575" operator="greaterThan">
      <formula>0.03</formula>
    </cfRule>
    <cfRule type="cellIs" dxfId="632" priority="576" stopIfTrue="1" operator="lessThan">
      <formula>-0.03</formula>
    </cfRule>
  </conditionalFormatting>
  <conditionalFormatting sqref="AH47:AH90">
    <cfRule type="cellIs" dxfId="61" priority="57" operator="greaterThan">
      <formula>0.005</formula>
    </cfRule>
    <cfRule type="cellIs" dxfId="60" priority="58" operator="lessThan">
      <formula>-0.005</formula>
    </cfRule>
  </conditionalFormatting>
  <conditionalFormatting sqref="AJ47:AL78">
    <cfRule type="cellIs" dxfId="59" priority="49" operator="lessThan">
      <formula>-0.1</formula>
    </cfRule>
    <cfRule type="cellIs" dxfId="58" priority="50" operator="lessThan">
      <formula>-0.05</formula>
    </cfRule>
    <cfRule type="cellIs" dxfId="57" priority="51" operator="lessThan">
      <formula>0</formula>
    </cfRule>
    <cfRule type="cellIs" dxfId="56" priority="52" operator="greaterThan">
      <formula>0.1</formula>
    </cfRule>
    <cfRule type="cellIs" dxfId="55" priority="53" operator="greaterThan">
      <formula>0.05</formula>
    </cfRule>
    <cfRule type="cellIs" dxfId="54" priority="54" operator="greaterThan">
      <formula>0</formula>
    </cfRule>
    <cfRule type="cellIs" dxfId="53" priority="55" operator="greaterThan">
      <formula>0.05</formula>
    </cfRule>
    <cfRule type="cellIs" dxfId="52" priority="56" operator="greaterThan">
      <formula>0</formula>
    </cfRule>
  </conditionalFormatting>
  <conditionalFormatting sqref="AI47:AI78">
    <cfRule type="cellIs" dxfId="51" priority="47" operator="greaterThan">
      <formula>0</formula>
    </cfRule>
    <cfRule type="cellIs" dxfId="50" priority="48" operator="lessThan">
      <formula>0</formula>
    </cfRule>
  </conditionalFormatting>
  <conditionalFormatting sqref="AJ79:AL90">
    <cfRule type="cellIs" dxfId="49" priority="39" operator="lessThan">
      <formula>-0.1</formula>
    </cfRule>
    <cfRule type="cellIs" dxfId="48" priority="40" operator="lessThan">
      <formula>-0.05</formula>
    </cfRule>
    <cfRule type="cellIs" dxfId="47" priority="41" operator="lessThan">
      <formula>0</formula>
    </cfRule>
    <cfRule type="cellIs" dxfId="46" priority="42" operator="greaterThan">
      <formula>0.1</formula>
    </cfRule>
    <cfRule type="cellIs" dxfId="45" priority="43" operator="greaterThan">
      <formula>0.05</formula>
    </cfRule>
    <cfRule type="cellIs" dxfId="44" priority="44" operator="greaterThan">
      <formula>0</formula>
    </cfRule>
    <cfRule type="cellIs" dxfId="43" priority="45" operator="greaterThan">
      <formula>0.05</formula>
    </cfRule>
    <cfRule type="cellIs" dxfId="42" priority="46" operator="greaterThan">
      <formula>0</formula>
    </cfRule>
  </conditionalFormatting>
  <conditionalFormatting sqref="AI79:AI90">
    <cfRule type="cellIs" dxfId="41" priority="37" operator="greaterThan">
      <formula>0</formula>
    </cfRule>
    <cfRule type="cellIs" dxfId="40" priority="38" operator="lessThan">
      <formula>0</formula>
    </cfRule>
  </conditionalFormatting>
  <conditionalFormatting sqref="AH31:AH46">
    <cfRule type="cellIs" dxfId="39" priority="35" operator="greaterThan">
      <formula>0.005</formula>
    </cfRule>
    <cfRule type="cellIs" dxfId="38" priority="36" operator="lessThan">
      <formula>-0.005</formula>
    </cfRule>
  </conditionalFormatting>
  <conditionalFormatting sqref="AJ31:AL46">
    <cfRule type="cellIs" dxfId="37" priority="27" operator="lessThan">
      <formula>-0.1</formula>
    </cfRule>
    <cfRule type="cellIs" dxfId="36" priority="28" operator="lessThan">
      <formula>-0.05</formula>
    </cfRule>
    <cfRule type="cellIs" dxfId="35" priority="29" operator="lessThan">
      <formula>0</formula>
    </cfRule>
    <cfRule type="cellIs" dxfId="34" priority="30" operator="greaterThan">
      <formula>0.1</formula>
    </cfRule>
    <cfRule type="cellIs" dxfId="33" priority="31" operator="greaterThan">
      <formula>0.05</formula>
    </cfRule>
    <cfRule type="cellIs" dxfId="32" priority="32" operator="greaterThan">
      <formula>0</formula>
    </cfRule>
    <cfRule type="cellIs" dxfId="31" priority="33" operator="greaterThan">
      <formula>0.05</formula>
    </cfRule>
    <cfRule type="cellIs" dxfId="30" priority="34" operator="greaterThan">
      <formula>0</formula>
    </cfRule>
  </conditionalFormatting>
  <conditionalFormatting sqref="AI31:AI46">
    <cfRule type="cellIs" dxfId="29" priority="25" operator="greaterThan">
      <formula>0</formula>
    </cfRule>
    <cfRule type="cellIs" dxfId="28" priority="26" operator="lessThan">
      <formula>0</formula>
    </cfRule>
  </conditionalFormatting>
  <conditionalFormatting sqref="AH27:AH30">
    <cfRule type="cellIs" dxfId="27" priority="23" operator="greaterThan">
      <formula>0.005</formula>
    </cfRule>
    <cfRule type="cellIs" dxfId="26" priority="24" operator="lessThan">
      <formula>-0.005</formula>
    </cfRule>
  </conditionalFormatting>
  <conditionalFormatting sqref="AJ27:AL30">
    <cfRule type="cellIs" dxfId="25" priority="15" operator="lessThan">
      <formula>-0.1</formula>
    </cfRule>
    <cfRule type="cellIs" dxfId="24" priority="16" operator="lessThan">
      <formula>-0.05</formula>
    </cfRule>
    <cfRule type="cellIs" dxfId="23" priority="17" operator="lessThan">
      <formula>0</formula>
    </cfRule>
    <cfRule type="cellIs" dxfId="22" priority="18" operator="greaterThan">
      <formula>0.1</formula>
    </cfRule>
    <cfRule type="cellIs" dxfId="21" priority="19" operator="greaterThan">
      <formula>0.05</formula>
    </cfRule>
    <cfRule type="cellIs" dxfId="20" priority="20" operator="greaterThan">
      <formula>0</formula>
    </cfRule>
    <cfRule type="cellIs" dxfId="19" priority="21" operator="greaterThan">
      <formula>0.05</formula>
    </cfRule>
    <cfRule type="cellIs" dxfId="18" priority="22" operator="greaterThan">
      <formula>0</formula>
    </cfRule>
  </conditionalFormatting>
  <conditionalFormatting sqref="AI27:AI30">
    <cfRule type="cellIs" dxfId="17" priority="13" operator="greaterThan">
      <formula>0</formula>
    </cfRule>
    <cfRule type="cellIs" dxfId="16" priority="14" operator="lessThan">
      <formula>0</formula>
    </cfRule>
  </conditionalFormatting>
  <conditionalFormatting sqref="AH123">
    <cfRule type="cellIs" dxfId="15" priority="11" operator="greaterThan">
      <formula>0.005</formula>
    </cfRule>
    <cfRule type="cellIs" dxfId="14" priority="12" operator="lessThan">
      <formula>-0.005</formula>
    </cfRule>
  </conditionalFormatting>
  <conditionalFormatting sqref="AH124">
    <cfRule type="cellIs" dxfId="13" priority="9" operator="greaterThan">
      <formula>0.005</formula>
    </cfRule>
    <cfRule type="cellIs" dxfId="12" priority="10" operator="lessThan">
      <formula>-0.005</formula>
    </cfRule>
  </conditionalFormatting>
  <conditionalFormatting sqref="AH125:AH127">
    <cfRule type="cellIs" dxfId="11" priority="7" operator="greaterThan">
      <formula>0.005</formula>
    </cfRule>
    <cfRule type="cellIs" dxfId="10" priority="8" operator="lessThan">
      <formula>-0.005</formula>
    </cfRule>
  </conditionalFormatting>
  <conditionalFormatting sqref="AH129">
    <cfRule type="cellIs" dxfId="9" priority="5" operator="greaterThan">
      <formula>0.005</formula>
    </cfRule>
    <cfRule type="cellIs" dxfId="8" priority="6" operator="lessThan">
      <formula>-0.005</formula>
    </cfRule>
  </conditionalFormatting>
  <conditionalFormatting sqref="AH130">
    <cfRule type="cellIs" dxfId="7" priority="3" operator="greaterThan">
      <formula>0.005</formula>
    </cfRule>
    <cfRule type="cellIs" dxfId="6" priority="4" operator="lessThan">
      <formula>-0.005</formula>
    </cfRule>
  </conditionalFormatting>
  <conditionalFormatting sqref="AH131">
    <cfRule type="cellIs" dxfId="5" priority="1" operator="greaterThan">
      <formula>0.005</formula>
    </cfRule>
    <cfRule type="cellIs" dxfId="4" priority="2" operator="lessThan">
      <formula>-0.005</formula>
    </cfRule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L156"/>
  <sheetViews>
    <sheetView tabSelected="1" topLeftCell="D71" zoomScaleNormal="100" workbookViewId="0">
      <selection activeCell="AH131" sqref="AH131"/>
    </sheetView>
  </sheetViews>
  <sheetFormatPr defaultColWidth="10.75" defaultRowHeight="12" x14ac:dyDescent="0.2"/>
  <cols>
    <col min="1" max="1" width="8.25" style="2" customWidth="1"/>
    <col min="2" max="2" width="14.75" style="2" customWidth="1"/>
    <col min="3" max="3" width="7.75" style="2" customWidth="1"/>
    <col min="4" max="4" width="9.75" style="2" customWidth="1"/>
    <col min="5" max="7" width="6.75" style="2" customWidth="1"/>
    <col min="8" max="10" width="8.75" style="2" customWidth="1"/>
    <col min="11" max="11" width="11.875" style="2" customWidth="1"/>
    <col min="12" max="12" width="11.875" style="3" customWidth="1"/>
    <col min="13" max="13" width="2.75" style="2" customWidth="1"/>
    <col min="14" max="14" width="9.75" style="2" customWidth="1"/>
    <col min="15" max="17" width="6.75" style="2" customWidth="1"/>
    <col min="18" max="20" width="8.75" style="2" customWidth="1"/>
    <col min="21" max="21" width="11.875" style="2" customWidth="1"/>
    <col min="22" max="22" width="11.875" style="3" customWidth="1"/>
    <col min="23" max="24" width="5.625" style="2" customWidth="1"/>
    <col min="25" max="25" width="9.875" style="2" customWidth="1"/>
    <col min="26" max="26" width="7.25" style="2" customWidth="1"/>
    <col min="27" max="27" width="2.75" style="2" customWidth="1"/>
    <col min="28" max="33" width="8.75" style="2" customWidth="1"/>
    <col min="34" max="16384" width="10.75" style="2"/>
  </cols>
  <sheetData>
    <row r="1" spans="1:33" ht="12.75" customHeight="1" thickBot="1" x14ac:dyDescent="0.25">
      <c r="D1" s="142" t="s">
        <v>95</v>
      </c>
      <c r="E1" s="143"/>
      <c r="F1" s="143"/>
      <c r="G1" s="143"/>
      <c r="H1" s="143"/>
      <c r="I1" s="143"/>
      <c r="J1" s="143"/>
      <c r="K1" s="143"/>
      <c r="L1" s="144"/>
      <c r="N1" s="142" t="s">
        <v>96</v>
      </c>
      <c r="O1" s="143"/>
      <c r="P1" s="143"/>
      <c r="Q1" s="143"/>
      <c r="R1" s="143"/>
      <c r="S1" s="143"/>
      <c r="T1" s="143"/>
      <c r="U1" s="143"/>
      <c r="V1" s="144"/>
      <c r="W1" s="30"/>
      <c r="X1" s="30"/>
      <c r="Y1" s="30"/>
      <c r="Z1" s="32"/>
      <c r="AA1" s="33"/>
      <c r="AB1" s="142" t="s">
        <v>97</v>
      </c>
      <c r="AC1" s="143"/>
      <c r="AD1" s="144"/>
      <c r="AE1" s="142" t="s">
        <v>98</v>
      </c>
      <c r="AF1" s="143"/>
      <c r="AG1" s="144"/>
    </row>
    <row r="2" spans="1:33" ht="12.75" customHeight="1" thickBot="1" x14ac:dyDescent="0.25">
      <c r="A2" s="4"/>
      <c r="B2" s="5"/>
      <c r="C2" s="6" t="s">
        <v>99</v>
      </c>
      <c r="D2" s="7" t="s">
        <v>59</v>
      </c>
      <c r="E2" s="8" t="s">
        <v>60</v>
      </c>
      <c r="F2" s="8" t="s">
        <v>61</v>
      </c>
      <c r="G2" s="8" t="s">
        <v>62</v>
      </c>
      <c r="H2" s="8" t="s">
        <v>100</v>
      </c>
      <c r="I2" s="8" t="s">
        <v>101</v>
      </c>
      <c r="J2" s="8" t="s">
        <v>102</v>
      </c>
      <c r="K2" s="18" t="s">
        <v>103</v>
      </c>
      <c r="L2" s="19" t="s">
        <v>104</v>
      </c>
      <c r="M2" s="20"/>
      <c r="N2" s="7" t="s">
        <v>59</v>
      </c>
      <c r="O2" s="8" t="s">
        <v>60</v>
      </c>
      <c r="P2" s="8" t="s">
        <v>61</v>
      </c>
      <c r="Q2" s="8" t="s">
        <v>62</v>
      </c>
      <c r="R2" s="8" t="s">
        <v>100</v>
      </c>
      <c r="S2" s="8" t="s">
        <v>101</v>
      </c>
      <c r="T2" s="8" t="s">
        <v>102</v>
      </c>
      <c r="U2" s="19" t="s">
        <v>103</v>
      </c>
      <c r="V2" s="19" t="s">
        <v>104</v>
      </c>
      <c r="W2" s="31" t="s">
        <v>105</v>
      </c>
      <c r="X2" s="18" t="s">
        <v>106</v>
      </c>
      <c r="Y2" s="18" t="s">
        <v>107</v>
      </c>
      <c r="Z2" s="34" t="s">
        <v>108</v>
      </c>
      <c r="AA2" s="34"/>
      <c r="AB2" s="7" t="s">
        <v>9</v>
      </c>
      <c r="AC2" s="8" t="s">
        <v>10</v>
      </c>
      <c r="AD2" s="19" t="s">
        <v>11</v>
      </c>
      <c r="AE2" s="7" t="s">
        <v>9</v>
      </c>
      <c r="AF2" s="8" t="s">
        <v>10</v>
      </c>
      <c r="AG2" s="19" t="s">
        <v>11</v>
      </c>
    </row>
    <row r="3" spans="1:33" x14ac:dyDescent="0.2">
      <c r="A3" s="9" t="s">
        <v>19</v>
      </c>
      <c r="B3" s="9" t="s">
        <v>64</v>
      </c>
      <c r="C3" s="9">
        <v>22</v>
      </c>
      <c r="D3" s="10"/>
      <c r="E3" s="11"/>
      <c r="F3" s="11"/>
      <c r="G3" s="11"/>
      <c r="H3" s="11"/>
      <c r="I3" s="11"/>
      <c r="J3" s="11"/>
      <c r="K3" s="11"/>
      <c r="L3" s="21"/>
      <c r="N3" s="10"/>
      <c r="O3" s="11"/>
      <c r="P3" s="11"/>
      <c r="Q3" s="11"/>
      <c r="R3" s="11"/>
      <c r="S3" s="11"/>
      <c r="T3" s="11"/>
      <c r="U3" s="11"/>
      <c r="V3" s="21"/>
      <c r="W3" s="11"/>
      <c r="X3" s="11"/>
      <c r="Y3" s="11"/>
      <c r="Z3" s="21"/>
      <c r="AA3" s="35"/>
      <c r="AB3" s="36"/>
      <c r="AC3" s="37"/>
      <c r="AD3" s="38"/>
      <c r="AE3" s="36"/>
      <c r="AF3" s="37"/>
      <c r="AG3" s="38"/>
    </row>
    <row r="4" spans="1:33" x14ac:dyDescent="0.2">
      <c r="A4" s="12" t="s">
        <v>109</v>
      </c>
      <c r="B4" s="12"/>
      <c r="C4" s="12">
        <v>27</v>
      </c>
      <c r="D4" s="13"/>
      <c r="E4" s="14"/>
      <c r="F4" s="14"/>
      <c r="G4" s="14"/>
      <c r="H4" s="14"/>
      <c r="I4" s="14"/>
      <c r="J4" s="14"/>
      <c r="K4" s="14"/>
      <c r="L4" s="22"/>
      <c r="N4" s="13"/>
      <c r="O4" s="14"/>
      <c r="P4" s="14"/>
      <c r="Q4" s="14"/>
      <c r="R4" s="14"/>
      <c r="S4" s="14"/>
      <c r="T4" s="14"/>
      <c r="U4" s="14"/>
      <c r="V4" s="22"/>
      <c r="W4" s="14"/>
      <c r="X4" s="14"/>
      <c r="Y4" s="14"/>
      <c r="Z4" s="22"/>
      <c r="AA4" s="39"/>
      <c r="AB4" s="40"/>
      <c r="AC4" s="41"/>
      <c r="AD4" s="42"/>
      <c r="AE4" s="40"/>
      <c r="AF4" s="41"/>
      <c r="AG4" s="42"/>
    </row>
    <row r="5" spans="1:33" x14ac:dyDescent="0.2">
      <c r="A5" s="12"/>
      <c r="B5" s="12"/>
      <c r="C5" s="12">
        <v>32</v>
      </c>
      <c r="D5" s="13"/>
      <c r="E5" s="14"/>
      <c r="F5" s="14"/>
      <c r="G5" s="14"/>
      <c r="H5" s="14"/>
      <c r="I5" s="14"/>
      <c r="J5" s="14"/>
      <c r="K5" s="14"/>
      <c r="L5" s="22"/>
      <c r="N5" s="13"/>
      <c r="O5" s="14"/>
      <c r="P5" s="14"/>
      <c r="Q5" s="14"/>
      <c r="R5" s="14"/>
      <c r="S5" s="14"/>
      <c r="T5" s="14"/>
      <c r="U5" s="14"/>
      <c r="V5" s="22"/>
      <c r="W5" s="14"/>
      <c r="X5" s="14"/>
      <c r="Y5" s="14"/>
      <c r="Z5" s="22"/>
      <c r="AA5" s="39"/>
      <c r="AB5" s="40"/>
      <c r="AC5" s="41"/>
      <c r="AD5" s="42"/>
      <c r="AE5" s="40"/>
      <c r="AF5" s="41"/>
      <c r="AG5" s="42"/>
    </row>
    <row r="6" spans="1:33" ht="12.75" customHeight="1" thickBot="1" x14ac:dyDescent="0.25">
      <c r="A6" s="12"/>
      <c r="B6" s="15"/>
      <c r="C6" s="15">
        <v>37</v>
      </c>
      <c r="D6" s="16"/>
      <c r="E6" s="17"/>
      <c r="F6" s="17"/>
      <c r="G6" s="17"/>
      <c r="H6" s="17"/>
      <c r="I6" s="17"/>
      <c r="J6" s="17"/>
      <c r="K6" s="17"/>
      <c r="L6" s="23"/>
      <c r="N6" s="16"/>
      <c r="O6" s="17"/>
      <c r="P6" s="17"/>
      <c r="Q6" s="17"/>
      <c r="R6" s="17"/>
      <c r="S6" s="17"/>
      <c r="T6" s="17"/>
      <c r="U6" s="17"/>
      <c r="V6" s="23"/>
      <c r="W6" s="14"/>
      <c r="X6" s="14"/>
      <c r="Y6" s="14"/>
      <c r="Z6" s="22"/>
      <c r="AA6" s="39"/>
      <c r="AB6" s="43"/>
      <c r="AC6" s="44"/>
      <c r="AD6" s="45"/>
      <c r="AE6" s="43"/>
      <c r="AF6" s="44"/>
      <c r="AG6" s="45"/>
    </row>
    <row r="7" spans="1:33" x14ac:dyDescent="0.2">
      <c r="A7" s="12"/>
      <c r="B7" s="9" t="s">
        <v>66</v>
      </c>
      <c r="C7" s="9">
        <v>22</v>
      </c>
      <c r="D7" s="10"/>
      <c r="E7" s="11"/>
      <c r="F7" s="11"/>
      <c r="G7" s="11"/>
      <c r="H7" s="11"/>
      <c r="I7" s="11"/>
      <c r="J7" s="11"/>
      <c r="K7" s="11"/>
      <c r="L7" s="21"/>
      <c r="N7" s="10"/>
      <c r="O7" s="11"/>
      <c r="P7" s="11"/>
      <c r="Q7" s="11"/>
      <c r="R7" s="11"/>
      <c r="S7" s="11"/>
      <c r="T7" s="11"/>
      <c r="U7" s="11"/>
      <c r="V7" s="21"/>
      <c r="W7" s="14"/>
      <c r="X7" s="14"/>
      <c r="Y7" s="14"/>
      <c r="Z7" s="22"/>
      <c r="AA7" s="39"/>
      <c r="AB7" s="36"/>
      <c r="AC7" s="37"/>
      <c r="AD7" s="37"/>
      <c r="AE7" s="46"/>
      <c r="AF7" s="47"/>
      <c r="AG7" s="49"/>
    </row>
    <row r="8" spans="1:33" x14ac:dyDescent="0.2">
      <c r="A8" s="12"/>
      <c r="B8" s="12"/>
      <c r="C8" s="12">
        <v>27</v>
      </c>
      <c r="D8" s="13"/>
      <c r="E8" s="14"/>
      <c r="F8" s="14"/>
      <c r="G8" s="14"/>
      <c r="H8" s="14"/>
      <c r="I8" s="14"/>
      <c r="J8" s="14"/>
      <c r="K8" s="14"/>
      <c r="L8" s="22"/>
      <c r="N8" s="13"/>
      <c r="O8" s="14"/>
      <c r="P8" s="14"/>
      <c r="Q8" s="14"/>
      <c r="R8" s="14"/>
      <c r="S8" s="14"/>
      <c r="T8" s="14"/>
      <c r="U8" s="14"/>
      <c r="V8" s="22"/>
      <c r="W8" s="14"/>
      <c r="X8" s="14"/>
      <c r="Y8" s="14"/>
      <c r="Z8" s="22"/>
      <c r="AA8" s="39"/>
      <c r="AB8" s="40"/>
      <c r="AC8" s="41"/>
      <c r="AD8" s="41"/>
      <c r="AE8" s="40"/>
      <c r="AF8" s="41"/>
      <c r="AG8" s="42"/>
    </row>
    <row r="9" spans="1:33" x14ac:dyDescent="0.2">
      <c r="A9" s="12"/>
      <c r="B9" s="12"/>
      <c r="C9" s="12">
        <v>32</v>
      </c>
      <c r="D9" s="13"/>
      <c r="E9" s="14"/>
      <c r="F9" s="14"/>
      <c r="G9" s="14"/>
      <c r="H9" s="14"/>
      <c r="I9" s="14"/>
      <c r="J9" s="14"/>
      <c r="K9" s="14"/>
      <c r="L9" s="22"/>
      <c r="N9" s="13"/>
      <c r="O9" s="14"/>
      <c r="P9" s="14"/>
      <c r="Q9" s="14"/>
      <c r="R9" s="14"/>
      <c r="S9" s="14"/>
      <c r="T9" s="14"/>
      <c r="U9" s="14"/>
      <c r="V9" s="22"/>
      <c r="W9" s="14"/>
      <c r="X9" s="14"/>
      <c r="Y9" s="14"/>
      <c r="Z9" s="22"/>
      <c r="AA9" s="39"/>
      <c r="AB9" s="40"/>
      <c r="AC9" s="41"/>
      <c r="AD9" s="41"/>
      <c r="AE9" s="40"/>
      <c r="AF9" s="41"/>
      <c r="AG9" s="42"/>
    </row>
    <row r="10" spans="1:33" ht="12.75" customHeight="1" thickBot="1" x14ac:dyDescent="0.25">
      <c r="A10" s="12"/>
      <c r="B10" s="15"/>
      <c r="C10" s="15">
        <v>37</v>
      </c>
      <c r="D10" s="16"/>
      <c r="E10" s="17"/>
      <c r="F10" s="17"/>
      <c r="G10" s="17"/>
      <c r="H10" s="17"/>
      <c r="I10" s="17"/>
      <c r="J10" s="17"/>
      <c r="K10" s="17"/>
      <c r="L10" s="23"/>
      <c r="N10" s="16"/>
      <c r="O10" s="17"/>
      <c r="P10" s="17"/>
      <c r="Q10" s="17"/>
      <c r="R10" s="17"/>
      <c r="S10" s="17"/>
      <c r="T10" s="17"/>
      <c r="U10" s="17"/>
      <c r="V10" s="23"/>
      <c r="W10" s="14"/>
      <c r="X10" s="14"/>
      <c r="Y10" s="14"/>
      <c r="Z10" s="22"/>
      <c r="AA10" s="39"/>
      <c r="AB10" s="43"/>
      <c r="AC10" s="44"/>
      <c r="AD10" s="44"/>
      <c r="AE10" s="43"/>
      <c r="AF10" s="44"/>
      <c r="AG10" s="45"/>
    </row>
    <row r="11" spans="1:33" x14ac:dyDescent="0.2">
      <c r="A11" s="12"/>
      <c r="B11" s="9" t="s">
        <v>67</v>
      </c>
      <c r="C11" s="9">
        <v>22</v>
      </c>
      <c r="D11" s="10"/>
      <c r="E11" s="11"/>
      <c r="F11" s="11"/>
      <c r="G11" s="11"/>
      <c r="H11" s="11"/>
      <c r="I11" s="11"/>
      <c r="J11" s="11"/>
      <c r="K11" s="11"/>
      <c r="L11" s="21"/>
      <c r="N11" s="10"/>
      <c r="O11" s="11"/>
      <c r="P11" s="11"/>
      <c r="Q11" s="11"/>
      <c r="R11" s="11"/>
      <c r="S11" s="11"/>
      <c r="T11" s="11"/>
      <c r="U11" s="11"/>
      <c r="V11" s="21"/>
      <c r="W11" s="14"/>
      <c r="X11" s="14"/>
      <c r="Y11" s="14"/>
      <c r="Z11" s="22"/>
      <c r="AA11" s="39"/>
      <c r="AB11" s="36"/>
      <c r="AC11" s="37"/>
      <c r="AD11" s="37"/>
      <c r="AE11" s="46"/>
      <c r="AF11" s="47"/>
      <c r="AG11" s="49"/>
    </row>
    <row r="12" spans="1:33" x14ac:dyDescent="0.2">
      <c r="A12" s="12"/>
      <c r="B12" s="12"/>
      <c r="C12" s="12">
        <v>27</v>
      </c>
      <c r="D12" s="13"/>
      <c r="E12" s="14"/>
      <c r="F12" s="14"/>
      <c r="G12" s="14"/>
      <c r="H12" s="14"/>
      <c r="I12" s="14"/>
      <c r="J12" s="14"/>
      <c r="K12" s="14"/>
      <c r="L12" s="22"/>
      <c r="N12" s="13"/>
      <c r="O12" s="14"/>
      <c r="P12" s="14"/>
      <c r="Q12" s="14"/>
      <c r="R12" s="14"/>
      <c r="S12" s="14"/>
      <c r="T12" s="14"/>
      <c r="U12" s="14"/>
      <c r="V12" s="22"/>
      <c r="W12" s="14"/>
      <c r="X12" s="14"/>
      <c r="Y12" s="14"/>
      <c r="Z12" s="22"/>
      <c r="AA12" s="39"/>
      <c r="AB12" s="40"/>
      <c r="AC12" s="41"/>
      <c r="AD12" s="41"/>
      <c r="AE12" s="40"/>
      <c r="AF12" s="41"/>
      <c r="AG12" s="42"/>
    </row>
    <row r="13" spans="1:33" x14ac:dyDescent="0.2">
      <c r="A13" s="12"/>
      <c r="B13" s="12"/>
      <c r="C13" s="12">
        <v>32</v>
      </c>
      <c r="D13" s="13"/>
      <c r="E13" s="14"/>
      <c r="F13" s="14"/>
      <c r="G13" s="14"/>
      <c r="H13" s="14"/>
      <c r="I13" s="14"/>
      <c r="J13" s="14"/>
      <c r="K13" s="14"/>
      <c r="L13" s="22"/>
      <c r="N13" s="13"/>
      <c r="O13" s="14"/>
      <c r="P13" s="14"/>
      <c r="Q13" s="14"/>
      <c r="R13" s="14"/>
      <c r="S13" s="14"/>
      <c r="T13" s="14"/>
      <c r="U13" s="14"/>
      <c r="V13" s="22"/>
      <c r="W13" s="14"/>
      <c r="X13" s="14"/>
      <c r="Y13" s="14"/>
      <c r="Z13" s="22"/>
      <c r="AA13" s="39"/>
      <c r="AB13" s="40"/>
      <c r="AC13" s="41"/>
      <c r="AD13" s="41"/>
      <c r="AE13" s="40"/>
      <c r="AF13" s="41"/>
      <c r="AG13" s="42"/>
    </row>
    <row r="14" spans="1:33" ht="12.75" customHeight="1" thickBot="1" x14ac:dyDescent="0.25">
      <c r="A14" s="12"/>
      <c r="B14" s="15"/>
      <c r="C14" s="15">
        <v>37</v>
      </c>
      <c r="D14" s="16"/>
      <c r="E14" s="17"/>
      <c r="F14" s="17"/>
      <c r="G14" s="17"/>
      <c r="H14" s="17"/>
      <c r="I14" s="17"/>
      <c r="J14" s="17"/>
      <c r="K14" s="17"/>
      <c r="L14" s="23"/>
      <c r="N14" s="16"/>
      <c r="O14" s="17"/>
      <c r="P14" s="17"/>
      <c r="Q14" s="17"/>
      <c r="R14" s="17"/>
      <c r="S14" s="17"/>
      <c r="T14" s="17"/>
      <c r="U14" s="17"/>
      <c r="V14" s="23"/>
      <c r="W14" s="14"/>
      <c r="X14" s="14"/>
      <c r="Y14" s="14"/>
      <c r="Z14" s="22"/>
      <c r="AA14" s="39"/>
      <c r="AB14" s="43"/>
      <c r="AC14" s="44"/>
      <c r="AD14" s="44"/>
      <c r="AE14" s="43"/>
      <c r="AF14" s="44"/>
      <c r="AG14" s="45"/>
    </row>
    <row r="15" spans="1:33" x14ac:dyDescent="0.2">
      <c r="A15" s="9" t="s">
        <v>21</v>
      </c>
      <c r="B15" s="9" t="s">
        <v>110</v>
      </c>
      <c r="C15" s="9">
        <v>22</v>
      </c>
      <c r="D15" s="10"/>
      <c r="E15" s="11"/>
      <c r="F15" s="11"/>
      <c r="G15" s="11"/>
      <c r="H15" s="11"/>
      <c r="I15" s="11"/>
      <c r="J15" s="11"/>
      <c r="K15" s="11"/>
      <c r="L15" s="21"/>
      <c r="N15" s="10"/>
      <c r="O15" s="11"/>
      <c r="P15" s="11"/>
      <c r="Q15" s="11"/>
      <c r="R15" s="11"/>
      <c r="S15" s="11"/>
      <c r="T15" s="11"/>
      <c r="U15" s="11"/>
      <c r="V15" s="21"/>
      <c r="W15" s="11"/>
      <c r="X15" s="11"/>
      <c r="Y15" s="11"/>
      <c r="Z15" s="21"/>
      <c r="AA15" s="35"/>
      <c r="AB15" s="36"/>
      <c r="AC15" s="37"/>
      <c r="AD15" s="38"/>
      <c r="AE15" s="36"/>
      <c r="AF15" s="37"/>
      <c r="AG15" s="38"/>
    </row>
    <row r="16" spans="1:33" x14ac:dyDescent="0.2">
      <c r="A16" s="12" t="s">
        <v>109</v>
      </c>
      <c r="B16" s="12"/>
      <c r="C16" s="12">
        <v>27</v>
      </c>
      <c r="D16" s="13"/>
      <c r="E16" s="14"/>
      <c r="F16" s="14"/>
      <c r="G16" s="14"/>
      <c r="H16" s="14"/>
      <c r="I16" s="14"/>
      <c r="J16" s="14"/>
      <c r="K16" s="14"/>
      <c r="L16" s="22"/>
      <c r="N16" s="13"/>
      <c r="O16" s="14"/>
      <c r="P16" s="14"/>
      <c r="Q16" s="14"/>
      <c r="R16" s="14"/>
      <c r="S16" s="14"/>
      <c r="T16" s="14"/>
      <c r="U16" s="14"/>
      <c r="V16" s="22"/>
      <c r="W16" s="14"/>
      <c r="X16" s="14"/>
      <c r="Y16" s="14"/>
      <c r="Z16" s="22"/>
      <c r="AA16" s="39"/>
      <c r="AB16" s="40"/>
      <c r="AC16" s="41"/>
      <c r="AD16" s="42"/>
      <c r="AE16" s="40"/>
      <c r="AF16" s="41"/>
      <c r="AG16" s="42"/>
    </row>
    <row r="17" spans="1:33" x14ac:dyDescent="0.2">
      <c r="A17" s="12"/>
      <c r="B17" s="12"/>
      <c r="C17" s="12">
        <v>32</v>
      </c>
      <c r="D17" s="13"/>
      <c r="E17" s="14"/>
      <c r="F17" s="14"/>
      <c r="G17" s="14"/>
      <c r="H17" s="14"/>
      <c r="I17" s="14"/>
      <c r="J17" s="14"/>
      <c r="K17" s="14"/>
      <c r="L17" s="22"/>
      <c r="N17" s="13"/>
      <c r="O17" s="14"/>
      <c r="P17" s="14"/>
      <c r="Q17" s="14"/>
      <c r="R17" s="14"/>
      <c r="S17" s="14"/>
      <c r="T17" s="14"/>
      <c r="U17" s="14"/>
      <c r="V17" s="22"/>
      <c r="W17" s="14"/>
      <c r="X17" s="14"/>
      <c r="Y17" s="14"/>
      <c r="Z17" s="22"/>
      <c r="AA17" s="39"/>
      <c r="AB17" s="40"/>
      <c r="AC17" s="41"/>
      <c r="AD17" s="42"/>
      <c r="AE17" s="40"/>
      <c r="AF17" s="41"/>
      <c r="AG17" s="42"/>
    </row>
    <row r="18" spans="1:33" ht="12.75" customHeight="1" thickBot="1" x14ac:dyDescent="0.25">
      <c r="A18" s="12"/>
      <c r="B18" s="15"/>
      <c r="C18" s="15">
        <v>37</v>
      </c>
      <c r="D18" s="16"/>
      <c r="E18" s="17"/>
      <c r="F18" s="17"/>
      <c r="G18" s="17"/>
      <c r="H18" s="17"/>
      <c r="I18" s="17"/>
      <c r="J18" s="17"/>
      <c r="K18" s="17"/>
      <c r="L18" s="23"/>
      <c r="N18" s="16"/>
      <c r="O18" s="17"/>
      <c r="P18" s="17"/>
      <c r="Q18" s="17"/>
      <c r="R18" s="17"/>
      <c r="S18" s="17"/>
      <c r="T18" s="17"/>
      <c r="U18" s="17"/>
      <c r="V18" s="23"/>
      <c r="W18" s="14"/>
      <c r="X18" s="14"/>
      <c r="Y18" s="14"/>
      <c r="Z18" s="22"/>
      <c r="AA18" s="39"/>
      <c r="AB18" s="43"/>
      <c r="AC18" s="44"/>
      <c r="AD18" s="45"/>
      <c r="AE18" s="43"/>
      <c r="AF18" s="44"/>
      <c r="AG18" s="45"/>
    </row>
    <row r="19" spans="1:33" x14ac:dyDescent="0.2">
      <c r="A19" s="12"/>
      <c r="B19" s="12" t="s">
        <v>70</v>
      </c>
      <c r="C19" s="9">
        <v>22</v>
      </c>
      <c r="D19" s="10"/>
      <c r="E19" s="11"/>
      <c r="F19" s="11"/>
      <c r="G19" s="11"/>
      <c r="H19" s="11"/>
      <c r="I19" s="11"/>
      <c r="J19" s="11"/>
      <c r="K19" s="11"/>
      <c r="L19" s="21"/>
      <c r="N19" s="10"/>
      <c r="O19" s="11"/>
      <c r="P19" s="11"/>
      <c r="Q19" s="11"/>
      <c r="R19" s="11"/>
      <c r="S19" s="11"/>
      <c r="T19" s="11"/>
      <c r="U19" s="11"/>
      <c r="V19" s="21"/>
      <c r="W19" s="14"/>
      <c r="X19" s="14"/>
      <c r="Y19" s="14"/>
      <c r="Z19" s="22"/>
      <c r="AA19" s="39"/>
      <c r="AB19" s="36"/>
      <c r="AC19" s="37"/>
      <c r="AD19" s="37"/>
      <c r="AE19" s="46"/>
      <c r="AF19" s="47"/>
      <c r="AG19" s="49"/>
    </row>
    <row r="20" spans="1:33" x14ac:dyDescent="0.2">
      <c r="A20" s="12"/>
      <c r="B20" s="12"/>
      <c r="C20" s="12">
        <v>27</v>
      </c>
      <c r="D20" s="13"/>
      <c r="E20" s="14"/>
      <c r="F20" s="14"/>
      <c r="G20" s="14"/>
      <c r="H20" s="14"/>
      <c r="I20" s="14"/>
      <c r="J20" s="14"/>
      <c r="K20" s="14"/>
      <c r="L20" s="22"/>
      <c r="N20" s="13"/>
      <c r="O20" s="14"/>
      <c r="P20" s="14"/>
      <c r="Q20" s="14"/>
      <c r="R20" s="14"/>
      <c r="S20" s="14"/>
      <c r="T20" s="14"/>
      <c r="U20" s="14"/>
      <c r="V20" s="22"/>
      <c r="W20" s="14"/>
      <c r="X20" s="14"/>
      <c r="Y20" s="14"/>
      <c r="Z20" s="22"/>
      <c r="AA20" s="39"/>
      <c r="AB20" s="40"/>
      <c r="AC20" s="41"/>
      <c r="AD20" s="41"/>
      <c r="AE20" s="40"/>
      <c r="AF20" s="41"/>
      <c r="AG20" s="42"/>
    </row>
    <row r="21" spans="1:33" x14ac:dyDescent="0.2">
      <c r="A21" s="12"/>
      <c r="B21" s="12"/>
      <c r="C21" s="12">
        <v>32</v>
      </c>
      <c r="D21" s="13"/>
      <c r="E21" s="14"/>
      <c r="F21" s="14"/>
      <c r="G21" s="14"/>
      <c r="H21" s="14"/>
      <c r="I21" s="14"/>
      <c r="J21" s="14"/>
      <c r="K21" s="14"/>
      <c r="L21" s="22"/>
      <c r="N21" s="13"/>
      <c r="O21" s="14"/>
      <c r="P21" s="14"/>
      <c r="Q21" s="14"/>
      <c r="R21" s="14"/>
      <c r="S21" s="14"/>
      <c r="T21" s="14"/>
      <c r="U21" s="14"/>
      <c r="V21" s="22"/>
      <c r="W21" s="14"/>
      <c r="X21" s="14"/>
      <c r="Y21" s="14"/>
      <c r="Z21" s="22"/>
      <c r="AA21" s="39"/>
      <c r="AB21" s="40"/>
      <c r="AC21" s="41"/>
      <c r="AD21" s="41"/>
      <c r="AE21" s="40"/>
      <c r="AF21" s="41"/>
      <c r="AG21" s="42"/>
    </row>
    <row r="22" spans="1:33" ht="12.75" customHeight="1" thickBot="1" x14ac:dyDescent="0.25">
      <c r="A22" s="12"/>
      <c r="B22" s="15"/>
      <c r="C22" s="15">
        <v>37</v>
      </c>
      <c r="D22" s="16"/>
      <c r="E22" s="17"/>
      <c r="F22" s="17"/>
      <c r="G22" s="17"/>
      <c r="H22" s="17"/>
      <c r="I22" s="17"/>
      <c r="J22" s="17"/>
      <c r="K22" s="17"/>
      <c r="L22" s="23"/>
      <c r="N22" s="16"/>
      <c r="O22" s="17"/>
      <c r="P22" s="17"/>
      <c r="Q22" s="17"/>
      <c r="R22" s="17"/>
      <c r="S22" s="17"/>
      <c r="T22" s="17"/>
      <c r="U22" s="17"/>
      <c r="V22" s="23"/>
      <c r="W22" s="14"/>
      <c r="X22" s="14"/>
      <c r="Y22" s="14"/>
      <c r="Z22" s="22"/>
      <c r="AA22" s="39"/>
      <c r="AB22" s="43"/>
      <c r="AC22" s="44"/>
      <c r="AD22" s="44"/>
      <c r="AE22" s="43"/>
      <c r="AF22" s="44"/>
      <c r="AG22" s="45"/>
    </row>
    <row r="23" spans="1:33" x14ac:dyDescent="0.2">
      <c r="A23" s="12"/>
      <c r="B23" s="12" t="s">
        <v>71</v>
      </c>
      <c r="C23" s="9">
        <v>22</v>
      </c>
      <c r="D23" s="10"/>
      <c r="E23" s="11"/>
      <c r="F23" s="11"/>
      <c r="G23" s="11"/>
      <c r="H23" s="11"/>
      <c r="I23" s="11"/>
      <c r="J23" s="11"/>
      <c r="K23" s="11"/>
      <c r="L23" s="21"/>
      <c r="N23" s="10"/>
      <c r="O23" s="11"/>
      <c r="P23" s="11"/>
      <c r="Q23" s="11"/>
      <c r="R23" s="11"/>
      <c r="S23" s="11"/>
      <c r="T23" s="11"/>
      <c r="U23" s="11"/>
      <c r="V23" s="21"/>
      <c r="W23" s="14"/>
      <c r="X23" s="14"/>
      <c r="Y23" s="14"/>
      <c r="Z23" s="22"/>
      <c r="AA23" s="39"/>
      <c r="AB23" s="36"/>
      <c r="AC23" s="37"/>
      <c r="AD23" s="37"/>
      <c r="AE23" s="46"/>
      <c r="AF23" s="47"/>
      <c r="AG23" s="49"/>
    </row>
    <row r="24" spans="1:33" x14ac:dyDescent="0.2">
      <c r="A24" s="12"/>
      <c r="B24" s="12"/>
      <c r="C24" s="12">
        <v>27</v>
      </c>
      <c r="D24" s="13"/>
      <c r="E24" s="14"/>
      <c r="F24" s="14"/>
      <c r="G24" s="14"/>
      <c r="H24" s="14"/>
      <c r="I24" s="14"/>
      <c r="J24" s="14"/>
      <c r="K24" s="14"/>
      <c r="L24" s="22"/>
      <c r="N24" s="13"/>
      <c r="O24" s="14"/>
      <c r="P24" s="14"/>
      <c r="Q24" s="14"/>
      <c r="R24" s="14"/>
      <c r="S24" s="14"/>
      <c r="T24" s="14"/>
      <c r="U24" s="14"/>
      <c r="V24" s="22"/>
      <c r="W24" s="14"/>
      <c r="X24" s="14"/>
      <c r="Y24" s="14"/>
      <c r="Z24" s="22"/>
      <c r="AA24" s="39"/>
      <c r="AB24" s="40"/>
      <c r="AC24" s="41"/>
      <c r="AD24" s="41"/>
      <c r="AE24" s="40"/>
      <c r="AF24" s="41"/>
      <c r="AG24" s="42"/>
    </row>
    <row r="25" spans="1:33" x14ac:dyDescent="0.2">
      <c r="A25" s="12"/>
      <c r="B25" s="12"/>
      <c r="C25" s="12">
        <v>32</v>
      </c>
      <c r="D25" s="13"/>
      <c r="E25" s="14"/>
      <c r="F25" s="14"/>
      <c r="G25" s="14"/>
      <c r="H25" s="14"/>
      <c r="I25" s="14"/>
      <c r="J25" s="14"/>
      <c r="K25" s="14"/>
      <c r="L25" s="22"/>
      <c r="N25" s="13"/>
      <c r="O25" s="14"/>
      <c r="P25" s="14"/>
      <c r="Q25" s="14"/>
      <c r="R25" s="14"/>
      <c r="S25" s="14"/>
      <c r="T25" s="14"/>
      <c r="U25" s="14"/>
      <c r="V25" s="22"/>
      <c r="W25" s="14"/>
      <c r="X25" s="14"/>
      <c r="Y25" s="14"/>
      <c r="Z25" s="22"/>
      <c r="AA25" s="39"/>
      <c r="AB25" s="40"/>
      <c r="AC25" s="41"/>
      <c r="AD25" s="41"/>
      <c r="AE25" s="40"/>
      <c r="AF25" s="41"/>
      <c r="AG25" s="42"/>
    </row>
    <row r="26" spans="1:33" ht="12.75" customHeight="1" thickBot="1" x14ac:dyDescent="0.25">
      <c r="A26" s="12"/>
      <c r="B26" s="15"/>
      <c r="C26" s="15">
        <v>37</v>
      </c>
      <c r="D26" s="16"/>
      <c r="E26" s="17"/>
      <c r="F26" s="17"/>
      <c r="G26" s="17"/>
      <c r="H26" s="17"/>
      <c r="I26" s="17"/>
      <c r="J26" s="17"/>
      <c r="K26" s="17"/>
      <c r="L26" s="23"/>
      <c r="N26" s="16"/>
      <c r="O26" s="17"/>
      <c r="P26" s="17"/>
      <c r="Q26" s="17"/>
      <c r="R26" s="17"/>
      <c r="S26" s="17"/>
      <c r="T26" s="17"/>
      <c r="U26" s="17"/>
      <c r="V26" s="23"/>
      <c r="W26" s="14"/>
      <c r="X26" s="14"/>
      <c r="Y26" s="14"/>
      <c r="Z26" s="22"/>
      <c r="AA26" s="39"/>
      <c r="AB26" s="43"/>
      <c r="AC26" s="44"/>
      <c r="AD26" s="44"/>
      <c r="AE26" s="43"/>
      <c r="AF26" s="44"/>
      <c r="AG26" s="45"/>
    </row>
    <row r="27" spans="1:33" x14ac:dyDescent="0.2">
      <c r="A27" s="9" t="s">
        <v>22</v>
      </c>
      <c r="B27" s="9" t="s">
        <v>72</v>
      </c>
      <c r="C27" s="9">
        <v>22</v>
      </c>
      <c r="D27" s="10">
        <f>Reference!B265</f>
        <v>9258.3791999999994</v>
      </c>
      <c r="E27" s="11">
        <f>Reference!C265</f>
        <v>40.5867</v>
      </c>
      <c r="F27" s="11">
        <f>Reference!D265</f>
        <v>44.443199999999997</v>
      </c>
      <c r="G27" s="11">
        <f>Reference!E265</f>
        <v>45.058900000000001</v>
      </c>
      <c r="H27" s="11">
        <f>Reference!F265</f>
        <v>107659</v>
      </c>
      <c r="I27" s="11">
        <f>Reference!G265</f>
        <v>83.006</v>
      </c>
      <c r="J27" s="11">
        <f t="shared" ref="J27:J58" si="0">H27/3600</f>
        <v>29.905277777777776</v>
      </c>
      <c r="K27" s="24">
        <f>Reference!H265</f>
        <v>4068232</v>
      </c>
      <c r="L27" s="25">
        <f>Reference!I265</f>
        <v>818880</v>
      </c>
      <c r="N27" s="10">
        <f>Test!B265</f>
        <v>0</v>
      </c>
      <c r="O27" s="11">
        <f>Test!C265</f>
        <v>0</v>
      </c>
      <c r="P27" s="11">
        <f>Test!D265</f>
        <v>0</v>
      </c>
      <c r="Q27" s="11">
        <f>Test!E265</f>
        <v>0</v>
      </c>
      <c r="R27" s="11">
        <f>Test!F265</f>
        <v>0</v>
      </c>
      <c r="S27" s="11">
        <f>Test!G265</f>
        <v>0</v>
      </c>
      <c r="T27" s="11">
        <f t="shared" ref="T27:T58" si="1">R27/3600</f>
        <v>0</v>
      </c>
      <c r="U27" s="24">
        <f>Test!H265</f>
        <v>0</v>
      </c>
      <c r="V27" s="25">
        <f>Test!I265</f>
        <v>0</v>
      </c>
      <c r="W27" s="11">
        <f t="shared" ref="W27:W58" si="2">R27/H27</f>
        <v>0</v>
      </c>
      <c r="X27" s="11">
        <f t="shared" ref="X27:X58" si="3">S27/I27</f>
        <v>0</v>
      </c>
      <c r="Y27" s="11">
        <f>U27/K27</f>
        <v>0</v>
      </c>
      <c r="Z27" s="21">
        <f>V27/L27</f>
        <v>0</v>
      </c>
      <c r="AA27" s="35"/>
      <c r="AB27" s="36" t="e">
        <f>bdrate($D27:$D30,E27:E30,$N27:$N30,O27:O30)</f>
        <v>#VALUE!</v>
      </c>
      <c r="AC27" s="37" t="e">
        <f>bdrate($D27:$D30,F27:F30,$N27:$N30,P27:P30)</f>
        <v>#VALUE!</v>
      </c>
      <c r="AD27" s="38" t="e">
        <f>bdrate($D27:$D30,G27:G30,$N27:$N30,Q27:Q30)</f>
        <v>#VALUE!</v>
      </c>
      <c r="AE27" s="36" t="e">
        <f>bdrateOld($D27:$D30,E27:E30,$N27:$N30,O27:O30)</f>
        <v>#VALUE!</v>
      </c>
      <c r="AF27" s="37" t="e">
        <f>bdrateOld($D27:$D30,F27:F30,$N27:$N30,P27:P30)</f>
        <v>#VALUE!</v>
      </c>
      <c r="AG27" s="38" t="e">
        <f>bdrateOld($D27:$D30,G27:G30,$N27:$N30,Q27:Q30)</f>
        <v>#VALUE!</v>
      </c>
    </row>
    <row r="28" spans="1:33" x14ac:dyDescent="0.2">
      <c r="A28" s="12" t="s">
        <v>111</v>
      </c>
      <c r="B28" s="12"/>
      <c r="C28" s="12">
        <v>27</v>
      </c>
      <c r="D28" s="13">
        <f>Reference!B266</f>
        <v>3046.1632</v>
      </c>
      <c r="E28" s="14">
        <f>Reference!C266</f>
        <v>38.876100000000001</v>
      </c>
      <c r="F28" s="14">
        <f>Reference!D266</f>
        <v>43.162300000000002</v>
      </c>
      <c r="G28" s="14">
        <f>Reference!E266</f>
        <v>43.544400000000003</v>
      </c>
      <c r="H28" s="14">
        <f>Reference!F266</f>
        <v>60335</v>
      </c>
      <c r="I28" s="14">
        <f>Reference!G266</f>
        <v>61.735999999999997</v>
      </c>
      <c r="J28" s="14">
        <f t="shared" si="0"/>
        <v>16.759722222222223</v>
      </c>
      <c r="K28" s="26">
        <f>Reference!H266</f>
        <v>4045636</v>
      </c>
      <c r="L28" s="27">
        <f>Reference!I266</f>
        <v>817156</v>
      </c>
      <c r="N28" s="13">
        <f>Test!B266</f>
        <v>0</v>
      </c>
      <c r="O28" s="14">
        <f>Test!C266</f>
        <v>0</v>
      </c>
      <c r="P28" s="14">
        <f>Test!D266</f>
        <v>0</v>
      </c>
      <c r="Q28" s="14">
        <f>Test!E266</f>
        <v>0</v>
      </c>
      <c r="R28" s="14">
        <f>Test!F266</f>
        <v>0</v>
      </c>
      <c r="S28" s="14">
        <f>Test!G266</f>
        <v>0</v>
      </c>
      <c r="T28" s="14">
        <f t="shared" si="1"/>
        <v>0</v>
      </c>
      <c r="U28" s="26">
        <f>Test!H266</f>
        <v>0</v>
      </c>
      <c r="V28" s="27">
        <f>Test!I266</f>
        <v>0</v>
      </c>
      <c r="W28" s="14">
        <f t="shared" si="2"/>
        <v>0</v>
      </c>
      <c r="X28" s="14">
        <f t="shared" si="3"/>
        <v>0</v>
      </c>
      <c r="Y28" s="14">
        <f t="shared" ref="Y28:Z91" si="4">U28/K28</f>
        <v>0</v>
      </c>
      <c r="Z28" s="22">
        <f t="shared" si="4"/>
        <v>0</v>
      </c>
      <c r="AA28" s="39"/>
      <c r="AB28" s="40"/>
      <c r="AC28" s="41"/>
      <c r="AD28" s="42"/>
      <c r="AE28" s="40"/>
      <c r="AF28" s="41"/>
      <c r="AG28" s="42"/>
    </row>
    <row r="29" spans="1:33" x14ac:dyDescent="0.2">
      <c r="A29" s="12"/>
      <c r="B29" s="12"/>
      <c r="C29" s="12">
        <v>32</v>
      </c>
      <c r="D29" s="13">
        <f>Reference!B267</f>
        <v>1362.1424</v>
      </c>
      <c r="E29" s="14">
        <f>Reference!C267</f>
        <v>36.94</v>
      </c>
      <c r="F29" s="14">
        <f>Reference!D267</f>
        <v>42.050600000000003</v>
      </c>
      <c r="G29" s="14">
        <f>Reference!E267</f>
        <v>42.1599</v>
      </c>
      <c r="H29" s="14">
        <f>Reference!F267</f>
        <v>42007</v>
      </c>
      <c r="I29" s="14">
        <f>Reference!G267</f>
        <v>51.470999999999997</v>
      </c>
      <c r="J29" s="14">
        <f t="shared" si="0"/>
        <v>11.668611111111112</v>
      </c>
      <c r="K29" s="26">
        <f>Reference!H267</f>
        <v>4376396</v>
      </c>
      <c r="L29" s="27">
        <f>Reference!I267</f>
        <v>830340</v>
      </c>
      <c r="N29" s="13">
        <f>Test!B267</f>
        <v>0</v>
      </c>
      <c r="O29" s="14">
        <f>Test!C267</f>
        <v>0</v>
      </c>
      <c r="P29" s="14">
        <f>Test!D267</f>
        <v>0</v>
      </c>
      <c r="Q29" s="14">
        <f>Test!E267</f>
        <v>0</v>
      </c>
      <c r="R29" s="14">
        <f>Test!F267</f>
        <v>0</v>
      </c>
      <c r="S29" s="14">
        <f>Test!G267</f>
        <v>0</v>
      </c>
      <c r="T29" s="14">
        <f t="shared" si="1"/>
        <v>0</v>
      </c>
      <c r="U29" s="26">
        <f>Test!H267</f>
        <v>0</v>
      </c>
      <c r="V29" s="27">
        <f>Test!I267</f>
        <v>0</v>
      </c>
      <c r="W29" s="14">
        <f t="shared" si="2"/>
        <v>0</v>
      </c>
      <c r="X29" s="14">
        <f t="shared" si="3"/>
        <v>0</v>
      </c>
      <c r="Y29" s="14">
        <f t="shared" si="4"/>
        <v>0</v>
      </c>
      <c r="Z29" s="22">
        <f t="shared" si="4"/>
        <v>0</v>
      </c>
      <c r="AA29" s="39"/>
      <c r="AB29" s="40"/>
      <c r="AC29" s="41"/>
      <c r="AD29" s="42"/>
      <c r="AE29" s="40"/>
      <c r="AF29" s="41"/>
      <c r="AG29" s="42"/>
    </row>
    <row r="30" spans="1:33" ht="12.75" customHeight="1" thickBot="1" x14ac:dyDescent="0.25">
      <c r="A30" s="12"/>
      <c r="B30" s="15"/>
      <c r="C30" s="15">
        <v>37</v>
      </c>
      <c r="D30" s="16">
        <f>Reference!B268</f>
        <v>655.20159999999998</v>
      </c>
      <c r="E30" s="17">
        <f>Reference!C268</f>
        <v>34.841099999999997</v>
      </c>
      <c r="F30" s="17">
        <f>Reference!D268</f>
        <v>40.980200000000004</v>
      </c>
      <c r="G30" s="17">
        <f>Reference!E268</f>
        <v>41.048499999999997</v>
      </c>
      <c r="H30" s="17">
        <f>Reference!F268</f>
        <v>32611</v>
      </c>
      <c r="I30" s="17">
        <f>Reference!G268</f>
        <v>44.639000000000003</v>
      </c>
      <c r="J30" s="17">
        <f t="shared" si="0"/>
        <v>9.0586111111111105</v>
      </c>
      <c r="K30" s="26">
        <f>Reference!H268</f>
        <v>3160188</v>
      </c>
      <c r="L30" s="27">
        <f>Reference!I268</f>
        <v>647956</v>
      </c>
      <c r="N30" s="16">
        <f>Test!B268</f>
        <v>0</v>
      </c>
      <c r="O30" s="17">
        <f>Test!C268</f>
        <v>0</v>
      </c>
      <c r="P30" s="17">
        <f>Test!D268</f>
        <v>0</v>
      </c>
      <c r="Q30" s="17">
        <f>Test!E268</f>
        <v>0</v>
      </c>
      <c r="R30" s="17">
        <f>Test!F268</f>
        <v>0</v>
      </c>
      <c r="S30" s="17">
        <f>Test!G268</f>
        <v>0</v>
      </c>
      <c r="T30" s="17">
        <f t="shared" si="1"/>
        <v>0</v>
      </c>
      <c r="U30" s="28">
        <f>Test!H268</f>
        <v>0</v>
      </c>
      <c r="V30" s="29">
        <f>Test!I268</f>
        <v>0</v>
      </c>
      <c r="W30" s="14">
        <f t="shared" si="2"/>
        <v>0</v>
      </c>
      <c r="X30" s="14">
        <f t="shared" si="3"/>
        <v>0</v>
      </c>
      <c r="Y30" s="14">
        <f t="shared" si="4"/>
        <v>0</v>
      </c>
      <c r="Z30" s="22">
        <f t="shared" si="4"/>
        <v>0</v>
      </c>
      <c r="AA30" s="39"/>
      <c r="AB30" s="43"/>
      <c r="AC30" s="44"/>
      <c r="AD30" s="45"/>
      <c r="AE30" s="43"/>
      <c r="AF30" s="44"/>
      <c r="AG30" s="45"/>
    </row>
    <row r="31" spans="1:33" x14ac:dyDescent="0.2">
      <c r="A31" s="12"/>
      <c r="B31" s="9" t="s">
        <v>73</v>
      </c>
      <c r="C31" s="9">
        <v>22</v>
      </c>
      <c r="D31" s="10">
        <f>Reference!B269</f>
        <v>7538.8047999999999</v>
      </c>
      <c r="E31" s="11">
        <f>Reference!C269</f>
        <v>44.8474</v>
      </c>
      <c r="F31" s="11">
        <f>Reference!D269</f>
        <v>48.044699999999999</v>
      </c>
      <c r="G31" s="11">
        <f>Reference!E269</f>
        <v>48.571300000000001</v>
      </c>
      <c r="H31" s="11">
        <f>Reference!F269</f>
        <v>110887</v>
      </c>
      <c r="I31" s="11">
        <f>Reference!G269</f>
        <v>104.708</v>
      </c>
      <c r="J31" s="11">
        <f t="shared" si="0"/>
        <v>30.801944444444445</v>
      </c>
      <c r="K31" s="24">
        <f>Reference!H269</f>
        <v>4011680</v>
      </c>
      <c r="L31" s="25">
        <f>Reference!I269</f>
        <v>790800</v>
      </c>
      <c r="N31" s="10">
        <f>Test!B269</f>
        <v>0</v>
      </c>
      <c r="O31" s="11">
        <f>Test!C269</f>
        <v>0</v>
      </c>
      <c r="P31" s="11">
        <f>Test!D269</f>
        <v>0</v>
      </c>
      <c r="Q31" s="11">
        <f>Test!E269</f>
        <v>0</v>
      </c>
      <c r="R31" s="11">
        <f>Test!F269</f>
        <v>0</v>
      </c>
      <c r="S31" s="11">
        <f>Test!G269</f>
        <v>0</v>
      </c>
      <c r="T31" s="11">
        <f t="shared" si="1"/>
        <v>0</v>
      </c>
      <c r="U31" s="24">
        <f>Test!H269</f>
        <v>0</v>
      </c>
      <c r="V31" s="25">
        <f>Test!I269</f>
        <v>0</v>
      </c>
      <c r="W31" s="14">
        <f t="shared" si="2"/>
        <v>0</v>
      </c>
      <c r="X31" s="14">
        <f t="shared" si="3"/>
        <v>0</v>
      </c>
      <c r="Y31" s="14">
        <f t="shared" si="4"/>
        <v>0</v>
      </c>
      <c r="Z31" s="22">
        <f t="shared" si="4"/>
        <v>0</v>
      </c>
      <c r="AA31" s="39"/>
      <c r="AB31" s="36" t="e">
        <f>bdrate($D31:$D34,E31:E34,$N31:$N34,O31:O34)</f>
        <v>#VALUE!</v>
      </c>
      <c r="AC31" s="37" t="e">
        <f>bdrate($D31:$D34,F31:F34,$N31:$N34,P31:P34)</f>
        <v>#VALUE!</v>
      </c>
      <c r="AD31" s="37" t="e">
        <f>bdrate($D31:$D34,G31:G34,$N31:$N34,Q31:Q34)</f>
        <v>#VALUE!</v>
      </c>
      <c r="AE31" s="46" t="e">
        <f>bdrateOld($D31:$D34,E31:E34,$N31:$N34,O31:O34)</f>
        <v>#VALUE!</v>
      </c>
      <c r="AF31" s="47" t="e">
        <f>bdrateOld($D31:$D34,F31:F34,$N31:$N34,P31:P34)</f>
        <v>#VALUE!</v>
      </c>
      <c r="AG31" s="49" t="e">
        <f>bdrateOld($D31:$D34,G31:G34,$N31:$N34,Q31:Q34)</f>
        <v>#VALUE!</v>
      </c>
    </row>
    <row r="32" spans="1:33" x14ac:dyDescent="0.2">
      <c r="A32" s="12"/>
      <c r="B32" s="12"/>
      <c r="C32" s="12">
        <v>27</v>
      </c>
      <c r="D32" s="13">
        <f>Reference!B270</f>
        <v>3649.4351999999999</v>
      </c>
      <c r="E32" s="14">
        <f>Reference!C270</f>
        <v>41.51</v>
      </c>
      <c r="F32" s="14">
        <f>Reference!D270</f>
        <v>45.516300000000001</v>
      </c>
      <c r="G32" s="14">
        <f>Reference!E270</f>
        <v>45.565600000000003</v>
      </c>
      <c r="H32" s="14">
        <f>Reference!F270</f>
        <v>55023</v>
      </c>
      <c r="I32" s="14">
        <f>Reference!G270</f>
        <v>55.904000000000003</v>
      </c>
      <c r="J32" s="14">
        <f t="shared" si="0"/>
        <v>15.284166666666666</v>
      </c>
      <c r="K32" s="26">
        <f>Reference!H270</f>
        <v>3991872</v>
      </c>
      <c r="L32" s="27">
        <f>Reference!I270</f>
        <v>826264</v>
      </c>
      <c r="N32" s="13">
        <f>Test!B270</f>
        <v>0</v>
      </c>
      <c r="O32" s="14">
        <f>Test!C270</f>
        <v>0</v>
      </c>
      <c r="P32" s="14">
        <f>Test!D270</f>
        <v>0</v>
      </c>
      <c r="Q32" s="14">
        <f>Test!E270</f>
        <v>0</v>
      </c>
      <c r="R32" s="14">
        <f>Test!F270</f>
        <v>0</v>
      </c>
      <c r="S32" s="14">
        <f>Test!G270</f>
        <v>0</v>
      </c>
      <c r="T32" s="14">
        <f t="shared" si="1"/>
        <v>0</v>
      </c>
      <c r="U32" s="26">
        <f>Test!H270</f>
        <v>0</v>
      </c>
      <c r="V32" s="27">
        <f>Test!I270</f>
        <v>0</v>
      </c>
      <c r="W32" s="14">
        <f t="shared" si="2"/>
        <v>0</v>
      </c>
      <c r="X32" s="14">
        <f t="shared" si="3"/>
        <v>0</v>
      </c>
      <c r="Y32" s="14">
        <f t="shared" si="4"/>
        <v>0</v>
      </c>
      <c r="Z32" s="22">
        <f t="shared" si="4"/>
        <v>0</v>
      </c>
      <c r="AA32" s="39"/>
      <c r="AB32" s="40"/>
      <c r="AC32" s="41"/>
      <c r="AD32" s="41"/>
      <c r="AE32" s="40"/>
      <c r="AF32" s="41"/>
      <c r="AG32" s="42"/>
    </row>
    <row r="33" spans="1:38" x14ac:dyDescent="0.2">
      <c r="A33" s="12"/>
      <c r="B33" s="12"/>
      <c r="C33" s="12">
        <v>32</v>
      </c>
      <c r="D33" s="13">
        <f>Reference!B271</f>
        <v>1885.9056</v>
      </c>
      <c r="E33" s="14">
        <f>Reference!C271</f>
        <v>38.2652</v>
      </c>
      <c r="F33" s="14">
        <f>Reference!D271</f>
        <v>43.815100000000001</v>
      </c>
      <c r="G33" s="14">
        <f>Reference!E271</f>
        <v>43.630400000000002</v>
      </c>
      <c r="H33" s="14">
        <f>Reference!F271</f>
        <v>55192</v>
      </c>
      <c r="I33" s="14">
        <f>Reference!G271</f>
        <v>58.046999999999997</v>
      </c>
      <c r="J33" s="14">
        <f t="shared" si="0"/>
        <v>15.331111111111111</v>
      </c>
      <c r="K33" s="26">
        <f>Reference!H271</f>
        <v>4044516</v>
      </c>
      <c r="L33" s="27">
        <f>Reference!I271</f>
        <v>825096</v>
      </c>
      <c r="N33" s="13">
        <f>Test!B271</f>
        <v>0</v>
      </c>
      <c r="O33" s="14">
        <f>Test!C271</f>
        <v>0</v>
      </c>
      <c r="P33" s="14">
        <f>Test!D271</f>
        <v>0</v>
      </c>
      <c r="Q33" s="14">
        <f>Test!E271</f>
        <v>0</v>
      </c>
      <c r="R33" s="14">
        <f>Test!F271</f>
        <v>0</v>
      </c>
      <c r="S33" s="14">
        <f>Test!G271</f>
        <v>0</v>
      </c>
      <c r="T33" s="14">
        <f t="shared" si="1"/>
        <v>0</v>
      </c>
      <c r="U33" s="26">
        <f>Test!H271</f>
        <v>0</v>
      </c>
      <c r="V33" s="27">
        <f>Test!I271</f>
        <v>0</v>
      </c>
      <c r="W33" s="14">
        <f t="shared" si="2"/>
        <v>0</v>
      </c>
      <c r="X33" s="14">
        <f t="shared" si="3"/>
        <v>0</v>
      </c>
      <c r="Y33" s="14">
        <f t="shared" si="4"/>
        <v>0</v>
      </c>
      <c r="Z33" s="22">
        <f t="shared" si="4"/>
        <v>0</v>
      </c>
      <c r="AA33" s="39"/>
      <c r="AB33" s="40"/>
      <c r="AC33" s="41"/>
      <c r="AD33" s="41"/>
      <c r="AE33" s="40"/>
      <c r="AF33" s="41"/>
      <c r="AG33" s="42"/>
    </row>
    <row r="34" spans="1:38" ht="12.75" customHeight="1" thickBot="1" x14ac:dyDescent="0.25">
      <c r="A34" s="12"/>
      <c r="B34" s="15"/>
      <c r="C34" s="15">
        <v>37</v>
      </c>
      <c r="D34" s="16">
        <f>Reference!B272</f>
        <v>1023.6144</v>
      </c>
      <c r="E34" s="17">
        <f>Reference!C272</f>
        <v>35.5456</v>
      </c>
      <c r="F34" s="17">
        <f>Reference!D272</f>
        <v>42.342399999999998</v>
      </c>
      <c r="G34" s="17">
        <f>Reference!E272</f>
        <v>42.047699999999999</v>
      </c>
      <c r="H34" s="17">
        <f>Reference!F272</f>
        <v>35753</v>
      </c>
      <c r="I34" s="17">
        <f>Reference!G272</f>
        <v>34.686999999999998</v>
      </c>
      <c r="J34" s="17">
        <f t="shared" si="0"/>
        <v>9.9313888888888897</v>
      </c>
      <c r="K34" s="26">
        <f>Reference!H272</f>
        <v>3879868</v>
      </c>
      <c r="L34" s="27">
        <f>Reference!I272</f>
        <v>766016</v>
      </c>
      <c r="N34" s="16">
        <f>Test!B272</f>
        <v>0</v>
      </c>
      <c r="O34" s="17">
        <f>Test!C272</f>
        <v>0</v>
      </c>
      <c r="P34" s="17">
        <f>Test!D272</f>
        <v>0</v>
      </c>
      <c r="Q34" s="17">
        <f>Test!E272</f>
        <v>0</v>
      </c>
      <c r="R34" s="17">
        <f>Test!F272</f>
        <v>0</v>
      </c>
      <c r="S34" s="17">
        <f>Test!G272</f>
        <v>0</v>
      </c>
      <c r="T34" s="17">
        <f t="shared" si="1"/>
        <v>0</v>
      </c>
      <c r="U34" s="28">
        <f>Test!H272</f>
        <v>0</v>
      </c>
      <c r="V34" s="29">
        <f>Test!I272</f>
        <v>0</v>
      </c>
      <c r="W34" s="14">
        <f t="shared" si="2"/>
        <v>0</v>
      </c>
      <c r="X34" s="14">
        <f t="shared" si="3"/>
        <v>0</v>
      </c>
      <c r="Y34" s="14">
        <f t="shared" si="4"/>
        <v>0</v>
      </c>
      <c r="Z34" s="22">
        <f t="shared" si="4"/>
        <v>0</v>
      </c>
      <c r="AA34" s="39"/>
      <c r="AB34" s="43"/>
      <c r="AC34" s="44"/>
      <c r="AD34" s="44"/>
      <c r="AE34" s="43"/>
      <c r="AF34" s="44"/>
      <c r="AG34" s="45"/>
    </row>
    <row r="35" spans="1:38" x14ac:dyDescent="0.2">
      <c r="A35" s="12"/>
      <c r="B35" s="9" t="s">
        <v>74</v>
      </c>
      <c r="C35" s="9">
        <v>22</v>
      </c>
      <c r="D35" s="10">
        <f>Reference!B273</f>
        <v>10163.003199999999</v>
      </c>
      <c r="E35" s="11">
        <f>Reference!C273</f>
        <v>38.675400000000003</v>
      </c>
      <c r="F35" s="11">
        <f>Reference!D273</f>
        <v>40.180700000000002</v>
      </c>
      <c r="G35" s="11">
        <f>Reference!E273</f>
        <v>43.857500000000002</v>
      </c>
      <c r="H35" s="11">
        <f>Reference!F273</f>
        <v>123690</v>
      </c>
      <c r="I35" s="11">
        <f>Reference!G273</f>
        <v>85.418000000000006</v>
      </c>
      <c r="J35" s="11">
        <f t="shared" si="0"/>
        <v>34.358333333333334</v>
      </c>
      <c r="K35" s="24">
        <f>Reference!H273</f>
        <v>3996436</v>
      </c>
      <c r="L35" s="25">
        <f>Reference!I273</f>
        <v>808788</v>
      </c>
      <c r="N35" s="10">
        <f>Test!B273</f>
        <v>0</v>
      </c>
      <c r="O35" s="11">
        <f>Test!C273</f>
        <v>0</v>
      </c>
      <c r="P35" s="11">
        <f>Test!D273</f>
        <v>0</v>
      </c>
      <c r="Q35" s="11">
        <f>Test!E273</f>
        <v>0</v>
      </c>
      <c r="R35" s="11">
        <f>Test!F273</f>
        <v>0</v>
      </c>
      <c r="S35" s="11">
        <f>Test!G273</f>
        <v>0</v>
      </c>
      <c r="T35" s="11">
        <f t="shared" si="1"/>
        <v>0</v>
      </c>
      <c r="U35" s="24">
        <f>Test!H273</f>
        <v>0</v>
      </c>
      <c r="V35" s="25">
        <f>Test!I273</f>
        <v>0</v>
      </c>
      <c r="W35" s="14">
        <f t="shared" si="2"/>
        <v>0</v>
      </c>
      <c r="X35" s="14">
        <f t="shared" si="3"/>
        <v>0</v>
      </c>
      <c r="Y35" s="14">
        <f t="shared" si="4"/>
        <v>0</v>
      </c>
      <c r="Z35" s="22">
        <f t="shared" si="4"/>
        <v>0</v>
      </c>
      <c r="AA35" s="39"/>
      <c r="AB35" s="36" t="e">
        <f>bdrate($D35:$D38,E35:E38,$N35:$N38,O35:O38)</f>
        <v>#VALUE!</v>
      </c>
      <c r="AC35" s="37" t="e">
        <f>bdrate($D35:$D38,F35:F38,$N35:$N38,P35:P38)</f>
        <v>#VALUE!</v>
      </c>
      <c r="AD35" s="37" t="e">
        <f>bdrate($D35:$D38,G35:G38,$N35:$N38,Q35:Q38)</f>
        <v>#VALUE!</v>
      </c>
      <c r="AE35" s="46" t="e">
        <f>bdrateOld($D35:$D38,E35:E38,$N35:$N38,O35:O38)</f>
        <v>#VALUE!</v>
      </c>
      <c r="AF35" s="47" t="e">
        <f>bdrateOld($D35:$D38,F35:F38,$N35:$N38,P35:P38)</f>
        <v>#VALUE!</v>
      </c>
      <c r="AG35" s="49" t="e">
        <f>bdrateOld($D35:$D38,G35:G38,$N35:$N38,Q35:Q38)</f>
        <v>#VALUE!</v>
      </c>
    </row>
    <row r="36" spans="1:38" x14ac:dyDescent="0.2">
      <c r="A36" s="12"/>
      <c r="B36" s="12"/>
      <c r="C36" s="12">
        <v>27</v>
      </c>
      <c r="D36" s="13">
        <f>Reference!B274</f>
        <v>3073.9616000000001</v>
      </c>
      <c r="E36" s="14">
        <f>Reference!C274</f>
        <v>36.837699999999998</v>
      </c>
      <c r="F36" s="14">
        <f>Reference!D274</f>
        <v>39.289099999999998</v>
      </c>
      <c r="G36" s="14">
        <f>Reference!E274</f>
        <v>41.917400000000001</v>
      </c>
      <c r="H36" s="14">
        <f>Reference!F274</f>
        <v>51010</v>
      </c>
      <c r="I36" s="14">
        <f>Reference!G274</f>
        <v>40.372</v>
      </c>
      <c r="J36" s="14">
        <f t="shared" si="0"/>
        <v>14.169444444444444</v>
      </c>
      <c r="K36" s="26">
        <f>Reference!H274</f>
        <v>3979680</v>
      </c>
      <c r="L36" s="27">
        <f>Reference!I274</f>
        <v>819932</v>
      </c>
      <c r="N36" s="13">
        <f>Test!B274</f>
        <v>0</v>
      </c>
      <c r="O36" s="14">
        <f>Test!C274</f>
        <v>0</v>
      </c>
      <c r="P36" s="14">
        <f>Test!D274</f>
        <v>0</v>
      </c>
      <c r="Q36" s="14">
        <f>Test!E274</f>
        <v>0</v>
      </c>
      <c r="R36" s="14">
        <f>Test!F274</f>
        <v>0</v>
      </c>
      <c r="S36" s="14">
        <f>Test!G274</f>
        <v>0</v>
      </c>
      <c r="T36" s="14">
        <f t="shared" si="1"/>
        <v>0</v>
      </c>
      <c r="U36" s="26">
        <f>Test!H274</f>
        <v>0</v>
      </c>
      <c r="V36" s="27">
        <f>Test!I274</f>
        <v>0</v>
      </c>
      <c r="W36" s="14">
        <f t="shared" si="2"/>
        <v>0</v>
      </c>
      <c r="X36" s="14">
        <f t="shared" si="3"/>
        <v>0</v>
      </c>
      <c r="Y36" s="14">
        <f t="shared" si="4"/>
        <v>0</v>
      </c>
      <c r="Z36" s="22">
        <f t="shared" si="4"/>
        <v>0</v>
      </c>
      <c r="AA36" s="39"/>
      <c r="AB36" s="40"/>
      <c r="AC36" s="41"/>
      <c r="AD36" s="41"/>
      <c r="AE36" s="40"/>
      <c r="AF36" s="41"/>
      <c r="AG36" s="42"/>
    </row>
    <row r="37" spans="1:38" x14ac:dyDescent="0.2">
      <c r="A37" s="12"/>
      <c r="B37" s="12"/>
      <c r="C37" s="12">
        <v>32</v>
      </c>
      <c r="D37" s="13">
        <f>Reference!B275</f>
        <v>1408.3743999999999</v>
      </c>
      <c r="E37" s="14">
        <f>Reference!C275</f>
        <v>34.8538</v>
      </c>
      <c r="F37" s="14">
        <f>Reference!D275</f>
        <v>38.464300000000001</v>
      </c>
      <c r="G37" s="14">
        <f>Reference!E275</f>
        <v>40.208399999999997</v>
      </c>
      <c r="H37" s="14">
        <f>Reference!F275</f>
        <v>35141</v>
      </c>
      <c r="I37" s="14">
        <f>Reference!G275</f>
        <v>30.029</v>
      </c>
      <c r="J37" s="14">
        <f t="shared" si="0"/>
        <v>9.761388888888888</v>
      </c>
      <c r="K37" s="26">
        <f>Reference!H275</f>
        <v>3968236</v>
      </c>
      <c r="L37" s="27">
        <f>Reference!I275</f>
        <v>803352</v>
      </c>
      <c r="N37" s="13">
        <f>Test!B275</f>
        <v>0</v>
      </c>
      <c r="O37" s="14">
        <f>Test!C275</f>
        <v>0</v>
      </c>
      <c r="P37" s="14">
        <f>Test!D275</f>
        <v>0</v>
      </c>
      <c r="Q37" s="14">
        <f>Test!E275</f>
        <v>0</v>
      </c>
      <c r="R37" s="14">
        <f>Test!F275</f>
        <v>0</v>
      </c>
      <c r="S37" s="14">
        <f>Test!G275</f>
        <v>0</v>
      </c>
      <c r="T37" s="14">
        <f t="shared" si="1"/>
        <v>0</v>
      </c>
      <c r="U37" s="26">
        <f>Test!H275</f>
        <v>0</v>
      </c>
      <c r="V37" s="27">
        <f>Test!I275</f>
        <v>0</v>
      </c>
      <c r="W37" s="14">
        <f t="shared" si="2"/>
        <v>0</v>
      </c>
      <c r="X37" s="14">
        <f t="shared" si="3"/>
        <v>0</v>
      </c>
      <c r="Y37" s="14">
        <f t="shared" si="4"/>
        <v>0</v>
      </c>
      <c r="Z37" s="22">
        <f t="shared" si="4"/>
        <v>0</v>
      </c>
      <c r="AA37" s="39"/>
      <c r="AB37" s="40"/>
      <c r="AC37" s="41"/>
      <c r="AD37" s="41"/>
      <c r="AE37" s="40"/>
      <c r="AF37" s="41"/>
      <c r="AG37" s="42"/>
    </row>
    <row r="38" spans="1:38" ht="12.75" customHeight="1" thickBot="1" x14ac:dyDescent="0.25">
      <c r="A38" s="12"/>
      <c r="B38" s="15"/>
      <c r="C38" s="15">
        <v>37</v>
      </c>
      <c r="D38" s="16">
        <f>Reference!B276</f>
        <v>694.52639999999997</v>
      </c>
      <c r="E38" s="17">
        <f>Reference!C276</f>
        <v>32.693899999999999</v>
      </c>
      <c r="F38" s="17">
        <f>Reference!D276</f>
        <v>37.415599999999998</v>
      </c>
      <c r="G38" s="17">
        <f>Reference!E276</f>
        <v>38.567</v>
      </c>
      <c r="H38" s="17">
        <f>Reference!F276</f>
        <v>27124</v>
      </c>
      <c r="I38" s="17">
        <f>Reference!G276</f>
        <v>26.585000000000001</v>
      </c>
      <c r="J38" s="17">
        <f t="shared" si="0"/>
        <v>7.5344444444444445</v>
      </c>
      <c r="K38" s="26">
        <f>Reference!H276</f>
        <v>3958932</v>
      </c>
      <c r="L38" s="27">
        <f>Reference!I276</f>
        <v>777348</v>
      </c>
      <c r="N38" s="16">
        <f>Test!B276</f>
        <v>0</v>
      </c>
      <c r="O38" s="17">
        <f>Test!C276</f>
        <v>0</v>
      </c>
      <c r="P38" s="17">
        <f>Test!D276</f>
        <v>0</v>
      </c>
      <c r="Q38" s="17">
        <f>Test!E276</f>
        <v>0</v>
      </c>
      <c r="R38" s="17">
        <f>Test!F276</f>
        <v>0</v>
      </c>
      <c r="S38" s="17">
        <f>Test!G276</f>
        <v>0</v>
      </c>
      <c r="T38" s="17">
        <f t="shared" si="1"/>
        <v>0</v>
      </c>
      <c r="U38" s="28">
        <f>Test!H276</f>
        <v>0</v>
      </c>
      <c r="V38" s="29">
        <f>Test!I276</f>
        <v>0</v>
      </c>
      <c r="W38" s="14">
        <f t="shared" si="2"/>
        <v>0</v>
      </c>
      <c r="X38" s="14">
        <f t="shared" si="3"/>
        <v>0</v>
      </c>
      <c r="Y38" s="14">
        <f t="shared" si="4"/>
        <v>0</v>
      </c>
      <c r="Z38" s="22">
        <f t="shared" si="4"/>
        <v>0</v>
      </c>
      <c r="AA38" s="39"/>
      <c r="AB38" s="43"/>
      <c r="AC38" s="44"/>
      <c r="AD38" s="44"/>
      <c r="AE38" s="43"/>
      <c r="AF38" s="44"/>
      <c r="AG38" s="45"/>
    </row>
    <row r="39" spans="1:38" x14ac:dyDescent="0.2">
      <c r="A39" s="12"/>
      <c r="B39" s="9" t="s">
        <v>79</v>
      </c>
      <c r="C39" s="9">
        <v>22</v>
      </c>
      <c r="D39" s="10">
        <f>Reference!B277</f>
        <v>13118.721600000001</v>
      </c>
      <c r="E39" s="11">
        <f>Reference!C277</f>
        <v>39.561199999999999</v>
      </c>
      <c r="F39" s="11">
        <f>Reference!D277</f>
        <v>44.258400000000002</v>
      </c>
      <c r="G39" s="11">
        <f>Reference!E277</f>
        <v>45.569299999999998</v>
      </c>
      <c r="H39" s="11">
        <f>Reference!F277</f>
        <v>168689</v>
      </c>
      <c r="I39" s="11">
        <f>Reference!G277</f>
        <v>97.900999999999996</v>
      </c>
      <c r="J39" s="11">
        <f t="shared" si="0"/>
        <v>46.858055555555552</v>
      </c>
      <c r="K39" s="24">
        <f>Reference!H277</f>
        <v>4125364</v>
      </c>
      <c r="L39" s="25">
        <f>Reference!I277</f>
        <v>799016</v>
      </c>
      <c r="N39" s="10">
        <f>Test!B277</f>
        <v>0</v>
      </c>
      <c r="O39" s="11">
        <f>Test!C277</f>
        <v>0</v>
      </c>
      <c r="P39" s="11">
        <f>Test!D277</f>
        <v>0</v>
      </c>
      <c r="Q39" s="11">
        <f>Test!E277</f>
        <v>0</v>
      </c>
      <c r="R39" s="11">
        <f>Test!F277</f>
        <v>0</v>
      </c>
      <c r="S39" s="11">
        <f>Test!G277</f>
        <v>0</v>
      </c>
      <c r="T39" s="11">
        <f t="shared" si="1"/>
        <v>0</v>
      </c>
      <c r="U39" s="24">
        <f>Test!H277</f>
        <v>0</v>
      </c>
      <c r="V39" s="25">
        <f>Test!I277</f>
        <v>0</v>
      </c>
      <c r="W39" s="14">
        <f t="shared" si="2"/>
        <v>0</v>
      </c>
      <c r="X39" s="14">
        <f t="shared" si="3"/>
        <v>0</v>
      </c>
      <c r="Y39" s="14">
        <f t="shared" si="4"/>
        <v>0</v>
      </c>
      <c r="Z39" s="22">
        <f t="shared" si="4"/>
        <v>0</v>
      </c>
      <c r="AA39" s="39"/>
      <c r="AB39" s="36" t="e">
        <f>bdrate($D39:$D42,E39:E42,$N39:$N42,O39:O42)</f>
        <v>#VALUE!</v>
      </c>
      <c r="AC39" s="37" t="e">
        <f>bdrate($D39:$D42,F39:F42,$N39:$N42,P39:P42)</f>
        <v>#VALUE!</v>
      </c>
      <c r="AD39" s="37" t="e">
        <f>bdrate($D39:$D42,G39:G42,$N39:$N42,Q39:Q42)</f>
        <v>#VALUE!</v>
      </c>
      <c r="AE39" s="46" t="e">
        <f>bdrateOld($D39:$D42,E39:E42,$N39:$N42,O39:O42)</f>
        <v>#VALUE!</v>
      </c>
      <c r="AF39" s="47" t="e">
        <f>bdrateOld($D39:$D42,F39:F42,$N39:$N42,P39:P42)</f>
        <v>#VALUE!</v>
      </c>
      <c r="AG39" s="49" t="e">
        <f>bdrateOld($D39:$D42,G39:G42,$N39:$N42,Q39:Q42)</f>
        <v>#VALUE!</v>
      </c>
    </row>
    <row r="40" spans="1:38" x14ac:dyDescent="0.2">
      <c r="A40" s="12"/>
      <c r="B40" s="12"/>
      <c r="C40" s="12">
        <v>27</v>
      </c>
      <c r="D40" s="13">
        <f>Reference!B278</f>
        <v>4130.424</v>
      </c>
      <c r="E40" s="14">
        <f>Reference!C278</f>
        <v>37.772399999999998</v>
      </c>
      <c r="F40" s="14">
        <f>Reference!D278</f>
        <v>42.712899999999998</v>
      </c>
      <c r="G40" s="14">
        <f>Reference!E278</f>
        <v>43.098999999999997</v>
      </c>
      <c r="H40" s="14">
        <f>Reference!F278</f>
        <v>65364</v>
      </c>
      <c r="I40" s="14">
        <f>Reference!G278</f>
        <v>52.564</v>
      </c>
      <c r="J40" s="14">
        <f t="shared" si="0"/>
        <v>18.156666666666666</v>
      </c>
      <c r="K40" s="26">
        <f>Reference!H278</f>
        <v>4135288</v>
      </c>
      <c r="L40" s="27">
        <f>Reference!I278</f>
        <v>846308</v>
      </c>
      <c r="N40" s="13">
        <f>Test!B278</f>
        <v>0</v>
      </c>
      <c r="O40" s="14">
        <f>Test!C278</f>
        <v>0</v>
      </c>
      <c r="P40" s="14">
        <f>Test!D278</f>
        <v>0</v>
      </c>
      <c r="Q40" s="14">
        <f>Test!E278</f>
        <v>0</v>
      </c>
      <c r="R40" s="14">
        <f>Test!F278</f>
        <v>0</v>
      </c>
      <c r="S40" s="14">
        <f>Test!G278</f>
        <v>0</v>
      </c>
      <c r="T40" s="14">
        <f t="shared" si="1"/>
        <v>0</v>
      </c>
      <c r="U40" s="26">
        <f>Test!H278</f>
        <v>0</v>
      </c>
      <c r="V40" s="27">
        <f>Test!I278</f>
        <v>0</v>
      </c>
      <c r="W40" s="14">
        <f t="shared" si="2"/>
        <v>0</v>
      </c>
      <c r="X40" s="14">
        <f t="shared" si="3"/>
        <v>0</v>
      </c>
      <c r="Y40" s="14">
        <f t="shared" si="4"/>
        <v>0</v>
      </c>
      <c r="Z40" s="22">
        <f t="shared" si="4"/>
        <v>0</v>
      </c>
      <c r="AA40" s="39"/>
      <c r="AB40" s="40"/>
      <c r="AC40" s="41"/>
      <c r="AD40" s="41"/>
      <c r="AE40" s="40"/>
      <c r="AF40" s="41"/>
      <c r="AG40" s="42"/>
    </row>
    <row r="41" spans="1:38" x14ac:dyDescent="0.2">
      <c r="A41" s="12"/>
      <c r="B41" s="12"/>
      <c r="C41" s="12">
        <v>32</v>
      </c>
      <c r="D41" s="13">
        <f>Reference!B279</f>
        <v>1979.0816</v>
      </c>
      <c r="E41" s="14">
        <f>Reference!C279</f>
        <v>35.950699999999998</v>
      </c>
      <c r="F41" s="14">
        <f>Reference!D279</f>
        <v>41.540700000000001</v>
      </c>
      <c r="G41" s="14">
        <f>Reference!E279</f>
        <v>41.407499999999999</v>
      </c>
      <c r="H41" s="14">
        <f>Reference!F279</f>
        <v>45451</v>
      </c>
      <c r="I41" s="14">
        <f>Reference!G279</f>
        <v>46.366</v>
      </c>
      <c r="J41" s="14">
        <f t="shared" si="0"/>
        <v>12.625277777777777</v>
      </c>
      <c r="K41" s="26">
        <f>Reference!H279</f>
        <v>4120428</v>
      </c>
      <c r="L41" s="27">
        <f>Reference!I279</f>
        <v>800264</v>
      </c>
      <c r="N41" s="13">
        <f>Test!B279</f>
        <v>0</v>
      </c>
      <c r="O41" s="14">
        <f>Test!C279</f>
        <v>0</v>
      </c>
      <c r="P41" s="14">
        <f>Test!D279</f>
        <v>0</v>
      </c>
      <c r="Q41" s="14">
        <f>Test!E279</f>
        <v>0</v>
      </c>
      <c r="R41" s="14">
        <f>Test!F279</f>
        <v>0</v>
      </c>
      <c r="S41" s="14">
        <f>Test!G279</f>
        <v>0</v>
      </c>
      <c r="T41" s="14">
        <f t="shared" si="1"/>
        <v>0</v>
      </c>
      <c r="U41" s="26">
        <f>Test!H279</f>
        <v>0</v>
      </c>
      <c r="V41" s="27">
        <f>Test!I279</f>
        <v>0</v>
      </c>
      <c r="W41" s="14">
        <f t="shared" si="2"/>
        <v>0</v>
      </c>
      <c r="X41" s="14">
        <f t="shared" si="3"/>
        <v>0</v>
      </c>
      <c r="Y41" s="14">
        <f t="shared" si="4"/>
        <v>0</v>
      </c>
      <c r="Z41" s="22">
        <f t="shared" si="4"/>
        <v>0</v>
      </c>
      <c r="AA41" s="39"/>
      <c r="AB41" s="40"/>
      <c r="AC41" s="41"/>
      <c r="AD41" s="41"/>
      <c r="AE41" s="40"/>
      <c r="AF41" s="41"/>
      <c r="AG41" s="42"/>
    </row>
    <row r="42" spans="1:38" ht="12.75" customHeight="1" thickBot="1" x14ac:dyDescent="0.25">
      <c r="A42" s="12"/>
      <c r="B42" s="15"/>
      <c r="C42" s="15">
        <v>37</v>
      </c>
      <c r="D42" s="16">
        <f>Reference!B280</f>
        <v>1019.4736</v>
      </c>
      <c r="E42" s="17">
        <f>Reference!C280</f>
        <v>33.99</v>
      </c>
      <c r="F42" s="17">
        <f>Reference!D280</f>
        <v>40.256799999999998</v>
      </c>
      <c r="G42" s="17">
        <f>Reference!E280</f>
        <v>39.433199999999999</v>
      </c>
      <c r="H42" s="17">
        <f>Reference!F280</f>
        <v>45149</v>
      </c>
      <c r="I42" s="17">
        <f>Reference!G280</f>
        <v>60.738</v>
      </c>
      <c r="J42" s="17">
        <f t="shared" si="0"/>
        <v>12.541388888888889</v>
      </c>
      <c r="K42" s="26">
        <f>Reference!H280</f>
        <v>4101924</v>
      </c>
      <c r="L42" s="27">
        <f>Reference!I280</f>
        <v>795724</v>
      </c>
      <c r="N42" s="16">
        <f>Test!B280</f>
        <v>0</v>
      </c>
      <c r="O42" s="17">
        <f>Test!C280</f>
        <v>0</v>
      </c>
      <c r="P42" s="17">
        <f>Test!D280</f>
        <v>0</v>
      </c>
      <c r="Q42" s="17">
        <f>Test!E280</f>
        <v>0</v>
      </c>
      <c r="R42" s="17">
        <f>Test!F280</f>
        <v>0</v>
      </c>
      <c r="S42" s="17">
        <f>Test!G280</f>
        <v>0</v>
      </c>
      <c r="T42" s="17">
        <f t="shared" si="1"/>
        <v>0</v>
      </c>
      <c r="U42" s="28">
        <f>Test!H280</f>
        <v>0</v>
      </c>
      <c r="V42" s="29">
        <f>Test!I280</f>
        <v>0</v>
      </c>
      <c r="W42" s="14">
        <f t="shared" si="2"/>
        <v>0</v>
      </c>
      <c r="X42" s="14">
        <f t="shared" si="3"/>
        <v>0</v>
      </c>
      <c r="Y42" s="14">
        <f t="shared" si="4"/>
        <v>0</v>
      </c>
      <c r="Z42" s="22">
        <f t="shared" si="4"/>
        <v>0</v>
      </c>
      <c r="AA42" s="39"/>
      <c r="AB42" s="43"/>
      <c r="AC42" s="44"/>
      <c r="AD42" s="44"/>
      <c r="AE42" s="43"/>
      <c r="AF42" s="44"/>
      <c r="AG42" s="45"/>
    </row>
    <row r="43" spans="1:38" x14ac:dyDescent="0.2">
      <c r="A43" s="12"/>
      <c r="B43" s="9" t="s">
        <v>80</v>
      </c>
      <c r="C43" s="9">
        <v>22</v>
      </c>
      <c r="D43" s="10">
        <f>Reference!B281</f>
        <v>28642.616000000002</v>
      </c>
      <c r="E43" s="11">
        <f>Reference!C281</f>
        <v>38.223199999999999</v>
      </c>
      <c r="F43" s="11">
        <f>Reference!D281</f>
        <v>42.934100000000001</v>
      </c>
      <c r="G43" s="11">
        <f>Reference!E281</f>
        <v>45.383200000000002</v>
      </c>
      <c r="H43" s="11">
        <f>Reference!F281</f>
        <v>126996</v>
      </c>
      <c r="I43" s="11">
        <f>Reference!G281</f>
        <v>71.616</v>
      </c>
      <c r="J43" s="11">
        <f t="shared" si="0"/>
        <v>35.276666666666664</v>
      </c>
      <c r="K43" s="24">
        <f>Reference!H281</f>
        <v>4183108</v>
      </c>
      <c r="L43" s="25">
        <f>Reference!I281</f>
        <v>845860</v>
      </c>
      <c r="N43" s="10">
        <f>Test!B281</f>
        <v>0</v>
      </c>
      <c r="O43" s="11">
        <f>Test!C281</f>
        <v>0</v>
      </c>
      <c r="P43" s="11">
        <f>Test!D281</f>
        <v>0</v>
      </c>
      <c r="Q43" s="11">
        <f>Test!E281</f>
        <v>0</v>
      </c>
      <c r="R43" s="11">
        <f>Test!F281</f>
        <v>0</v>
      </c>
      <c r="S43" s="11">
        <f>Test!G281</f>
        <v>0</v>
      </c>
      <c r="T43" s="11">
        <f t="shared" si="1"/>
        <v>0</v>
      </c>
      <c r="U43" s="24">
        <f>Test!H281</f>
        <v>0</v>
      </c>
      <c r="V43" s="25">
        <f>Test!I281</f>
        <v>0</v>
      </c>
      <c r="W43" s="14">
        <f t="shared" si="2"/>
        <v>0</v>
      </c>
      <c r="X43" s="14">
        <f t="shared" si="3"/>
        <v>0</v>
      </c>
      <c r="Y43" s="14">
        <f t="shared" si="4"/>
        <v>0</v>
      </c>
      <c r="Z43" s="22">
        <f t="shared" si="4"/>
        <v>0</v>
      </c>
      <c r="AA43" s="39"/>
      <c r="AB43" s="36" t="e">
        <f>bdrate($D43:$D46,E43:E46,$N43:$N46,O43:O46)</f>
        <v>#VALUE!</v>
      </c>
      <c r="AC43" s="37" t="e">
        <f>bdrate($D43:$D46,F43:F46,$N43:$N46,P43:P46)</f>
        <v>#VALUE!</v>
      </c>
      <c r="AD43" s="37" t="e">
        <f>bdrate($D43:$D46,G43:G46,$N43:$N46,Q43:Q46)</f>
        <v>#VALUE!</v>
      </c>
      <c r="AE43" s="46" t="e">
        <f>bdrateOld($D43:$D46,E43:E46,$N43:$N46,O43:O46)</f>
        <v>#VALUE!</v>
      </c>
      <c r="AF43" s="47" t="e">
        <f>bdrateOld($D43:$D46,F43:F46,$N43:$N46,P43:P46)</f>
        <v>#VALUE!</v>
      </c>
      <c r="AG43" s="49" t="e">
        <f>bdrateOld($D43:$D46,G43:G46,$N43:$N46,Q43:Q46)</f>
        <v>#VALUE!</v>
      </c>
    </row>
    <row r="44" spans="1:38" x14ac:dyDescent="0.2">
      <c r="A44" s="12"/>
      <c r="B44" s="12"/>
      <c r="C44" s="12">
        <v>27</v>
      </c>
      <c r="D44" s="13">
        <f>Reference!B282</f>
        <v>3625.1632</v>
      </c>
      <c r="E44" s="14">
        <f>Reference!C282</f>
        <v>35.918300000000002</v>
      </c>
      <c r="F44" s="14">
        <f>Reference!D282</f>
        <v>41.895800000000001</v>
      </c>
      <c r="G44" s="14">
        <f>Reference!E282</f>
        <v>44.389699999999998</v>
      </c>
      <c r="H44" s="14">
        <f>Reference!F282</f>
        <v>86102</v>
      </c>
      <c r="I44" s="14">
        <f>Reference!G282</f>
        <v>68.718999999999994</v>
      </c>
      <c r="J44" s="14">
        <f t="shared" si="0"/>
        <v>23.917222222222222</v>
      </c>
      <c r="K44" s="26">
        <f>Reference!H282</f>
        <v>4164964</v>
      </c>
      <c r="L44" s="27">
        <f>Reference!I282</f>
        <v>905520</v>
      </c>
      <c r="N44" s="13">
        <f>Test!B282</f>
        <v>0</v>
      </c>
      <c r="O44" s="14">
        <f>Test!C282</f>
        <v>0</v>
      </c>
      <c r="P44" s="14">
        <f>Test!D282</f>
        <v>0</v>
      </c>
      <c r="Q44" s="14">
        <f>Test!E282</f>
        <v>0</v>
      </c>
      <c r="R44" s="14">
        <f>Test!F282</f>
        <v>0</v>
      </c>
      <c r="S44" s="14">
        <f>Test!G282</f>
        <v>0</v>
      </c>
      <c r="T44" s="14">
        <f t="shared" si="1"/>
        <v>0</v>
      </c>
      <c r="U44" s="26">
        <f>Test!H282</f>
        <v>0</v>
      </c>
      <c r="V44" s="27">
        <f>Test!I282</f>
        <v>0</v>
      </c>
      <c r="W44" s="14">
        <f t="shared" si="2"/>
        <v>0</v>
      </c>
      <c r="X44" s="14">
        <f t="shared" si="3"/>
        <v>0</v>
      </c>
      <c r="Y44" s="14">
        <f t="shared" si="4"/>
        <v>0</v>
      </c>
      <c r="Z44" s="22">
        <f t="shared" si="4"/>
        <v>0</v>
      </c>
      <c r="AA44" s="39"/>
      <c r="AB44" s="40"/>
      <c r="AC44" s="41"/>
      <c r="AD44" s="41"/>
      <c r="AE44" s="40"/>
      <c r="AF44" s="41"/>
      <c r="AG44" s="42"/>
    </row>
    <row r="45" spans="1:38" x14ac:dyDescent="0.2">
      <c r="A45" s="12"/>
      <c r="B45" s="12"/>
      <c r="C45" s="12">
        <v>32</v>
      </c>
      <c r="D45" s="13">
        <f>Reference!B283</f>
        <v>1234.6176</v>
      </c>
      <c r="E45" s="14">
        <f>Reference!C283</f>
        <v>34.375999999999998</v>
      </c>
      <c r="F45" s="14">
        <f>Reference!D283</f>
        <v>40.744999999999997</v>
      </c>
      <c r="G45" s="14">
        <f>Reference!E283</f>
        <v>43.192</v>
      </c>
      <c r="H45" s="14">
        <f>Reference!F283</f>
        <v>36429</v>
      </c>
      <c r="I45" s="14">
        <f>Reference!G283</f>
        <v>39.798999999999999</v>
      </c>
      <c r="J45" s="14">
        <f t="shared" si="0"/>
        <v>10.119166666666667</v>
      </c>
      <c r="K45" s="26">
        <f>Reference!H283</f>
        <v>4262920</v>
      </c>
      <c r="L45" s="27">
        <f>Reference!I283</f>
        <v>818028</v>
      </c>
      <c r="N45" s="13">
        <f>Test!B283</f>
        <v>0</v>
      </c>
      <c r="O45" s="14">
        <f>Test!C283</f>
        <v>0</v>
      </c>
      <c r="P45" s="14">
        <f>Test!D283</f>
        <v>0</v>
      </c>
      <c r="Q45" s="14">
        <f>Test!E283</f>
        <v>0</v>
      </c>
      <c r="R45" s="14">
        <f>Test!F283</f>
        <v>0</v>
      </c>
      <c r="S45" s="14">
        <f>Test!G283</f>
        <v>0</v>
      </c>
      <c r="T45" s="14">
        <f t="shared" si="1"/>
        <v>0</v>
      </c>
      <c r="U45" s="26">
        <f>Test!H283</f>
        <v>0</v>
      </c>
      <c r="V45" s="27">
        <f>Test!I283</f>
        <v>0</v>
      </c>
      <c r="W45" s="14">
        <f t="shared" si="2"/>
        <v>0</v>
      </c>
      <c r="X45" s="14">
        <f t="shared" si="3"/>
        <v>0</v>
      </c>
      <c r="Y45" s="14">
        <f t="shared" si="4"/>
        <v>0</v>
      </c>
      <c r="Z45" s="22">
        <f t="shared" si="4"/>
        <v>0</v>
      </c>
      <c r="AA45" s="39"/>
      <c r="AB45" s="40"/>
      <c r="AC45" s="41"/>
      <c r="AD45" s="41"/>
      <c r="AE45" s="40"/>
      <c r="AF45" s="41"/>
      <c r="AG45" s="42"/>
    </row>
    <row r="46" spans="1:38" ht="12.75" customHeight="1" thickBot="1" x14ac:dyDescent="0.25">
      <c r="A46" s="15"/>
      <c r="B46" s="15"/>
      <c r="C46" s="15">
        <v>37</v>
      </c>
      <c r="D46" s="16">
        <f>Reference!B284</f>
        <v>505.20319999999998</v>
      </c>
      <c r="E46" s="17">
        <f>Reference!C284</f>
        <v>32.664900000000003</v>
      </c>
      <c r="F46" s="17">
        <f>Reference!D284</f>
        <v>39.609200000000001</v>
      </c>
      <c r="G46" s="17">
        <f>Reference!E284</f>
        <v>42.149500000000003</v>
      </c>
      <c r="H46" s="17">
        <f>Reference!F284</f>
        <v>25592</v>
      </c>
      <c r="I46" s="17">
        <f>Reference!G284</f>
        <v>31.788</v>
      </c>
      <c r="J46" s="17">
        <f t="shared" si="0"/>
        <v>7.108888888888889</v>
      </c>
      <c r="K46" s="26">
        <f>Reference!H284</f>
        <v>4104808</v>
      </c>
      <c r="L46" s="27">
        <f>Reference!I284</f>
        <v>822048</v>
      </c>
      <c r="N46" s="16">
        <f>Test!B284</f>
        <v>0</v>
      </c>
      <c r="O46" s="17">
        <f>Test!C284</f>
        <v>0</v>
      </c>
      <c r="P46" s="17">
        <f>Test!D284</f>
        <v>0</v>
      </c>
      <c r="Q46" s="17">
        <f>Test!E284</f>
        <v>0</v>
      </c>
      <c r="R46" s="17">
        <f>Test!F284</f>
        <v>0</v>
      </c>
      <c r="S46" s="17">
        <f>Test!G284</f>
        <v>0</v>
      </c>
      <c r="T46" s="17">
        <f t="shared" si="1"/>
        <v>0</v>
      </c>
      <c r="U46" s="28">
        <f>Test!H284</f>
        <v>0</v>
      </c>
      <c r="V46" s="29">
        <f>Test!I284</f>
        <v>0</v>
      </c>
      <c r="W46" s="14">
        <f t="shared" si="2"/>
        <v>0</v>
      </c>
      <c r="X46" s="14">
        <f t="shared" si="3"/>
        <v>0</v>
      </c>
      <c r="Y46" s="14">
        <f t="shared" si="4"/>
        <v>0</v>
      </c>
      <c r="Z46" s="22">
        <f t="shared" si="4"/>
        <v>0</v>
      </c>
      <c r="AA46" s="39"/>
      <c r="AB46" s="43"/>
      <c r="AC46" s="44"/>
      <c r="AD46" s="44"/>
      <c r="AE46" s="43"/>
      <c r="AF46" s="44"/>
      <c r="AG46" s="45"/>
    </row>
    <row r="47" spans="1:38" x14ac:dyDescent="0.2">
      <c r="A47" s="9" t="s">
        <v>23</v>
      </c>
      <c r="B47" s="9" t="s">
        <v>81</v>
      </c>
      <c r="C47" s="9">
        <v>22</v>
      </c>
      <c r="D47" s="10">
        <f>Reference!B285</f>
        <v>2278.9663999999998</v>
      </c>
      <c r="E47" s="11">
        <f>Reference!C285</f>
        <v>41.588299999999997</v>
      </c>
      <c r="F47" s="11">
        <f>Reference!D285</f>
        <v>43.842500000000001</v>
      </c>
      <c r="G47" s="11">
        <f>Reference!E285</f>
        <v>44.819600000000001</v>
      </c>
      <c r="H47" s="11">
        <f>Reference!F285</f>
        <v>18370</v>
      </c>
      <c r="I47" s="11">
        <f>Reference!G285</f>
        <v>13.753</v>
      </c>
      <c r="J47" s="11">
        <f t="shared" si="0"/>
        <v>5.1027777777777779</v>
      </c>
      <c r="K47" s="24">
        <f>Reference!H285</f>
        <v>1597800</v>
      </c>
      <c r="L47" s="25">
        <f>Reference!I285</f>
        <v>471252</v>
      </c>
      <c r="N47" s="10">
        <f>Test!B285</f>
        <v>0</v>
      </c>
      <c r="O47" s="11">
        <f>Test!C285</f>
        <v>0</v>
      </c>
      <c r="P47" s="11">
        <f>Test!D285</f>
        <v>0</v>
      </c>
      <c r="Q47" s="11">
        <f>Test!E285</f>
        <v>0</v>
      </c>
      <c r="R47" s="11">
        <f>Test!F285</f>
        <v>0</v>
      </c>
      <c r="S47" s="11">
        <f>Test!G285</f>
        <v>0</v>
      </c>
      <c r="T47" s="11">
        <f t="shared" si="1"/>
        <v>0</v>
      </c>
      <c r="U47" s="24">
        <f>Test!H285</f>
        <v>0</v>
      </c>
      <c r="V47" s="25">
        <f>Test!I285</f>
        <v>0</v>
      </c>
      <c r="W47" s="11">
        <f t="shared" si="2"/>
        <v>0</v>
      </c>
      <c r="X47" s="11">
        <f t="shared" si="3"/>
        <v>0</v>
      </c>
      <c r="Y47" s="11">
        <f t="shared" si="4"/>
        <v>0</v>
      </c>
      <c r="Z47" s="21">
        <f t="shared" si="4"/>
        <v>0</v>
      </c>
      <c r="AA47" s="35"/>
      <c r="AB47" s="36" t="e">
        <f>bdrate($D47:$D50,E47:E50,$N47:$N50,O47:O50)</f>
        <v>#VALUE!</v>
      </c>
      <c r="AC47" s="37" t="e">
        <f>bdrate($D47:$D50,F47:F50,$N47:$N50,P47:P50)</f>
        <v>#VALUE!</v>
      </c>
      <c r="AD47" s="38" t="e">
        <f>bdrate($D47:$D50,G47:G50,$N47:$N50,Q47:Q50)</f>
        <v>#VALUE!</v>
      </c>
      <c r="AE47" s="36" t="e">
        <f>bdrateOld($D47:$D50,E47:E50,$N47:$N50,O47:O50)</f>
        <v>#VALUE!</v>
      </c>
      <c r="AF47" s="37" t="e">
        <f>bdrateOld($D47:$D50,F47:F50,$N47:$N50,P47:P50)</f>
        <v>#VALUE!</v>
      </c>
      <c r="AG47" s="38" t="e">
        <f>bdrateOld($D47:$D50,G47:G50,$N47:$N50,Q47:Q50)</f>
        <v>#VALUE!</v>
      </c>
      <c r="AH47" s="145" t="e">
        <f>(AB47*6+AC47+AD47)/8</f>
        <v>#VALUE!</v>
      </c>
      <c r="AI47" s="146">
        <f>(R47-J47)/J47</f>
        <v>-1</v>
      </c>
      <c r="AJ47" s="147">
        <f>S47-K47</f>
        <v>-1597800</v>
      </c>
      <c r="AK47" s="148">
        <f>T47-L47</f>
        <v>-471252</v>
      </c>
      <c r="AL47" s="149">
        <f>U47-M47</f>
        <v>0</v>
      </c>
    </row>
    <row r="48" spans="1:38" x14ac:dyDescent="0.2">
      <c r="A48" s="12" t="s">
        <v>112</v>
      </c>
      <c r="B48" s="12"/>
      <c r="C48" s="12">
        <v>27</v>
      </c>
      <c r="D48" s="13">
        <f>Reference!B286</f>
        <v>1008.3056</v>
      </c>
      <c r="E48" s="14">
        <f>Reference!C286</f>
        <v>38.451900000000002</v>
      </c>
      <c r="F48" s="14">
        <f>Reference!D286</f>
        <v>41.375799999999998</v>
      </c>
      <c r="G48" s="14">
        <f>Reference!E286</f>
        <v>41.832700000000003</v>
      </c>
      <c r="H48" s="14">
        <f>Reference!F286</f>
        <v>13254</v>
      </c>
      <c r="I48" s="14">
        <f>Reference!G286</f>
        <v>10.802</v>
      </c>
      <c r="J48" s="14">
        <f t="shared" si="0"/>
        <v>3.6816666666666666</v>
      </c>
      <c r="K48" s="26">
        <f>Reference!H286</f>
        <v>1591292</v>
      </c>
      <c r="L48" s="27">
        <f>Reference!I286</f>
        <v>465364</v>
      </c>
      <c r="N48" s="13">
        <f>Test!B286</f>
        <v>0</v>
      </c>
      <c r="O48" s="14">
        <f>Test!C286</f>
        <v>0</v>
      </c>
      <c r="P48" s="14">
        <f>Test!D286</f>
        <v>0</v>
      </c>
      <c r="Q48" s="14">
        <f>Test!E286</f>
        <v>0</v>
      </c>
      <c r="R48" s="14">
        <f>Test!F286</f>
        <v>0</v>
      </c>
      <c r="S48" s="14">
        <f>Test!G286</f>
        <v>0</v>
      </c>
      <c r="T48" s="14">
        <f t="shared" si="1"/>
        <v>0</v>
      </c>
      <c r="U48" s="26">
        <f>Test!H286</f>
        <v>0</v>
      </c>
      <c r="V48" s="27">
        <f>Test!I286</f>
        <v>0</v>
      </c>
      <c r="W48" s="14">
        <f t="shared" si="2"/>
        <v>0</v>
      </c>
      <c r="X48" s="14">
        <f t="shared" si="3"/>
        <v>0</v>
      </c>
      <c r="Y48" s="14">
        <f t="shared" si="4"/>
        <v>0</v>
      </c>
      <c r="Z48" s="22">
        <f t="shared" si="4"/>
        <v>0</v>
      </c>
      <c r="AA48" s="39"/>
      <c r="AB48" s="40"/>
      <c r="AC48" s="41"/>
      <c r="AD48" s="42"/>
      <c r="AE48" s="40"/>
      <c r="AF48" s="41"/>
      <c r="AG48" s="42"/>
      <c r="AH48" s="42"/>
      <c r="AI48" s="150">
        <f>(R48-J48)/J48</f>
        <v>-1</v>
      </c>
      <c r="AJ48" s="151">
        <f>S48-K48</f>
        <v>-1591292</v>
      </c>
      <c r="AK48" s="152">
        <f>T48-L48</f>
        <v>-465364</v>
      </c>
      <c r="AL48" s="153">
        <f>U48-M48</f>
        <v>0</v>
      </c>
    </row>
    <row r="49" spans="1:38" x14ac:dyDescent="0.2">
      <c r="A49" s="12"/>
      <c r="B49" s="12"/>
      <c r="C49" s="12">
        <v>32</v>
      </c>
      <c r="D49" s="13">
        <f>Reference!B287</f>
        <v>497.66399999999999</v>
      </c>
      <c r="E49" s="14">
        <f>Reference!C287</f>
        <v>35.477200000000003</v>
      </c>
      <c r="F49" s="14">
        <f>Reference!D287</f>
        <v>39.591000000000001</v>
      </c>
      <c r="G49" s="14">
        <f>Reference!E287</f>
        <v>39.787100000000002</v>
      </c>
      <c r="H49" s="14">
        <f>Reference!F287</f>
        <v>10083</v>
      </c>
      <c r="I49" s="14">
        <f>Reference!G287</f>
        <v>8.8789999999999996</v>
      </c>
      <c r="J49" s="14">
        <f t="shared" si="0"/>
        <v>2.8008333333333333</v>
      </c>
      <c r="K49" s="26">
        <f>Reference!H287</f>
        <v>1586820</v>
      </c>
      <c r="L49" s="27">
        <f>Reference!I287</f>
        <v>462380</v>
      </c>
      <c r="N49" s="13">
        <f>Test!B287</f>
        <v>0</v>
      </c>
      <c r="O49" s="14">
        <f>Test!C287</f>
        <v>0</v>
      </c>
      <c r="P49" s="14">
        <f>Test!D287</f>
        <v>0</v>
      </c>
      <c r="Q49" s="14">
        <f>Test!E287</f>
        <v>0</v>
      </c>
      <c r="R49" s="14">
        <f>Test!F287</f>
        <v>0</v>
      </c>
      <c r="S49" s="14">
        <f>Test!G287</f>
        <v>0</v>
      </c>
      <c r="T49" s="14">
        <f t="shared" si="1"/>
        <v>0</v>
      </c>
      <c r="U49" s="26">
        <f>Test!H287</f>
        <v>0</v>
      </c>
      <c r="V49" s="27">
        <f>Test!I287</f>
        <v>0</v>
      </c>
      <c r="W49" s="14">
        <f t="shared" si="2"/>
        <v>0</v>
      </c>
      <c r="X49" s="14">
        <f t="shared" si="3"/>
        <v>0</v>
      </c>
      <c r="Y49" s="14">
        <f t="shared" si="4"/>
        <v>0</v>
      </c>
      <c r="Z49" s="22">
        <f t="shared" si="4"/>
        <v>0</v>
      </c>
      <c r="AA49" s="39"/>
      <c r="AB49" s="40"/>
      <c r="AC49" s="41"/>
      <c r="AD49" s="42"/>
      <c r="AE49" s="40"/>
      <c r="AF49" s="41"/>
      <c r="AG49" s="42"/>
      <c r="AH49" s="42"/>
      <c r="AI49" s="150">
        <f>(R49-J49)/J49</f>
        <v>-1</v>
      </c>
      <c r="AJ49" s="151">
        <f>S49-K49</f>
        <v>-1586820</v>
      </c>
      <c r="AK49" s="152">
        <f>T49-L49</f>
        <v>-462380</v>
      </c>
      <c r="AL49" s="153">
        <f>U49-M49</f>
        <v>0</v>
      </c>
    </row>
    <row r="50" spans="1:38" ht="12.75" customHeight="1" thickBot="1" x14ac:dyDescent="0.25">
      <c r="A50" s="12"/>
      <c r="B50" s="15"/>
      <c r="C50" s="15">
        <v>37</v>
      </c>
      <c r="D50" s="16">
        <f>Reference!B288</f>
        <v>258.36320000000001</v>
      </c>
      <c r="E50" s="17">
        <f>Reference!C288</f>
        <v>32.880000000000003</v>
      </c>
      <c r="F50" s="17">
        <f>Reference!D288</f>
        <v>37.806600000000003</v>
      </c>
      <c r="G50" s="17">
        <f>Reference!E288</f>
        <v>37.645800000000001</v>
      </c>
      <c r="H50" s="17">
        <f>Reference!F288</f>
        <v>7248</v>
      </c>
      <c r="I50" s="17">
        <f>Reference!G288</f>
        <v>6.8049999999999997</v>
      </c>
      <c r="J50" s="17">
        <f t="shared" si="0"/>
        <v>2.0133333333333332</v>
      </c>
      <c r="K50" s="26">
        <f>Reference!H288</f>
        <v>1583632</v>
      </c>
      <c r="L50" s="27">
        <f>Reference!I288</f>
        <v>458072</v>
      </c>
      <c r="N50" s="16">
        <f>Test!B288</f>
        <v>0</v>
      </c>
      <c r="O50" s="17">
        <f>Test!C288</f>
        <v>0</v>
      </c>
      <c r="P50" s="17">
        <f>Test!D288</f>
        <v>0</v>
      </c>
      <c r="Q50" s="17">
        <f>Test!E288</f>
        <v>0</v>
      </c>
      <c r="R50" s="17">
        <f>Test!F288</f>
        <v>0</v>
      </c>
      <c r="S50" s="17">
        <f>Test!G288</f>
        <v>0</v>
      </c>
      <c r="T50" s="17">
        <f t="shared" si="1"/>
        <v>0</v>
      </c>
      <c r="U50" s="28">
        <f>Test!H288</f>
        <v>0</v>
      </c>
      <c r="V50" s="29">
        <f>Test!I288</f>
        <v>0</v>
      </c>
      <c r="W50" s="14">
        <f t="shared" si="2"/>
        <v>0</v>
      </c>
      <c r="X50" s="14">
        <f t="shared" si="3"/>
        <v>0</v>
      </c>
      <c r="Y50" s="14">
        <f t="shared" si="4"/>
        <v>0</v>
      </c>
      <c r="Z50" s="22">
        <f t="shared" si="4"/>
        <v>0</v>
      </c>
      <c r="AA50" s="39"/>
      <c r="AB50" s="43"/>
      <c r="AC50" s="44"/>
      <c r="AD50" s="45"/>
      <c r="AE50" s="43"/>
      <c r="AF50" s="44"/>
      <c r="AG50" s="45"/>
      <c r="AH50" s="42"/>
      <c r="AI50" s="154">
        <f>(R50-J50)/J50</f>
        <v>-1</v>
      </c>
      <c r="AJ50" s="155">
        <f>S50-K50</f>
        <v>-1583632</v>
      </c>
      <c r="AK50" s="156">
        <f>T50-L50</f>
        <v>-458072</v>
      </c>
      <c r="AL50" s="157">
        <f>U50-M50</f>
        <v>0</v>
      </c>
    </row>
    <row r="51" spans="1:38" x14ac:dyDescent="0.2">
      <c r="A51" s="12"/>
      <c r="B51" s="9" t="s">
        <v>82</v>
      </c>
      <c r="C51" s="9">
        <v>22</v>
      </c>
      <c r="D51" s="10">
        <f>Reference!B289</f>
        <v>2874.8944000000001</v>
      </c>
      <c r="E51" s="11">
        <f>Reference!C289</f>
        <v>40.086399999999998</v>
      </c>
      <c r="F51" s="11">
        <f>Reference!D289</f>
        <v>43.456499999999998</v>
      </c>
      <c r="G51" s="11">
        <f>Reference!E289</f>
        <v>44.528700000000001</v>
      </c>
      <c r="H51" s="11">
        <f>Reference!F289</f>
        <v>21756</v>
      </c>
      <c r="I51" s="11">
        <f>Reference!G289</f>
        <v>16.286999999999999</v>
      </c>
      <c r="J51" s="11">
        <f t="shared" si="0"/>
        <v>6.043333333333333</v>
      </c>
      <c r="K51" s="24">
        <f>Reference!H289</f>
        <v>1596700</v>
      </c>
      <c r="L51" s="25">
        <f>Reference!I289</f>
        <v>486328</v>
      </c>
      <c r="N51" s="10">
        <f>Test!B289</f>
        <v>0</v>
      </c>
      <c r="O51" s="11">
        <f>Test!C289</f>
        <v>0</v>
      </c>
      <c r="P51" s="11">
        <f>Test!D289</f>
        <v>0</v>
      </c>
      <c r="Q51" s="11">
        <f>Test!E289</f>
        <v>0</v>
      </c>
      <c r="R51" s="11">
        <f>Test!F289</f>
        <v>0</v>
      </c>
      <c r="S51" s="11">
        <f>Test!G289</f>
        <v>0</v>
      </c>
      <c r="T51" s="11">
        <f t="shared" si="1"/>
        <v>0</v>
      </c>
      <c r="U51" s="24">
        <f>Test!H289</f>
        <v>0</v>
      </c>
      <c r="V51" s="25">
        <f>Test!I289</f>
        <v>0</v>
      </c>
      <c r="W51" s="14">
        <f t="shared" si="2"/>
        <v>0</v>
      </c>
      <c r="X51" s="14">
        <f t="shared" si="3"/>
        <v>0</v>
      </c>
      <c r="Y51" s="14">
        <f t="shared" si="4"/>
        <v>0</v>
      </c>
      <c r="Z51" s="22">
        <f t="shared" si="4"/>
        <v>0</v>
      </c>
      <c r="AA51" s="39"/>
      <c r="AB51" s="36" t="e">
        <f>bdrate($D51:$D54,E51:E54,$N51:$N54,O51:O54)</f>
        <v>#VALUE!</v>
      </c>
      <c r="AC51" s="37" t="e">
        <f>bdrate($D51:$D54,F51:F54,$N51:$N54,P51:P54)</f>
        <v>#VALUE!</v>
      </c>
      <c r="AD51" s="37" t="e">
        <f>bdrate($D51:$D54,G51:G54,$N51:$N54,Q51:Q54)</f>
        <v>#VALUE!</v>
      </c>
      <c r="AE51" s="46" t="e">
        <f>bdrateOld($D51:$D54,E51:E54,$N51:$N54,O51:O54)</f>
        <v>#VALUE!</v>
      </c>
      <c r="AF51" s="47" t="e">
        <f>bdrateOld($D51:$D54,F51:F54,$N51:$N54,P51:P54)</f>
        <v>#VALUE!</v>
      </c>
      <c r="AG51" s="49" t="e">
        <f>bdrateOld($D51:$D54,G51:G54,$N51:$N54,Q51:Q54)</f>
        <v>#VALUE!</v>
      </c>
      <c r="AH51" s="42" t="e">
        <f>(AB51*6+AC51+AD51)/8</f>
        <v>#VALUE!</v>
      </c>
      <c r="AI51" s="146">
        <f>(R51-J51)/J51</f>
        <v>-1</v>
      </c>
      <c r="AJ51" s="147">
        <f>S51-K51</f>
        <v>-1596700</v>
      </c>
      <c r="AK51" s="148">
        <f>T51-L51</f>
        <v>-486328</v>
      </c>
      <c r="AL51" s="149">
        <f>U51-M51</f>
        <v>0</v>
      </c>
    </row>
    <row r="52" spans="1:38" x14ac:dyDescent="0.2">
      <c r="A52" s="12"/>
      <c r="B52" s="12"/>
      <c r="C52" s="12">
        <v>27</v>
      </c>
      <c r="D52" s="13">
        <f>Reference!B290</f>
        <v>1168.2416000000001</v>
      </c>
      <c r="E52" s="14">
        <f>Reference!C290</f>
        <v>37.190899999999999</v>
      </c>
      <c r="F52" s="14">
        <f>Reference!D290</f>
        <v>41.389299999999999</v>
      </c>
      <c r="G52" s="14">
        <f>Reference!E290</f>
        <v>41.814599999999999</v>
      </c>
      <c r="H52" s="14">
        <f>Reference!F290</f>
        <v>14676</v>
      </c>
      <c r="I52" s="14">
        <f>Reference!G290</f>
        <v>11.984999999999999</v>
      </c>
      <c r="J52" s="14">
        <f t="shared" si="0"/>
        <v>4.0766666666666671</v>
      </c>
      <c r="K52" s="26">
        <f>Reference!H290</f>
        <v>1592992</v>
      </c>
      <c r="L52" s="27">
        <f>Reference!I290</f>
        <v>476772</v>
      </c>
      <c r="N52" s="13">
        <f>Test!B290</f>
        <v>0</v>
      </c>
      <c r="O52" s="14">
        <f>Test!C290</f>
        <v>0</v>
      </c>
      <c r="P52" s="14">
        <f>Test!D290</f>
        <v>0</v>
      </c>
      <c r="Q52" s="14">
        <f>Test!E290</f>
        <v>0</v>
      </c>
      <c r="R52" s="14">
        <f>Test!F290</f>
        <v>0</v>
      </c>
      <c r="S52" s="14">
        <f>Test!G290</f>
        <v>0</v>
      </c>
      <c r="T52" s="14">
        <f t="shared" si="1"/>
        <v>0</v>
      </c>
      <c r="U52" s="26">
        <f>Test!H290</f>
        <v>0</v>
      </c>
      <c r="V52" s="27">
        <f>Test!I290</f>
        <v>0</v>
      </c>
      <c r="W52" s="14">
        <f t="shared" si="2"/>
        <v>0</v>
      </c>
      <c r="X52" s="14">
        <f t="shared" si="3"/>
        <v>0</v>
      </c>
      <c r="Y52" s="14">
        <f t="shared" si="4"/>
        <v>0</v>
      </c>
      <c r="Z52" s="22">
        <f t="shared" si="4"/>
        <v>0</v>
      </c>
      <c r="AA52" s="39"/>
      <c r="AB52" s="40"/>
      <c r="AC52" s="41"/>
      <c r="AD52" s="41"/>
      <c r="AE52" s="40"/>
      <c r="AF52" s="41"/>
      <c r="AG52" s="42"/>
      <c r="AH52" s="42"/>
      <c r="AI52" s="150">
        <f>(R52-J52)/J52</f>
        <v>-1</v>
      </c>
      <c r="AJ52" s="151">
        <f>S52-K52</f>
        <v>-1592992</v>
      </c>
      <c r="AK52" s="152">
        <f>T52-L52</f>
        <v>-476772</v>
      </c>
      <c r="AL52" s="153">
        <f>U52-M52</f>
        <v>0</v>
      </c>
    </row>
    <row r="53" spans="1:38" x14ac:dyDescent="0.2">
      <c r="A53" s="12"/>
      <c r="B53" s="12"/>
      <c r="C53" s="12">
        <v>32</v>
      </c>
      <c r="D53" s="13">
        <f>Reference!B291</f>
        <v>557.14880000000005</v>
      </c>
      <c r="E53" s="14">
        <f>Reference!C291</f>
        <v>34.385300000000001</v>
      </c>
      <c r="F53" s="14">
        <f>Reference!D291</f>
        <v>39.6312</v>
      </c>
      <c r="G53" s="14">
        <f>Reference!E291</f>
        <v>39.877000000000002</v>
      </c>
      <c r="H53" s="14">
        <f>Reference!F291</f>
        <v>14570</v>
      </c>
      <c r="I53" s="14">
        <f>Reference!G291</f>
        <v>12.179</v>
      </c>
      <c r="J53" s="14">
        <f t="shared" si="0"/>
        <v>4.0472222222222225</v>
      </c>
      <c r="K53" s="26">
        <f>Reference!H291</f>
        <v>1589804</v>
      </c>
      <c r="L53" s="27">
        <f>Reference!I291</f>
        <v>474188</v>
      </c>
      <c r="N53" s="13">
        <f>Test!B291</f>
        <v>0</v>
      </c>
      <c r="O53" s="14">
        <f>Test!C291</f>
        <v>0</v>
      </c>
      <c r="P53" s="14">
        <f>Test!D291</f>
        <v>0</v>
      </c>
      <c r="Q53" s="14">
        <f>Test!E291</f>
        <v>0</v>
      </c>
      <c r="R53" s="14">
        <f>Test!F291</f>
        <v>0</v>
      </c>
      <c r="S53" s="14">
        <f>Test!G291</f>
        <v>0</v>
      </c>
      <c r="T53" s="14">
        <f t="shared" si="1"/>
        <v>0</v>
      </c>
      <c r="U53" s="26">
        <f>Test!H291</f>
        <v>0</v>
      </c>
      <c r="V53" s="27">
        <f>Test!I291</f>
        <v>0</v>
      </c>
      <c r="W53" s="14">
        <f t="shared" si="2"/>
        <v>0</v>
      </c>
      <c r="X53" s="14">
        <f t="shared" si="3"/>
        <v>0</v>
      </c>
      <c r="Y53" s="14">
        <f t="shared" si="4"/>
        <v>0</v>
      </c>
      <c r="Z53" s="22">
        <f t="shared" si="4"/>
        <v>0</v>
      </c>
      <c r="AA53" s="39"/>
      <c r="AB53" s="40"/>
      <c r="AC53" s="41"/>
      <c r="AD53" s="41"/>
      <c r="AE53" s="40"/>
      <c r="AF53" s="41"/>
      <c r="AG53" s="42"/>
      <c r="AH53" s="42"/>
      <c r="AI53" s="150">
        <f>(R53-J53)/J53</f>
        <v>-1</v>
      </c>
      <c r="AJ53" s="151">
        <f>S53-K53</f>
        <v>-1589804</v>
      </c>
      <c r="AK53" s="152">
        <f>T53-L53</f>
        <v>-474188</v>
      </c>
      <c r="AL53" s="153">
        <f>U53-M53</f>
        <v>0</v>
      </c>
    </row>
    <row r="54" spans="1:38" ht="12.75" customHeight="1" thickBot="1" x14ac:dyDescent="0.25">
      <c r="A54" s="12"/>
      <c r="B54" s="15"/>
      <c r="C54" s="15">
        <v>37</v>
      </c>
      <c r="D54" s="16">
        <f>Reference!B292</f>
        <v>285.64479999999998</v>
      </c>
      <c r="E54" s="17">
        <f>Reference!C292</f>
        <v>31.704799999999999</v>
      </c>
      <c r="F54" s="17">
        <f>Reference!D292</f>
        <v>38.203899999999997</v>
      </c>
      <c r="G54" s="17">
        <f>Reference!E292</f>
        <v>38.149000000000001</v>
      </c>
      <c r="H54" s="17">
        <f>Reference!F292</f>
        <v>7850</v>
      </c>
      <c r="I54" s="17">
        <f>Reference!G292</f>
        <v>6.5789999999999997</v>
      </c>
      <c r="J54" s="17">
        <f t="shared" si="0"/>
        <v>2.1805555555555554</v>
      </c>
      <c r="K54" s="26">
        <f>Reference!H292</f>
        <v>1588120</v>
      </c>
      <c r="L54" s="27">
        <f>Reference!I292</f>
        <v>470260</v>
      </c>
      <c r="N54" s="16">
        <f>Test!B292</f>
        <v>0</v>
      </c>
      <c r="O54" s="17">
        <f>Test!C292</f>
        <v>0</v>
      </c>
      <c r="P54" s="17">
        <f>Test!D292</f>
        <v>0</v>
      </c>
      <c r="Q54" s="17">
        <f>Test!E292</f>
        <v>0</v>
      </c>
      <c r="R54" s="17">
        <f>Test!F292</f>
        <v>0</v>
      </c>
      <c r="S54" s="17">
        <f>Test!G292</f>
        <v>0</v>
      </c>
      <c r="T54" s="17">
        <f t="shared" si="1"/>
        <v>0</v>
      </c>
      <c r="U54" s="28">
        <f>Test!H292</f>
        <v>0</v>
      </c>
      <c r="V54" s="29">
        <f>Test!I292</f>
        <v>0</v>
      </c>
      <c r="W54" s="14">
        <f t="shared" si="2"/>
        <v>0</v>
      </c>
      <c r="X54" s="14">
        <f t="shared" si="3"/>
        <v>0</v>
      </c>
      <c r="Y54" s="14">
        <f t="shared" si="4"/>
        <v>0</v>
      </c>
      <c r="Z54" s="22">
        <f t="shared" si="4"/>
        <v>0</v>
      </c>
      <c r="AA54" s="39"/>
      <c r="AB54" s="43"/>
      <c r="AC54" s="44"/>
      <c r="AD54" s="44"/>
      <c r="AE54" s="43"/>
      <c r="AF54" s="44"/>
      <c r="AG54" s="45"/>
      <c r="AH54" s="42"/>
      <c r="AI54" s="154">
        <f>(R54-J54)/J54</f>
        <v>-1</v>
      </c>
      <c r="AJ54" s="155">
        <f>S54-K54</f>
        <v>-1588120</v>
      </c>
      <c r="AK54" s="156">
        <f>T54-L54</f>
        <v>-470260</v>
      </c>
      <c r="AL54" s="157">
        <f>U54-M54</f>
        <v>0</v>
      </c>
    </row>
    <row r="55" spans="1:38" x14ac:dyDescent="0.2">
      <c r="A55" s="12"/>
      <c r="B55" s="9" t="s">
        <v>113</v>
      </c>
      <c r="C55" s="9">
        <v>22</v>
      </c>
      <c r="D55" s="10">
        <f>Reference!B293</f>
        <v>6341.8095999999996</v>
      </c>
      <c r="E55" s="11">
        <f>Reference!C293</f>
        <v>38.483800000000002</v>
      </c>
      <c r="F55" s="11">
        <f>Reference!D293</f>
        <v>41.054099999999998</v>
      </c>
      <c r="G55" s="11">
        <f>Reference!E293</f>
        <v>41.755499999999998</v>
      </c>
      <c r="H55" s="11">
        <f>Reference!F293</f>
        <v>35855</v>
      </c>
      <c r="I55" s="11">
        <f>Reference!G293</f>
        <v>28.125</v>
      </c>
      <c r="J55" s="11">
        <f t="shared" si="0"/>
        <v>9.9597222222222221</v>
      </c>
      <c r="K55" s="24">
        <f>Reference!H293</f>
        <v>1605020</v>
      </c>
      <c r="L55" s="25">
        <f>Reference!I293</f>
        <v>481748</v>
      </c>
      <c r="N55" s="10">
        <f>Test!B293</f>
        <v>0</v>
      </c>
      <c r="O55" s="11">
        <f>Test!C293</f>
        <v>0</v>
      </c>
      <c r="P55" s="11">
        <f>Test!D293</f>
        <v>0</v>
      </c>
      <c r="Q55" s="11">
        <f>Test!E293</f>
        <v>0</v>
      </c>
      <c r="R55" s="11">
        <f>Test!F293</f>
        <v>0</v>
      </c>
      <c r="S55" s="11">
        <f>Test!G293</f>
        <v>0</v>
      </c>
      <c r="T55" s="11">
        <f t="shared" si="1"/>
        <v>0</v>
      </c>
      <c r="U55" s="24">
        <f>Test!H293</f>
        <v>0</v>
      </c>
      <c r="V55" s="25">
        <f>Test!I293</f>
        <v>0</v>
      </c>
      <c r="W55" s="14">
        <f t="shared" si="2"/>
        <v>0</v>
      </c>
      <c r="X55" s="14">
        <f t="shared" si="3"/>
        <v>0</v>
      </c>
      <c r="Y55" s="14">
        <f t="shared" si="4"/>
        <v>0</v>
      </c>
      <c r="Z55" s="22">
        <f t="shared" si="4"/>
        <v>0</v>
      </c>
      <c r="AA55" s="39"/>
      <c r="AB55" s="36" t="e">
        <f>bdrate($D55:$D58,E55:E58,$N55:$N58,O55:O58)</f>
        <v>#VALUE!</v>
      </c>
      <c r="AC55" s="37" t="e">
        <f>bdrate($D55:$D58,F55:F58,$N55:$N58,P55:P58)</f>
        <v>#VALUE!</v>
      </c>
      <c r="AD55" s="37" t="e">
        <f>bdrate($D55:$D58,G55:G58,$N55:$N58,Q55:Q58)</f>
        <v>#VALUE!</v>
      </c>
      <c r="AE55" s="46" t="e">
        <f>bdrateOld($D55:$D58,E55:E58,$N55:$N58,O55:O58)</f>
        <v>#VALUE!</v>
      </c>
      <c r="AF55" s="47" t="e">
        <f>bdrateOld($D55:$D58,F55:F58,$N55:$N58,P55:P58)</f>
        <v>#VALUE!</v>
      </c>
      <c r="AG55" s="49" t="e">
        <f>bdrateOld($D55:$D58,G55:G58,$N55:$N58,Q55:Q58)</f>
        <v>#VALUE!</v>
      </c>
      <c r="AH55" s="42" t="e">
        <f>(AB55*6+AC55+AD55)/8</f>
        <v>#VALUE!</v>
      </c>
      <c r="AI55" s="146">
        <f>(R55-J55)/J55</f>
        <v>-1</v>
      </c>
      <c r="AJ55" s="147">
        <f>S55-K55</f>
        <v>-1605020</v>
      </c>
      <c r="AK55" s="148">
        <f>T55-L55</f>
        <v>-481748</v>
      </c>
      <c r="AL55" s="149">
        <f>U55-M55</f>
        <v>0</v>
      </c>
    </row>
    <row r="56" spans="1:38" x14ac:dyDescent="0.2">
      <c r="A56" s="12"/>
      <c r="B56" s="12"/>
      <c r="C56" s="12">
        <v>27</v>
      </c>
      <c r="D56" s="13">
        <f>Reference!B294</f>
        <v>2575.0336000000002</v>
      </c>
      <c r="E56" s="14">
        <f>Reference!C294</f>
        <v>34.525100000000002</v>
      </c>
      <c r="F56" s="14">
        <f>Reference!D294</f>
        <v>38.201700000000002</v>
      </c>
      <c r="G56" s="14">
        <f>Reference!E294</f>
        <v>38.694800000000001</v>
      </c>
      <c r="H56" s="14">
        <f>Reference!F294</f>
        <v>19429</v>
      </c>
      <c r="I56" s="14">
        <f>Reference!G294</f>
        <v>18.608000000000001</v>
      </c>
      <c r="J56" s="14">
        <f t="shared" si="0"/>
        <v>5.3969444444444443</v>
      </c>
      <c r="K56" s="26">
        <f>Reference!H294</f>
        <v>1601704</v>
      </c>
      <c r="L56" s="27">
        <f>Reference!I294</f>
        <v>473796</v>
      </c>
      <c r="N56" s="13">
        <f>Test!B294</f>
        <v>0</v>
      </c>
      <c r="O56" s="14">
        <f>Test!C294</f>
        <v>0</v>
      </c>
      <c r="P56" s="14">
        <f>Test!D294</f>
        <v>0</v>
      </c>
      <c r="Q56" s="14">
        <f>Test!E294</f>
        <v>0</v>
      </c>
      <c r="R56" s="14">
        <f>Test!F294</f>
        <v>0</v>
      </c>
      <c r="S56" s="14">
        <f>Test!G294</f>
        <v>0</v>
      </c>
      <c r="T56" s="14">
        <f t="shared" si="1"/>
        <v>0</v>
      </c>
      <c r="U56" s="26">
        <f>Test!H294</f>
        <v>0</v>
      </c>
      <c r="V56" s="27">
        <f>Test!I294</f>
        <v>0</v>
      </c>
      <c r="W56" s="14">
        <f t="shared" si="2"/>
        <v>0</v>
      </c>
      <c r="X56" s="14">
        <f t="shared" si="3"/>
        <v>0</v>
      </c>
      <c r="Y56" s="14">
        <f t="shared" si="4"/>
        <v>0</v>
      </c>
      <c r="Z56" s="22">
        <f t="shared" si="4"/>
        <v>0</v>
      </c>
      <c r="AA56" s="39"/>
      <c r="AB56" s="40"/>
      <c r="AC56" s="41"/>
      <c r="AD56" s="41"/>
      <c r="AE56" s="40"/>
      <c r="AF56" s="41"/>
      <c r="AG56" s="42"/>
      <c r="AH56" s="42"/>
      <c r="AI56" s="150">
        <f>(R56-J56)/J56</f>
        <v>-1</v>
      </c>
      <c r="AJ56" s="151">
        <f>S56-K56</f>
        <v>-1601704</v>
      </c>
      <c r="AK56" s="152">
        <f>T56-L56</f>
        <v>-473796</v>
      </c>
      <c r="AL56" s="153">
        <f>U56-M56</f>
        <v>0</v>
      </c>
    </row>
    <row r="57" spans="1:38" x14ac:dyDescent="0.2">
      <c r="A57" s="12"/>
      <c r="B57" s="12"/>
      <c r="C57" s="12">
        <v>32</v>
      </c>
      <c r="D57" s="13">
        <f>Reference!B295</f>
        <v>1156.0591999999999</v>
      </c>
      <c r="E57" s="14">
        <f>Reference!C295</f>
        <v>31.13</v>
      </c>
      <c r="F57" s="14">
        <f>Reference!D295</f>
        <v>36.29</v>
      </c>
      <c r="G57" s="14">
        <f>Reference!E295</f>
        <v>36.6843</v>
      </c>
      <c r="H57" s="14">
        <f>Reference!F295</f>
        <v>19510</v>
      </c>
      <c r="I57" s="14">
        <f>Reference!G295</f>
        <v>18.645</v>
      </c>
      <c r="J57" s="14">
        <f t="shared" si="0"/>
        <v>5.4194444444444443</v>
      </c>
      <c r="K57" s="26">
        <f>Reference!H295</f>
        <v>1597360</v>
      </c>
      <c r="L57" s="27">
        <f>Reference!I295</f>
        <v>467596</v>
      </c>
      <c r="N57" s="13">
        <f>Test!B295</f>
        <v>0</v>
      </c>
      <c r="O57" s="14">
        <f>Test!C295</f>
        <v>0</v>
      </c>
      <c r="P57" s="14">
        <f>Test!D295</f>
        <v>0</v>
      </c>
      <c r="Q57" s="14">
        <f>Test!E295</f>
        <v>0</v>
      </c>
      <c r="R57" s="14">
        <f>Test!F295</f>
        <v>0</v>
      </c>
      <c r="S57" s="14">
        <f>Test!G295</f>
        <v>0</v>
      </c>
      <c r="T57" s="14">
        <f t="shared" si="1"/>
        <v>0</v>
      </c>
      <c r="U57" s="26">
        <f>Test!H295</f>
        <v>0</v>
      </c>
      <c r="V57" s="27">
        <f>Test!I295</f>
        <v>0</v>
      </c>
      <c r="W57" s="14">
        <f t="shared" si="2"/>
        <v>0</v>
      </c>
      <c r="X57" s="14">
        <f t="shared" si="3"/>
        <v>0</v>
      </c>
      <c r="Y57" s="14">
        <f t="shared" si="4"/>
        <v>0</v>
      </c>
      <c r="Z57" s="22">
        <f t="shared" si="4"/>
        <v>0</v>
      </c>
      <c r="AA57" s="39"/>
      <c r="AB57" s="40"/>
      <c r="AC57" s="41"/>
      <c r="AD57" s="41"/>
      <c r="AE57" s="40"/>
      <c r="AF57" s="41"/>
      <c r="AG57" s="42"/>
      <c r="AH57" s="42"/>
      <c r="AI57" s="150">
        <f>(R57-J57)/J57</f>
        <v>-1</v>
      </c>
      <c r="AJ57" s="151">
        <f>S57-K57</f>
        <v>-1597360</v>
      </c>
      <c r="AK57" s="152">
        <f>T57-L57</f>
        <v>-467596</v>
      </c>
      <c r="AL57" s="153">
        <f>U57-M57</f>
        <v>0</v>
      </c>
    </row>
    <row r="58" spans="1:38" ht="12.75" customHeight="1" thickBot="1" x14ac:dyDescent="0.25">
      <c r="A58" s="12"/>
      <c r="B58" s="15"/>
      <c r="C58" s="15">
        <v>37</v>
      </c>
      <c r="D58" s="16">
        <f>Reference!B296</f>
        <v>527.60799999999995</v>
      </c>
      <c r="E58" s="17">
        <f>Reference!C296</f>
        <v>28.168299999999999</v>
      </c>
      <c r="F58" s="17">
        <f>Reference!D296</f>
        <v>34.851700000000001</v>
      </c>
      <c r="G58" s="17">
        <f>Reference!E296</f>
        <v>35.0471</v>
      </c>
      <c r="H58" s="17">
        <f>Reference!F296</f>
        <v>10184</v>
      </c>
      <c r="I58" s="17">
        <f>Reference!G296</f>
        <v>10.569000000000001</v>
      </c>
      <c r="J58" s="17">
        <f t="shared" si="0"/>
        <v>2.8288888888888888</v>
      </c>
      <c r="K58" s="26">
        <f>Reference!H296</f>
        <v>1592820</v>
      </c>
      <c r="L58" s="27">
        <f>Reference!I296</f>
        <v>460548</v>
      </c>
      <c r="N58" s="16">
        <f>Test!B296</f>
        <v>0</v>
      </c>
      <c r="O58" s="17">
        <f>Test!C296</f>
        <v>0</v>
      </c>
      <c r="P58" s="17">
        <f>Test!D296</f>
        <v>0</v>
      </c>
      <c r="Q58" s="17">
        <f>Test!E296</f>
        <v>0</v>
      </c>
      <c r="R58" s="17">
        <f>Test!F296</f>
        <v>0</v>
      </c>
      <c r="S58" s="17">
        <f>Test!G296</f>
        <v>0</v>
      </c>
      <c r="T58" s="17">
        <f t="shared" si="1"/>
        <v>0</v>
      </c>
      <c r="U58" s="28">
        <f>Test!H296</f>
        <v>0</v>
      </c>
      <c r="V58" s="29">
        <f>Test!I296</f>
        <v>0</v>
      </c>
      <c r="W58" s="14">
        <f t="shared" si="2"/>
        <v>0</v>
      </c>
      <c r="X58" s="14">
        <f t="shared" si="3"/>
        <v>0</v>
      </c>
      <c r="Y58" s="14">
        <f t="shared" si="4"/>
        <v>0</v>
      </c>
      <c r="Z58" s="22">
        <f t="shared" si="4"/>
        <v>0</v>
      </c>
      <c r="AA58" s="39"/>
      <c r="AB58" s="43"/>
      <c r="AC58" s="44"/>
      <c r="AD58" s="44"/>
      <c r="AE58" s="43"/>
      <c r="AF58" s="44"/>
      <c r="AG58" s="45"/>
      <c r="AH58" s="42"/>
      <c r="AI58" s="154">
        <f>(R58-J58)/J58</f>
        <v>-1</v>
      </c>
      <c r="AJ58" s="155">
        <f>S58-K58</f>
        <v>-1592820</v>
      </c>
      <c r="AK58" s="156">
        <f>T58-L58</f>
        <v>-460548</v>
      </c>
      <c r="AL58" s="157">
        <f>U58-M58</f>
        <v>0</v>
      </c>
    </row>
    <row r="59" spans="1:38" x14ac:dyDescent="0.2">
      <c r="A59" s="12"/>
      <c r="B59" s="9" t="s">
        <v>87</v>
      </c>
      <c r="C59" s="9">
        <v>22</v>
      </c>
      <c r="D59" s="10">
        <f>Reference!B297</f>
        <v>5398.0303999999996</v>
      </c>
      <c r="E59" s="11">
        <f>Reference!C297</f>
        <v>39.3018</v>
      </c>
      <c r="F59" s="11">
        <f>Reference!D297</f>
        <v>40.358699999999999</v>
      </c>
      <c r="G59" s="11">
        <f>Reference!E297</f>
        <v>42.006799999999998</v>
      </c>
      <c r="H59" s="11">
        <f>Reference!F297</f>
        <v>27467</v>
      </c>
      <c r="I59" s="11">
        <f>Reference!G297</f>
        <v>16.413</v>
      </c>
      <c r="J59" s="11">
        <f t="shared" ref="J59:J90" si="5">H59/3600</f>
        <v>7.6297222222222221</v>
      </c>
      <c r="K59" s="24">
        <f>Reference!H297</f>
        <v>1598532</v>
      </c>
      <c r="L59" s="25">
        <f>Reference!I297</f>
        <v>437244</v>
      </c>
      <c r="N59" s="10">
        <f>Test!B297</f>
        <v>0</v>
      </c>
      <c r="O59" s="11">
        <f>Test!C297</f>
        <v>0</v>
      </c>
      <c r="P59" s="11">
        <f>Test!D297</f>
        <v>0</v>
      </c>
      <c r="Q59" s="11">
        <f>Test!E297</f>
        <v>0</v>
      </c>
      <c r="R59" s="11">
        <f>Test!F297</f>
        <v>0</v>
      </c>
      <c r="S59" s="11">
        <f>Test!G297</f>
        <v>0</v>
      </c>
      <c r="T59" s="11">
        <f t="shared" ref="T59:T90" si="6">R59/3600</f>
        <v>0</v>
      </c>
      <c r="U59" s="24">
        <f>Test!H297</f>
        <v>0</v>
      </c>
      <c r="V59" s="25">
        <f>Test!I297</f>
        <v>0</v>
      </c>
      <c r="W59" s="14">
        <f t="shared" ref="W59:W90" si="7">R59/H59</f>
        <v>0</v>
      </c>
      <c r="X59" s="14">
        <f t="shared" ref="X59:X90" si="8">S59/I59</f>
        <v>0</v>
      </c>
      <c r="Y59" s="14">
        <f t="shared" si="4"/>
        <v>0</v>
      </c>
      <c r="Z59" s="22">
        <f t="shared" si="4"/>
        <v>0</v>
      </c>
      <c r="AA59" s="39"/>
      <c r="AB59" s="36" t="e">
        <f>bdrate($D59:$D62,E59:E62,$N59:$N62,O59:O62)</f>
        <v>#VALUE!</v>
      </c>
      <c r="AC59" s="37" t="e">
        <f>bdrate($D59:$D62,F59:F62,$N59:$N62,P59:P62)</f>
        <v>#VALUE!</v>
      </c>
      <c r="AD59" s="37" t="e">
        <f>bdrate($D59:$D62,G59:G62,$N59:$N62,Q59:Q62)</f>
        <v>#VALUE!</v>
      </c>
      <c r="AE59" s="46" t="e">
        <f>bdrateOld($D59:$D62,E59:E62,$N59:$N62,O59:O62)</f>
        <v>#VALUE!</v>
      </c>
      <c r="AF59" s="47" t="e">
        <f>bdrateOld($D59:$D62,F59:F62,$N59:$N62,P59:P62)</f>
        <v>#VALUE!</v>
      </c>
      <c r="AG59" s="49" t="e">
        <f>bdrateOld($D59:$D62,G59:G62,$N59:$N62,Q59:Q62)</f>
        <v>#VALUE!</v>
      </c>
      <c r="AH59" s="42" t="e">
        <f>(AB59*6+AC59+AD59)/8</f>
        <v>#VALUE!</v>
      </c>
      <c r="AI59" s="146">
        <f>(R59-J59)/J59</f>
        <v>-1</v>
      </c>
      <c r="AJ59" s="147">
        <f>S59-K59</f>
        <v>-1598532</v>
      </c>
      <c r="AK59" s="148">
        <f>T59-L59</f>
        <v>-437244</v>
      </c>
      <c r="AL59" s="149">
        <f>U59-M59</f>
        <v>0</v>
      </c>
    </row>
    <row r="60" spans="1:38" x14ac:dyDescent="0.2">
      <c r="A60" s="12"/>
      <c r="B60" s="12"/>
      <c r="C60" s="12">
        <v>27</v>
      </c>
      <c r="D60" s="13">
        <f>Reference!B298</f>
        <v>1706.0992000000001</v>
      </c>
      <c r="E60" s="14">
        <f>Reference!C298</f>
        <v>34.809699999999999</v>
      </c>
      <c r="F60" s="14">
        <f>Reference!D298</f>
        <v>37.453400000000002</v>
      </c>
      <c r="G60" s="14">
        <f>Reference!E298</f>
        <v>39.514800000000001</v>
      </c>
      <c r="H60" s="14">
        <f>Reference!F298</f>
        <v>17873</v>
      </c>
      <c r="I60" s="14">
        <f>Reference!G298</f>
        <v>13.095000000000001</v>
      </c>
      <c r="J60" s="14">
        <f t="shared" si="5"/>
        <v>4.964722222222222</v>
      </c>
      <c r="K60" s="26">
        <f>Reference!H298</f>
        <v>1593884</v>
      </c>
      <c r="L60" s="27">
        <f>Reference!I298</f>
        <v>436468</v>
      </c>
      <c r="N60" s="13">
        <f>Test!B298</f>
        <v>0</v>
      </c>
      <c r="O60" s="14">
        <f>Test!C298</f>
        <v>0</v>
      </c>
      <c r="P60" s="14">
        <f>Test!D298</f>
        <v>0</v>
      </c>
      <c r="Q60" s="14">
        <f>Test!E298</f>
        <v>0</v>
      </c>
      <c r="R60" s="14">
        <f>Test!F298</f>
        <v>0</v>
      </c>
      <c r="S60" s="14">
        <f>Test!G298</f>
        <v>0</v>
      </c>
      <c r="T60" s="14">
        <f t="shared" si="6"/>
        <v>0</v>
      </c>
      <c r="U60" s="26">
        <f>Test!H298</f>
        <v>0</v>
      </c>
      <c r="V60" s="27">
        <f>Test!I298</f>
        <v>0</v>
      </c>
      <c r="W60" s="14">
        <f t="shared" si="7"/>
        <v>0</v>
      </c>
      <c r="X60" s="14">
        <f t="shared" si="8"/>
        <v>0</v>
      </c>
      <c r="Y60" s="14">
        <f t="shared" si="4"/>
        <v>0</v>
      </c>
      <c r="Z60" s="22">
        <f t="shared" si="4"/>
        <v>0</v>
      </c>
      <c r="AA60" s="39"/>
      <c r="AB60" s="40"/>
      <c r="AC60" s="41"/>
      <c r="AD60" s="41"/>
      <c r="AE60" s="40"/>
      <c r="AF60" s="41"/>
      <c r="AG60" s="42"/>
      <c r="AH60" s="42"/>
      <c r="AI60" s="150">
        <f>(R60-J60)/J60</f>
        <v>-1</v>
      </c>
      <c r="AJ60" s="151">
        <f>S60-K60</f>
        <v>-1593884</v>
      </c>
      <c r="AK60" s="152">
        <f>T60-L60</f>
        <v>-436468</v>
      </c>
      <c r="AL60" s="153">
        <f>U60-M60</f>
        <v>0</v>
      </c>
    </row>
    <row r="61" spans="1:38" x14ac:dyDescent="0.2">
      <c r="A61" s="12"/>
      <c r="B61" s="12"/>
      <c r="C61" s="12">
        <v>32</v>
      </c>
      <c r="D61" s="13">
        <f>Reference!B299</f>
        <v>714.98400000000004</v>
      </c>
      <c r="E61" s="14">
        <f>Reference!C299</f>
        <v>31.514800000000001</v>
      </c>
      <c r="F61" s="14">
        <f>Reference!D299</f>
        <v>36.094499999999996</v>
      </c>
      <c r="G61" s="14">
        <f>Reference!E299</f>
        <v>38.138399999999997</v>
      </c>
      <c r="H61" s="14">
        <f>Reference!F299</f>
        <v>12992</v>
      </c>
      <c r="I61" s="14">
        <f>Reference!G299</f>
        <v>10.428000000000001</v>
      </c>
      <c r="J61" s="14">
        <f t="shared" si="5"/>
        <v>3.608888888888889</v>
      </c>
      <c r="K61" s="26">
        <f>Reference!H299</f>
        <v>1589848</v>
      </c>
      <c r="L61" s="27">
        <f>Reference!I299</f>
        <v>429388</v>
      </c>
      <c r="N61" s="13">
        <f>Test!B299</f>
        <v>0</v>
      </c>
      <c r="O61" s="14">
        <f>Test!C299</f>
        <v>0</v>
      </c>
      <c r="P61" s="14">
        <f>Test!D299</f>
        <v>0</v>
      </c>
      <c r="Q61" s="14">
        <f>Test!E299</f>
        <v>0</v>
      </c>
      <c r="R61" s="14">
        <f>Test!F299</f>
        <v>0</v>
      </c>
      <c r="S61" s="14">
        <f>Test!G299</f>
        <v>0</v>
      </c>
      <c r="T61" s="14">
        <f t="shared" si="6"/>
        <v>0</v>
      </c>
      <c r="U61" s="26">
        <f>Test!H299</f>
        <v>0</v>
      </c>
      <c r="V61" s="27">
        <f>Test!I299</f>
        <v>0</v>
      </c>
      <c r="W61" s="14">
        <f t="shared" si="7"/>
        <v>0</v>
      </c>
      <c r="X61" s="14">
        <f t="shared" si="8"/>
        <v>0</v>
      </c>
      <c r="Y61" s="14">
        <f t="shared" si="4"/>
        <v>0</v>
      </c>
      <c r="Z61" s="22">
        <f t="shared" si="4"/>
        <v>0</v>
      </c>
      <c r="AA61" s="39"/>
      <c r="AB61" s="40"/>
      <c r="AC61" s="41"/>
      <c r="AD61" s="41"/>
      <c r="AE61" s="40"/>
      <c r="AF61" s="41"/>
      <c r="AG61" s="42"/>
      <c r="AH61" s="42"/>
      <c r="AI61" s="150">
        <f>(R61-J61)/J61</f>
        <v>-1</v>
      </c>
      <c r="AJ61" s="151">
        <f>S61-K61</f>
        <v>-1589848</v>
      </c>
      <c r="AK61" s="152">
        <f>T61-L61</f>
        <v>-429388</v>
      </c>
      <c r="AL61" s="153">
        <f>U61-M61</f>
        <v>0</v>
      </c>
    </row>
    <row r="62" spans="1:38" ht="12.75" customHeight="1" thickBot="1" x14ac:dyDescent="0.25">
      <c r="A62" s="15"/>
      <c r="B62" s="15"/>
      <c r="C62" s="15">
        <v>37</v>
      </c>
      <c r="D62" s="16">
        <f>Reference!B300</f>
        <v>312.16800000000001</v>
      </c>
      <c r="E62" s="17">
        <f>Reference!C300</f>
        <v>28.7028</v>
      </c>
      <c r="F62" s="17">
        <f>Reference!D300</f>
        <v>35.002699999999997</v>
      </c>
      <c r="G62" s="17">
        <f>Reference!E300</f>
        <v>36.611499999999999</v>
      </c>
      <c r="H62" s="17">
        <f>Reference!F300</f>
        <v>6728</v>
      </c>
      <c r="I62" s="17">
        <f>Reference!G300</f>
        <v>5.82</v>
      </c>
      <c r="J62" s="17">
        <f t="shared" si="5"/>
        <v>1.8688888888888888</v>
      </c>
      <c r="K62" s="26">
        <f>Reference!H300</f>
        <v>1587376</v>
      </c>
      <c r="L62" s="27">
        <f>Reference!I300</f>
        <v>426800</v>
      </c>
      <c r="N62" s="16">
        <f>Test!B300</f>
        <v>0</v>
      </c>
      <c r="O62" s="17">
        <f>Test!C300</f>
        <v>0</v>
      </c>
      <c r="P62" s="17">
        <f>Test!D300</f>
        <v>0</v>
      </c>
      <c r="Q62" s="17">
        <f>Test!E300</f>
        <v>0</v>
      </c>
      <c r="R62" s="17">
        <f>Test!F300</f>
        <v>0</v>
      </c>
      <c r="S62" s="17">
        <f>Test!G300</f>
        <v>0</v>
      </c>
      <c r="T62" s="17">
        <f t="shared" si="6"/>
        <v>0</v>
      </c>
      <c r="U62" s="28">
        <f>Test!H300</f>
        <v>0</v>
      </c>
      <c r="V62" s="29">
        <f>Test!I300</f>
        <v>0</v>
      </c>
      <c r="W62" s="17">
        <f t="shared" si="7"/>
        <v>0</v>
      </c>
      <c r="X62" s="17">
        <f t="shared" si="8"/>
        <v>0</v>
      </c>
      <c r="Y62" s="17">
        <f t="shared" si="4"/>
        <v>0</v>
      </c>
      <c r="Z62" s="23">
        <f t="shared" si="4"/>
        <v>0</v>
      </c>
      <c r="AA62" s="48"/>
      <c r="AB62" s="43"/>
      <c r="AC62" s="44"/>
      <c r="AD62" s="44"/>
      <c r="AE62" s="43"/>
      <c r="AF62" s="44"/>
      <c r="AG62" s="45"/>
      <c r="AH62" s="45"/>
      <c r="AI62" s="154">
        <f>(R62-J62)/J62</f>
        <v>-1</v>
      </c>
      <c r="AJ62" s="155">
        <f>S62-K62</f>
        <v>-1587376</v>
      </c>
      <c r="AK62" s="156">
        <f>T62-L62</f>
        <v>-426800</v>
      </c>
      <c r="AL62" s="157">
        <f>U62-M62</f>
        <v>0</v>
      </c>
    </row>
    <row r="63" spans="1:38" x14ac:dyDescent="0.2">
      <c r="A63" s="9" t="s">
        <v>27</v>
      </c>
      <c r="B63" s="9" t="s">
        <v>85</v>
      </c>
      <c r="C63" s="9">
        <f>C59</f>
        <v>22</v>
      </c>
      <c r="D63" s="10">
        <f>Reference!B301</f>
        <v>1060.0224000000001</v>
      </c>
      <c r="E63" s="11">
        <f>Reference!C301</f>
        <v>41.213799999999999</v>
      </c>
      <c r="F63" s="11">
        <f>Reference!D301</f>
        <v>43.860799999999998</v>
      </c>
      <c r="G63" s="11">
        <f>Reference!E301</f>
        <v>43.297600000000003</v>
      </c>
      <c r="H63" s="11">
        <f>Reference!F301</f>
        <v>6090</v>
      </c>
      <c r="I63" s="11">
        <f>Reference!G301</f>
        <v>5.0140000000000002</v>
      </c>
      <c r="J63" s="11">
        <f t="shared" si="5"/>
        <v>1.6916666666666667</v>
      </c>
      <c r="K63" s="24">
        <f>Reference!H301</f>
        <v>1130372</v>
      </c>
      <c r="L63" s="25">
        <f>Reference!I301</f>
        <v>380436</v>
      </c>
      <c r="N63" s="10">
        <f>Test!B301</f>
        <v>0</v>
      </c>
      <c r="O63" s="11">
        <f>Test!C301</f>
        <v>0</v>
      </c>
      <c r="P63" s="11">
        <f>Test!D301</f>
        <v>0</v>
      </c>
      <c r="Q63" s="11">
        <f>Test!E301</f>
        <v>0</v>
      </c>
      <c r="R63" s="11">
        <f>Test!F301</f>
        <v>0</v>
      </c>
      <c r="S63" s="11">
        <f>Test!G301</f>
        <v>0</v>
      </c>
      <c r="T63" s="11">
        <f t="shared" si="6"/>
        <v>0</v>
      </c>
      <c r="U63" s="24">
        <f>Test!H301</f>
        <v>0</v>
      </c>
      <c r="V63" s="25">
        <f>Test!I301</f>
        <v>0</v>
      </c>
      <c r="W63" s="11">
        <f t="shared" si="7"/>
        <v>0</v>
      </c>
      <c r="X63" s="11">
        <f t="shared" si="8"/>
        <v>0</v>
      </c>
      <c r="Y63" s="11">
        <f t="shared" si="4"/>
        <v>0</v>
      </c>
      <c r="Z63" s="21">
        <f t="shared" si="4"/>
        <v>0</v>
      </c>
      <c r="AA63" s="35"/>
      <c r="AB63" s="36" t="e">
        <f>bdrate($D63:$D66,E63:E66,$N63:$N66,O63:O66)</f>
        <v>#VALUE!</v>
      </c>
      <c r="AC63" s="37" t="e">
        <f>bdrate($D63:$D66,F63:F66,$N63:$N66,P63:P66)</f>
        <v>#VALUE!</v>
      </c>
      <c r="AD63" s="38" t="e">
        <f>bdrate($D63:$D66,G63:G66,$N63:$N66,Q63:Q66)</f>
        <v>#VALUE!</v>
      </c>
      <c r="AE63" s="36" t="e">
        <f>bdrateOld($D63:$D66,E63:E66,$N63:$N66,O63:O66)</f>
        <v>#VALUE!</v>
      </c>
      <c r="AF63" s="37" t="e">
        <f>bdrateOld($D63:$D66,F63:F66,$N63:$N66,P63:P66)</f>
        <v>#VALUE!</v>
      </c>
      <c r="AG63" s="38" t="e">
        <f>bdrateOld($D63:$D66,G63:G66,$N63:$N66,Q63:Q66)</f>
        <v>#VALUE!</v>
      </c>
      <c r="AH63" s="145" t="e">
        <f>(AB63*6+AC63+AD63)/8</f>
        <v>#VALUE!</v>
      </c>
      <c r="AI63" s="146">
        <f>(R63-J63)/J63</f>
        <v>-1</v>
      </c>
      <c r="AJ63" s="147">
        <f>S63-K63</f>
        <v>-1130372</v>
      </c>
      <c r="AK63" s="148">
        <f>T63-L63</f>
        <v>-380436</v>
      </c>
      <c r="AL63" s="149">
        <f>U63-M63</f>
        <v>0</v>
      </c>
    </row>
    <row r="64" spans="1:38" x14ac:dyDescent="0.2">
      <c r="A64" s="12" t="s">
        <v>114</v>
      </c>
      <c r="B64" s="12"/>
      <c r="C64" s="12">
        <f>C60</f>
        <v>27</v>
      </c>
      <c r="D64" s="13">
        <f>Reference!B302</f>
        <v>473.61919999999998</v>
      </c>
      <c r="E64" s="14">
        <f>Reference!C302</f>
        <v>37.083599999999997</v>
      </c>
      <c r="F64" s="14">
        <f>Reference!D302</f>
        <v>40.775799999999997</v>
      </c>
      <c r="G64" s="14">
        <f>Reference!E302</f>
        <v>39.694699999999997</v>
      </c>
      <c r="H64" s="14">
        <f>Reference!F302</f>
        <v>3786</v>
      </c>
      <c r="I64" s="14">
        <f>Reference!G302</f>
        <v>3.0990000000000002</v>
      </c>
      <c r="J64" s="14">
        <f t="shared" si="5"/>
        <v>1.0516666666666667</v>
      </c>
      <c r="K64" s="26">
        <f>Reference!H302</f>
        <v>1129288</v>
      </c>
      <c r="L64" s="27">
        <f>Reference!I302</f>
        <v>379052</v>
      </c>
      <c r="N64" s="13">
        <f>Test!B302</f>
        <v>0</v>
      </c>
      <c r="O64" s="14">
        <f>Test!C302</f>
        <v>0</v>
      </c>
      <c r="P64" s="14">
        <f>Test!D302</f>
        <v>0</v>
      </c>
      <c r="Q64" s="14">
        <f>Test!E302</f>
        <v>0</v>
      </c>
      <c r="R64" s="14">
        <f>Test!F302</f>
        <v>0</v>
      </c>
      <c r="S64" s="14">
        <f>Test!G302</f>
        <v>0</v>
      </c>
      <c r="T64" s="14">
        <f t="shared" si="6"/>
        <v>0</v>
      </c>
      <c r="U64" s="26">
        <f>Test!H302</f>
        <v>0</v>
      </c>
      <c r="V64" s="27">
        <f>Test!I302</f>
        <v>0</v>
      </c>
      <c r="W64" s="14">
        <f t="shared" si="7"/>
        <v>0</v>
      </c>
      <c r="X64" s="14">
        <f t="shared" si="8"/>
        <v>0</v>
      </c>
      <c r="Y64" s="14">
        <f t="shared" si="4"/>
        <v>0</v>
      </c>
      <c r="Z64" s="22">
        <f t="shared" si="4"/>
        <v>0</v>
      </c>
      <c r="AA64" s="39"/>
      <c r="AB64" s="40"/>
      <c r="AC64" s="41"/>
      <c r="AD64" s="42"/>
      <c r="AE64" s="40"/>
      <c r="AF64" s="41"/>
      <c r="AG64" s="42"/>
      <c r="AH64" s="42"/>
      <c r="AI64" s="150">
        <f>(R64-J64)/J64</f>
        <v>-1</v>
      </c>
      <c r="AJ64" s="151">
        <f>S64-K64</f>
        <v>-1129288</v>
      </c>
      <c r="AK64" s="152">
        <f>T64-L64</f>
        <v>-379052</v>
      </c>
      <c r="AL64" s="153">
        <f>U64-M64</f>
        <v>0</v>
      </c>
    </row>
    <row r="65" spans="1:38" x14ac:dyDescent="0.2">
      <c r="A65" s="12"/>
      <c r="B65" s="12"/>
      <c r="C65" s="12">
        <f>C61</f>
        <v>32</v>
      </c>
      <c r="D65" s="13">
        <f>Reference!B303</f>
        <v>226.62719999999999</v>
      </c>
      <c r="E65" s="14">
        <f>Reference!C303</f>
        <v>33.659399999999998</v>
      </c>
      <c r="F65" s="14">
        <f>Reference!D303</f>
        <v>38.6905</v>
      </c>
      <c r="G65" s="14">
        <f>Reference!E303</f>
        <v>37.481999999999999</v>
      </c>
      <c r="H65" s="14">
        <f>Reference!F303</f>
        <v>3785</v>
      </c>
      <c r="I65" s="14">
        <f>Reference!G303</f>
        <v>3.2480000000000002</v>
      </c>
      <c r="J65" s="14">
        <f t="shared" si="5"/>
        <v>1.0513888888888889</v>
      </c>
      <c r="K65" s="26">
        <f>Reference!H303</f>
        <v>1128508</v>
      </c>
      <c r="L65" s="27">
        <f>Reference!I303</f>
        <v>378024</v>
      </c>
      <c r="N65" s="13">
        <f>Test!B303</f>
        <v>0</v>
      </c>
      <c r="O65" s="14">
        <f>Test!C303</f>
        <v>0</v>
      </c>
      <c r="P65" s="14">
        <f>Test!D303</f>
        <v>0</v>
      </c>
      <c r="Q65" s="14">
        <f>Test!E303</f>
        <v>0</v>
      </c>
      <c r="R65" s="14">
        <f>Test!F303</f>
        <v>0</v>
      </c>
      <c r="S65" s="14">
        <f>Test!G303</f>
        <v>0</v>
      </c>
      <c r="T65" s="14">
        <f t="shared" si="6"/>
        <v>0</v>
      </c>
      <c r="U65" s="26">
        <f>Test!H303</f>
        <v>0</v>
      </c>
      <c r="V65" s="27">
        <f>Test!I303</f>
        <v>0</v>
      </c>
      <c r="W65" s="14">
        <f t="shared" si="7"/>
        <v>0</v>
      </c>
      <c r="X65" s="14">
        <f t="shared" si="8"/>
        <v>0</v>
      </c>
      <c r="Y65" s="14">
        <f t="shared" si="4"/>
        <v>0</v>
      </c>
      <c r="Z65" s="22">
        <f t="shared" si="4"/>
        <v>0</v>
      </c>
      <c r="AA65" s="39"/>
      <c r="AB65" s="40"/>
      <c r="AC65" s="41"/>
      <c r="AD65" s="42"/>
      <c r="AE65" s="40"/>
      <c r="AF65" s="41"/>
      <c r="AG65" s="42"/>
      <c r="AH65" s="42"/>
      <c r="AI65" s="150">
        <f>(R65-J65)/J65</f>
        <v>-1</v>
      </c>
      <c r="AJ65" s="151">
        <f>S65-K65</f>
        <v>-1128508</v>
      </c>
      <c r="AK65" s="152">
        <f>T65-L65</f>
        <v>-378024</v>
      </c>
      <c r="AL65" s="153">
        <f>U65-M65</f>
        <v>0</v>
      </c>
    </row>
    <row r="66" spans="1:38" ht="12.75" customHeight="1" thickBot="1" x14ac:dyDescent="0.25">
      <c r="A66" s="12"/>
      <c r="B66" s="15"/>
      <c r="C66" s="15">
        <f>C62</f>
        <v>37</v>
      </c>
      <c r="D66" s="16">
        <f>Reference!B304</f>
        <v>115.0016</v>
      </c>
      <c r="E66" s="17">
        <f>Reference!C304</f>
        <v>30.801500000000001</v>
      </c>
      <c r="F66" s="17">
        <f>Reference!D304</f>
        <v>37.248199999999997</v>
      </c>
      <c r="G66" s="17">
        <f>Reference!E304</f>
        <v>35.654400000000003</v>
      </c>
      <c r="H66" s="17">
        <f>Reference!F304</f>
        <v>2151</v>
      </c>
      <c r="I66" s="17">
        <f>Reference!G304</f>
        <v>1.786</v>
      </c>
      <c r="J66" s="17">
        <f t="shared" si="5"/>
        <v>0.59750000000000003</v>
      </c>
      <c r="K66" s="26">
        <f>Reference!H304</f>
        <v>1127580</v>
      </c>
      <c r="L66" s="27">
        <f>Reference!I304</f>
        <v>377188</v>
      </c>
      <c r="N66" s="16">
        <f>Test!B304</f>
        <v>0</v>
      </c>
      <c r="O66" s="17">
        <f>Test!C304</f>
        <v>0</v>
      </c>
      <c r="P66" s="17">
        <f>Test!D304</f>
        <v>0</v>
      </c>
      <c r="Q66" s="17">
        <f>Test!E304</f>
        <v>0</v>
      </c>
      <c r="R66" s="17">
        <f>Test!F304</f>
        <v>0</v>
      </c>
      <c r="S66" s="17">
        <f>Test!G304</f>
        <v>0</v>
      </c>
      <c r="T66" s="17">
        <f t="shared" si="6"/>
        <v>0</v>
      </c>
      <c r="U66" s="28">
        <f>Test!H304</f>
        <v>0</v>
      </c>
      <c r="V66" s="29">
        <f>Test!I304</f>
        <v>0</v>
      </c>
      <c r="W66" s="14">
        <f t="shared" si="7"/>
        <v>0</v>
      </c>
      <c r="X66" s="14">
        <f t="shared" si="8"/>
        <v>0</v>
      </c>
      <c r="Y66" s="14">
        <f t="shared" si="4"/>
        <v>0</v>
      </c>
      <c r="Z66" s="22">
        <f t="shared" si="4"/>
        <v>0</v>
      </c>
      <c r="AA66" s="39"/>
      <c r="AB66" s="43"/>
      <c r="AC66" s="44"/>
      <c r="AD66" s="45"/>
      <c r="AE66" s="43"/>
      <c r="AF66" s="44"/>
      <c r="AG66" s="45"/>
      <c r="AH66" s="42"/>
      <c r="AI66" s="154">
        <f>(R66-J66)/J66</f>
        <v>-1</v>
      </c>
      <c r="AJ66" s="155">
        <f>S66-K66</f>
        <v>-1127580</v>
      </c>
      <c r="AK66" s="156">
        <f>T66-L66</f>
        <v>-377188</v>
      </c>
      <c r="AL66" s="157">
        <f>U66-M66</f>
        <v>0</v>
      </c>
    </row>
    <row r="67" spans="1:38" x14ac:dyDescent="0.2">
      <c r="A67" s="12"/>
      <c r="B67" s="9" t="s">
        <v>86</v>
      </c>
      <c r="C67" s="9">
        <v>22</v>
      </c>
      <c r="D67" s="10">
        <f>Reference!B305</f>
        <v>1313.7392</v>
      </c>
      <c r="E67" s="11">
        <f>Reference!C305</f>
        <v>39.041600000000003</v>
      </c>
      <c r="F67" s="11">
        <f>Reference!D305</f>
        <v>43.576999999999998</v>
      </c>
      <c r="G67" s="11">
        <f>Reference!E305</f>
        <v>44.5946</v>
      </c>
      <c r="H67" s="11">
        <f>Reference!F305</f>
        <v>8598</v>
      </c>
      <c r="I67" s="11">
        <f>Reference!G305</f>
        <v>9.3209999999999997</v>
      </c>
      <c r="J67" s="11">
        <f t="shared" si="5"/>
        <v>2.3883333333333332</v>
      </c>
      <c r="K67" s="24">
        <f>Reference!H305</f>
        <v>1138100</v>
      </c>
      <c r="L67" s="25">
        <f>Reference!I305</f>
        <v>393800</v>
      </c>
      <c r="N67" s="10">
        <f>Test!B305</f>
        <v>0</v>
      </c>
      <c r="O67" s="11">
        <f>Test!C305</f>
        <v>0</v>
      </c>
      <c r="P67" s="11">
        <f>Test!D305</f>
        <v>0</v>
      </c>
      <c r="Q67" s="11">
        <f>Test!E305</f>
        <v>0</v>
      </c>
      <c r="R67" s="11">
        <f>Test!F305</f>
        <v>0</v>
      </c>
      <c r="S67" s="11">
        <f>Test!G305</f>
        <v>0</v>
      </c>
      <c r="T67" s="11">
        <f t="shared" si="6"/>
        <v>0</v>
      </c>
      <c r="U67" s="24">
        <f>Test!H305</f>
        <v>0</v>
      </c>
      <c r="V67" s="25">
        <f>Test!I305</f>
        <v>0</v>
      </c>
      <c r="W67" s="14">
        <f t="shared" si="7"/>
        <v>0</v>
      </c>
      <c r="X67" s="14">
        <f t="shared" si="8"/>
        <v>0</v>
      </c>
      <c r="Y67" s="14">
        <f t="shared" si="4"/>
        <v>0</v>
      </c>
      <c r="Z67" s="22">
        <f t="shared" si="4"/>
        <v>0</v>
      </c>
      <c r="AA67" s="39"/>
      <c r="AB67" s="36" t="e">
        <f>bdrate($D67:$D70,E67:E70,$N67:$N70,O67:O70)</f>
        <v>#VALUE!</v>
      </c>
      <c r="AC67" s="37" t="e">
        <f>bdrate($D67:$D70,F67:F70,$N67:$N70,P67:P70)</f>
        <v>#VALUE!</v>
      </c>
      <c r="AD67" s="37" t="e">
        <f>bdrate($D67:$D70,G67:G70,$N67:$N70,Q67:Q70)</f>
        <v>#VALUE!</v>
      </c>
      <c r="AE67" s="46" t="e">
        <f>bdrateOld($D67:$D70,E67:E70,$N67:$N70,O67:O70)</f>
        <v>#VALUE!</v>
      </c>
      <c r="AF67" s="47" t="e">
        <f>bdrateOld($D67:$D70,F67:F70,$N67:$N70,P67:P70)</f>
        <v>#VALUE!</v>
      </c>
      <c r="AG67" s="49" t="e">
        <f>bdrateOld($D67:$D70,G67:G70,$N67:$N70,Q67:Q70)</f>
        <v>#VALUE!</v>
      </c>
      <c r="AH67" s="42" t="e">
        <f>(AB67*6+AC67+AD67)/8</f>
        <v>#VALUE!</v>
      </c>
      <c r="AI67" s="146">
        <f>(R67-J67)/J67</f>
        <v>-1</v>
      </c>
      <c r="AJ67" s="147">
        <f>S67-K67</f>
        <v>-1138100</v>
      </c>
      <c r="AK67" s="148">
        <f>T67-L67</f>
        <v>-393800</v>
      </c>
      <c r="AL67" s="149">
        <f>U67-M67</f>
        <v>0</v>
      </c>
    </row>
    <row r="68" spans="1:38" x14ac:dyDescent="0.2">
      <c r="A68" s="12"/>
      <c r="B68" s="12"/>
      <c r="C68" s="12">
        <v>27</v>
      </c>
      <c r="D68" s="13">
        <f>Reference!B306</f>
        <v>447.91359999999997</v>
      </c>
      <c r="E68" s="14">
        <f>Reference!C306</f>
        <v>35.260899999999999</v>
      </c>
      <c r="F68" s="14">
        <f>Reference!D306</f>
        <v>41.538499999999999</v>
      </c>
      <c r="G68" s="14">
        <f>Reference!E306</f>
        <v>42.363399999999999</v>
      </c>
      <c r="H68" s="14">
        <f>Reference!F306</f>
        <v>4328</v>
      </c>
      <c r="I68" s="14">
        <f>Reference!G306</f>
        <v>5.7569999999999997</v>
      </c>
      <c r="J68" s="14">
        <f t="shared" si="5"/>
        <v>1.2022222222222223</v>
      </c>
      <c r="K68" s="26">
        <f>Reference!H306</f>
        <v>1137284</v>
      </c>
      <c r="L68" s="27">
        <f>Reference!I306</f>
        <v>392492</v>
      </c>
      <c r="N68" s="13">
        <f>Test!B306</f>
        <v>0</v>
      </c>
      <c r="O68" s="14">
        <f>Test!C306</f>
        <v>0</v>
      </c>
      <c r="P68" s="14">
        <f>Test!D306</f>
        <v>0</v>
      </c>
      <c r="Q68" s="14">
        <f>Test!E306</f>
        <v>0</v>
      </c>
      <c r="R68" s="14">
        <f>Test!F306</f>
        <v>0</v>
      </c>
      <c r="S68" s="14">
        <f>Test!G306</f>
        <v>0</v>
      </c>
      <c r="T68" s="14">
        <f t="shared" si="6"/>
        <v>0</v>
      </c>
      <c r="U68" s="26">
        <f>Test!H306</f>
        <v>0</v>
      </c>
      <c r="V68" s="27">
        <f>Test!I306</f>
        <v>0</v>
      </c>
      <c r="W68" s="14">
        <f t="shared" si="7"/>
        <v>0</v>
      </c>
      <c r="X68" s="14">
        <f t="shared" si="8"/>
        <v>0</v>
      </c>
      <c r="Y68" s="14">
        <f t="shared" si="4"/>
        <v>0</v>
      </c>
      <c r="Z68" s="22">
        <f t="shared" si="4"/>
        <v>0</v>
      </c>
      <c r="AA68" s="39"/>
      <c r="AB68" s="40"/>
      <c r="AC68" s="41"/>
      <c r="AD68" s="41"/>
      <c r="AE68" s="40"/>
      <c r="AF68" s="41"/>
      <c r="AG68" s="42"/>
      <c r="AH68" s="42"/>
      <c r="AI68" s="150">
        <f>(R68-J68)/J68</f>
        <v>-1</v>
      </c>
      <c r="AJ68" s="151">
        <f>S68-K68</f>
        <v>-1137284</v>
      </c>
      <c r="AK68" s="152">
        <f>T68-L68</f>
        <v>-392492</v>
      </c>
      <c r="AL68" s="153">
        <f>U68-M68</f>
        <v>0</v>
      </c>
    </row>
    <row r="69" spans="1:38" x14ac:dyDescent="0.2">
      <c r="A69" s="12"/>
      <c r="B69" s="12"/>
      <c r="C69" s="12">
        <v>32</v>
      </c>
      <c r="D69" s="13">
        <f>Reference!B307</f>
        <v>191.8544</v>
      </c>
      <c r="E69" s="14">
        <f>Reference!C307</f>
        <v>31.990300000000001</v>
      </c>
      <c r="F69" s="14">
        <f>Reference!D307</f>
        <v>39.438800000000001</v>
      </c>
      <c r="G69" s="14">
        <f>Reference!E307</f>
        <v>40.158000000000001</v>
      </c>
      <c r="H69" s="14">
        <f>Reference!F307</f>
        <v>3787</v>
      </c>
      <c r="I69" s="14">
        <f>Reference!G307</f>
        <v>5.819</v>
      </c>
      <c r="J69" s="14">
        <f t="shared" si="5"/>
        <v>1.0519444444444443</v>
      </c>
      <c r="K69" s="26">
        <f>Reference!H307</f>
        <v>1132832</v>
      </c>
      <c r="L69" s="27">
        <f>Reference!I307</f>
        <v>391872</v>
      </c>
      <c r="N69" s="13">
        <f>Test!B307</f>
        <v>0</v>
      </c>
      <c r="O69" s="14">
        <f>Test!C307</f>
        <v>0</v>
      </c>
      <c r="P69" s="14">
        <f>Test!D307</f>
        <v>0</v>
      </c>
      <c r="Q69" s="14">
        <f>Test!E307</f>
        <v>0</v>
      </c>
      <c r="R69" s="14">
        <f>Test!F307</f>
        <v>0</v>
      </c>
      <c r="S69" s="14">
        <f>Test!G307</f>
        <v>0</v>
      </c>
      <c r="T69" s="14">
        <f t="shared" si="6"/>
        <v>0</v>
      </c>
      <c r="U69" s="26">
        <f>Test!H307</f>
        <v>0</v>
      </c>
      <c r="V69" s="27">
        <f>Test!I307</f>
        <v>0</v>
      </c>
      <c r="W69" s="14">
        <f t="shared" si="7"/>
        <v>0</v>
      </c>
      <c r="X69" s="14">
        <f t="shared" si="8"/>
        <v>0</v>
      </c>
      <c r="Y69" s="14">
        <f t="shared" si="4"/>
        <v>0</v>
      </c>
      <c r="Z69" s="22">
        <f t="shared" si="4"/>
        <v>0</v>
      </c>
      <c r="AA69" s="39"/>
      <c r="AB69" s="40"/>
      <c r="AC69" s="41"/>
      <c r="AD69" s="41"/>
      <c r="AE69" s="40"/>
      <c r="AF69" s="41"/>
      <c r="AG69" s="42"/>
      <c r="AH69" s="42"/>
      <c r="AI69" s="150">
        <f>(R69-J69)/J69</f>
        <v>-1</v>
      </c>
      <c r="AJ69" s="151">
        <f>S69-K69</f>
        <v>-1132832</v>
      </c>
      <c r="AK69" s="152">
        <f>T69-L69</f>
        <v>-391872</v>
      </c>
      <c r="AL69" s="153">
        <f>U69-M69</f>
        <v>0</v>
      </c>
    </row>
    <row r="70" spans="1:38" ht="12.75" customHeight="1" thickBot="1" x14ac:dyDescent="0.25">
      <c r="A70" s="12"/>
      <c r="B70" s="15"/>
      <c r="C70" s="15">
        <v>37</v>
      </c>
      <c r="D70" s="16">
        <f>Reference!B308</f>
        <v>93.980800000000002</v>
      </c>
      <c r="E70" s="17">
        <f>Reference!C308</f>
        <v>29.089500000000001</v>
      </c>
      <c r="F70" s="17">
        <f>Reference!D308</f>
        <v>38.070099999999996</v>
      </c>
      <c r="G70" s="17">
        <f>Reference!E308</f>
        <v>38.421599999999998</v>
      </c>
      <c r="H70" s="17">
        <f>Reference!F308</f>
        <v>1842</v>
      </c>
      <c r="I70" s="17">
        <f>Reference!G308</f>
        <v>3.4119999999999999</v>
      </c>
      <c r="J70" s="17">
        <f t="shared" si="5"/>
        <v>0.51166666666666671</v>
      </c>
      <c r="K70" s="26">
        <f>Reference!H308</f>
        <v>1135360</v>
      </c>
      <c r="L70" s="27">
        <f>Reference!I308</f>
        <v>391048</v>
      </c>
      <c r="N70" s="16">
        <f>Test!B308</f>
        <v>0</v>
      </c>
      <c r="O70" s="17">
        <f>Test!C308</f>
        <v>0</v>
      </c>
      <c r="P70" s="17">
        <f>Test!D308</f>
        <v>0</v>
      </c>
      <c r="Q70" s="17">
        <f>Test!E308</f>
        <v>0</v>
      </c>
      <c r="R70" s="17">
        <f>Test!F308</f>
        <v>0</v>
      </c>
      <c r="S70" s="17">
        <f>Test!G308</f>
        <v>0</v>
      </c>
      <c r="T70" s="17">
        <f t="shared" si="6"/>
        <v>0</v>
      </c>
      <c r="U70" s="28">
        <f>Test!H308</f>
        <v>0</v>
      </c>
      <c r="V70" s="29">
        <f>Test!I308</f>
        <v>0</v>
      </c>
      <c r="W70" s="14">
        <f t="shared" si="7"/>
        <v>0</v>
      </c>
      <c r="X70" s="14">
        <f t="shared" si="8"/>
        <v>0</v>
      </c>
      <c r="Y70" s="14">
        <f t="shared" si="4"/>
        <v>0</v>
      </c>
      <c r="Z70" s="22">
        <f t="shared" si="4"/>
        <v>0</v>
      </c>
      <c r="AA70" s="39"/>
      <c r="AB70" s="43"/>
      <c r="AC70" s="44"/>
      <c r="AD70" s="44"/>
      <c r="AE70" s="43"/>
      <c r="AF70" s="44"/>
      <c r="AG70" s="45"/>
      <c r="AH70" s="42"/>
      <c r="AI70" s="154">
        <f>(R70-J70)/J70</f>
        <v>-1</v>
      </c>
      <c r="AJ70" s="155">
        <f>S70-K70</f>
        <v>-1135360</v>
      </c>
      <c r="AK70" s="156">
        <f>T70-L70</f>
        <v>-391048</v>
      </c>
      <c r="AL70" s="157">
        <f>U70-M70</f>
        <v>0</v>
      </c>
    </row>
    <row r="71" spans="1:38" x14ac:dyDescent="0.2">
      <c r="A71" s="12"/>
      <c r="B71" s="9" t="s">
        <v>58</v>
      </c>
      <c r="C71" s="9">
        <v>22</v>
      </c>
      <c r="D71" s="10">
        <f>Reference!B309</f>
        <v>1265.1568</v>
      </c>
      <c r="E71" s="11">
        <f>Reference!C309</f>
        <v>38.413699999999999</v>
      </c>
      <c r="F71" s="11">
        <f>Reference!D309</f>
        <v>40.975900000000003</v>
      </c>
      <c r="G71" s="11">
        <f>Reference!E309</f>
        <v>41.943800000000003</v>
      </c>
      <c r="H71" s="11">
        <f>Reference!F309</f>
        <v>5689</v>
      </c>
      <c r="I71" s="11">
        <f>Reference!G309</f>
        <v>4.4989999999999997</v>
      </c>
      <c r="J71" s="11">
        <f t="shared" si="5"/>
        <v>1.5802777777777777</v>
      </c>
      <c r="K71" s="24">
        <f>Reference!H309</f>
        <v>1131752</v>
      </c>
      <c r="L71" s="25">
        <f>Reference!I309</f>
        <v>380576</v>
      </c>
      <c r="N71" s="10">
        <f>Test!B309</f>
        <v>0</v>
      </c>
      <c r="O71" s="11">
        <f>Test!C309</f>
        <v>0</v>
      </c>
      <c r="P71" s="11">
        <f>Test!D309</f>
        <v>0</v>
      </c>
      <c r="Q71" s="11">
        <f>Test!E309</f>
        <v>0</v>
      </c>
      <c r="R71" s="11">
        <f>Test!F309</f>
        <v>0</v>
      </c>
      <c r="S71" s="11">
        <f>Test!G309</f>
        <v>0</v>
      </c>
      <c r="T71" s="11">
        <f t="shared" si="6"/>
        <v>0</v>
      </c>
      <c r="U71" s="24">
        <f>Test!H309</f>
        <v>0</v>
      </c>
      <c r="V71" s="25">
        <f>Test!I309</f>
        <v>0</v>
      </c>
      <c r="W71" s="14">
        <f t="shared" si="7"/>
        <v>0</v>
      </c>
      <c r="X71" s="14">
        <f t="shared" si="8"/>
        <v>0</v>
      </c>
      <c r="Y71" s="14">
        <f t="shared" si="4"/>
        <v>0</v>
      </c>
      <c r="Z71" s="22">
        <f t="shared" si="4"/>
        <v>0</v>
      </c>
      <c r="AA71" s="39"/>
      <c r="AB71" s="36" t="e">
        <f>bdrate($D71:$D74,E71:E74,$N71:$N74,O71:O74)</f>
        <v>#VALUE!</v>
      </c>
      <c r="AC71" s="37" t="e">
        <f>bdrate($D71:$D74,F71:F74,$N71:$N74,P71:P74)</f>
        <v>#VALUE!</v>
      </c>
      <c r="AD71" s="37" t="e">
        <f>bdrate($D71:$D74,G71:G74,$N71:$N74,Q71:Q74)</f>
        <v>#VALUE!</v>
      </c>
      <c r="AE71" s="46" t="e">
        <f>bdrateOld($D71:$D74,E71:E74,$N71:$N74,O71:O74)</f>
        <v>#VALUE!</v>
      </c>
      <c r="AF71" s="47" t="e">
        <f>bdrateOld($D71:$D74,F71:F74,$N71:$N74,P71:P74)</f>
        <v>#VALUE!</v>
      </c>
      <c r="AG71" s="49" t="e">
        <f>bdrateOld($D71:$D74,G71:G74,$N71:$N74,Q71:Q74)</f>
        <v>#VALUE!</v>
      </c>
      <c r="AH71" s="42" t="e">
        <f>(AB71*6+AC71+AD71)/8</f>
        <v>#VALUE!</v>
      </c>
      <c r="AI71" s="146">
        <f>(R71-J71)/J71</f>
        <v>-1</v>
      </c>
      <c r="AJ71" s="147">
        <f>S71-K71</f>
        <v>-1131752</v>
      </c>
      <c r="AK71" s="148">
        <f>T71-L71</f>
        <v>-380576</v>
      </c>
      <c r="AL71" s="149">
        <f>U71-M71</f>
        <v>0</v>
      </c>
    </row>
    <row r="72" spans="1:38" x14ac:dyDescent="0.2">
      <c r="A72" s="12"/>
      <c r="B72" s="12"/>
      <c r="C72" s="12">
        <v>27</v>
      </c>
      <c r="D72" s="13">
        <f>Reference!B310</f>
        <v>499.8032</v>
      </c>
      <c r="E72" s="14">
        <f>Reference!C310</f>
        <v>34.720500000000001</v>
      </c>
      <c r="F72" s="14">
        <f>Reference!D310</f>
        <v>38.085999999999999</v>
      </c>
      <c r="G72" s="14">
        <f>Reference!E310</f>
        <v>38.8611</v>
      </c>
      <c r="H72" s="14">
        <f>Reference!F310</f>
        <v>5715</v>
      </c>
      <c r="I72" s="14">
        <f>Reference!G310</f>
        <v>4.5490000000000004</v>
      </c>
      <c r="J72" s="14">
        <f t="shared" si="5"/>
        <v>1.5874999999999999</v>
      </c>
      <c r="K72" s="26">
        <f>Reference!H310</f>
        <v>1131516</v>
      </c>
      <c r="L72" s="27">
        <f>Reference!I310</f>
        <v>379712</v>
      </c>
      <c r="N72" s="13">
        <f>Test!B310</f>
        <v>0</v>
      </c>
      <c r="O72" s="14">
        <f>Test!C310</f>
        <v>0</v>
      </c>
      <c r="P72" s="14">
        <f>Test!D310</f>
        <v>0</v>
      </c>
      <c r="Q72" s="14">
        <f>Test!E310</f>
        <v>0</v>
      </c>
      <c r="R72" s="14">
        <f>Test!F310</f>
        <v>0</v>
      </c>
      <c r="S72" s="14">
        <f>Test!G310</f>
        <v>0</v>
      </c>
      <c r="T72" s="14">
        <f t="shared" si="6"/>
        <v>0</v>
      </c>
      <c r="U72" s="26">
        <f>Test!H310</f>
        <v>0</v>
      </c>
      <c r="V72" s="27">
        <f>Test!I310</f>
        <v>0</v>
      </c>
      <c r="W72" s="14">
        <f t="shared" si="7"/>
        <v>0</v>
      </c>
      <c r="X72" s="14">
        <f t="shared" si="8"/>
        <v>0</v>
      </c>
      <c r="Y72" s="14">
        <f t="shared" si="4"/>
        <v>0</v>
      </c>
      <c r="Z72" s="22">
        <f t="shared" si="4"/>
        <v>0</v>
      </c>
      <c r="AA72" s="39"/>
      <c r="AB72" s="40"/>
      <c r="AC72" s="41"/>
      <c r="AD72" s="41"/>
      <c r="AE72" s="40"/>
      <c r="AF72" s="41"/>
      <c r="AG72" s="42"/>
      <c r="AH72" s="42"/>
      <c r="AI72" s="150">
        <f>(R72-J72)/J72</f>
        <v>-1</v>
      </c>
      <c r="AJ72" s="151">
        <f>S72-K72</f>
        <v>-1131516</v>
      </c>
      <c r="AK72" s="152">
        <f>T72-L72</f>
        <v>-379712</v>
      </c>
      <c r="AL72" s="153">
        <f>U72-M72</f>
        <v>0</v>
      </c>
    </row>
    <row r="73" spans="1:38" x14ac:dyDescent="0.2">
      <c r="A73" s="12"/>
      <c r="B73" s="12"/>
      <c r="C73" s="12">
        <v>32</v>
      </c>
      <c r="D73" s="13">
        <f>Reference!B311</f>
        <v>227.58240000000001</v>
      </c>
      <c r="E73" s="14">
        <f>Reference!C311</f>
        <v>31.5746</v>
      </c>
      <c r="F73" s="14">
        <f>Reference!D311</f>
        <v>35.999499999999998</v>
      </c>
      <c r="G73" s="14">
        <f>Reference!E311</f>
        <v>36.665399999999998</v>
      </c>
      <c r="H73" s="14">
        <f>Reference!F311</f>
        <v>2969</v>
      </c>
      <c r="I73" s="14">
        <f>Reference!G311</f>
        <v>2.2829999999999999</v>
      </c>
      <c r="J73" s="14">
        <f t="shared" si="5"/>
        <v>0.82472222222222225</v>
      </c>
      <c r="K73" s="26">
        <f>Reference!H311</f>
        <v>1130528</v>
      </c>
      <c r="L73" s="27">
        <f>Reference!I311</f>
        <v>379068</v>
      </c>
      <c r="N73" s="13">
        <f>Test!B311</f>
        <v>0</v>
      </c>
      <c r="O73" s="14">
        <f>Test!C311</f>
        <v>0</v>
      </c>
      <c r="P73" s="14">
        <f>Test!D311</f>
        <v>0</v>
      </c>
      <c r="Q73" s="14">
        <f>Test!E311</f>
        <v>0</v>
      </c>
      <c r="R73" s="14">
        <f>Test!F311</f>
        <v>0</v>
      </c>
      <c r="S73" s="14">
        <f>Test!G311</f>
        <v>0</v>
      </c>
      <c r="T73" s="14">
        <f t="shared" si="6"/>
        <v>0</v>
      </c>
      <c r="U73" s="26">
        <f>Test!H311</f>
        <v>0</v>
      </c>
      <c r="V73" s="27">
        <f>Test!I311</f>
        <v>0</v>
      </c>
      <c r="W73" s="14">
        <f t="shared" si="7"/>
        <v>0</v>
      </c>
      <c r="X73" s="14">
        <f t="shared" si="8"/>
        <v>0</v>
      </c>
      <c r="Y73" s="14">
        <f t="shared" si="4"/>
        <v>0</v>
      </c>
      <c r="Z73" s="22">
        <f t="shared" si="4"/>
        <v>0</v>
      </c>
      <c r="AA73" s="39"/>
      <c r="AB73" s="40"/>
      <c r="AC73" s="41"/>
      <c r="AD73" s="41"/>
      <c r="AE73" s="40"/>
      <c r="AF73" s="41"/>
      <c r="AG73" s="42"/>
      <c r="AH73" s="42"/>
      <c r="AI73" s="150">
        <f>(R73-J73)/J73</f>
        <v>-1</v>
      </c>
      <c r="AJ73" s="151">
        <f>S73-K73</f>
        <v>-1130528</v>
      </c>
      <c r="AK73" s="152">
        <f>T73-L73</f>
        <v>-379068</v>
      </c>
      <c r="AL73" s="153">
        <f>U73-M73</f>
        <v>0</v>
      </c>
    </row>
    <row r="74" spans="1:38" ht="12.75" customHeight="1" thickBot="1" x14ac:dyDescent="0.25">
      <c r="A74" s="12"/>
      <c r="B74" s="15"/>
      <c r="C74" s="15">
        <v>37</v>
      </c>
      <c r="D74" s="16">
        <f>Reference!B312</f>
        <v>105.46720000000001</v>
      </c>
      <c r="E74" s="17">
        <f>Reference!C312</f>
        <v>28.816299999999998</v>
      </c>
      <c r="F74" s="17">
        <f>Reference!D312</f>
        <v>34.699399999999997</v>
      </c>
      <c r="G74" s="17">
        <f>Reference!E312</f>
        <v>35.283799999999999</v>
      </c>
      <c r="H74" s="17">
        <f>Reference!F312</f>
        <v>2158</v>
      </c>
      <c r="I74" s="17">
        <f>Reference!G312</f>
        <v>1.4590000000000001</v>
      </c>
      <c r="J74" s="17">
        <f t="shared" si="5"/>
        <v>0.59944444444444445</v>
      </c>
      <c r="K74" s="26">
        <f>Reference!H312</f>
        <v>1128892</v>
      </c>
      <c r="L74" s="27">
        <f>Reference!I312</f>
        <v>378484</v>
      </c>
      <c r="N74" s="16">
        <f>Test!B312</f>
        <v>0</v>
      </c>
      <c r="O74" s="17">
        <f>Test!C312</f>
        <v>0</v>
      </c>
      <c r="P74" s="17">
        <f>Test!D312</f>
        <v>0</v>
      </c>
      <c r="Q74" s="17">
        <f>Test!E312</f>
        <v>0</v>
      </c>
      <c r="R74" s="17">
        <f>Test!F312</f>
        <v>0</v>
      </c>
      <c r="S74" s="17">
        <f>Test!G312</f>
        <v>0</v>
      </c>
      <c r="T74" s="17">
        <f t="shared" si="6"/>
        <v>0</v>
      </c>
      <c r="U74" s="28">
        <f>Test!H312</f>
        <v>0</v>
      </c>
      <c r="V74" s="29">
        <f>Test!I312</f>
        <v>0</v>
      </c>
      <c r="W74" s="14">
        <f t="shared" si="7"/>
        <v>0</v>
      </c>
      <c r="X74" s="14">
        <f t="shared" si="8"/>
        <v>0</v>
      </c>
      <c r="Y74" s="14">
        <f t="shared" si="4"/>
        <v>0</v>
      </c>
      <c r="Z74" s="22">
        <f t="shared" si="4"/>
        <v>0</v>
      </c>
      <c r="AA74" s="39"/>
      <c r="AB74" s="43"/>
      <c r="AC74" s="44"/>
      <c r="AD74" s="44"/>
      <c r="AE74" s="43"/>
      <c r="AF74" s="44"/>
      <c r="AG74" s="45"/>
      <c r="AH74" s="42"/>
      <c r="AI74" s="154">
        <f>(R74-J74)/J74</f>
        <v>-1</v>
      </c>
      <c r="AJ74" s="155">
        <f>S74-K74</f>
        <v>-1128892</v>
      </c>
      <c r="AK74" s="156">
        <f>T74-L74</f>
        <v>-378484</v>
      </c>
      <c r="AL74" s="157">
        <f>U74-M74</f>
        <v>0</v>
      </c>
    </row>
    <row r="75" spans="1:38" x14ac:dyDescent="0.2">
      <c r="A75" s="12"/>
      <c r="B75" s="9" t="s">
        <v>87</v>
      </c>
      <c r="C75" s="9">
        <v>22</v>
      </c>
      <c r="D75" s="10">
        <f>Reference!B313</f>
        <v>947.06079999999997</v>
      </c>
      <c r="E75" s="11">
        <f>Reference!C313</f>
        <v>39.105800000000002</v>
      </c>
      <c r="F75" s="11">
        <f>Reference!D313</f>
        <v>40.3902</v>
      </c>
      <c r="G75" s="11">
        <f>Reference!E313</f>
        <v>41.744399999999999</v>
      </c>
      <c r="H75" s="11">
        <f>Reference!F313</f>
        <v>4330</v>
      </c>
      <c r="I75" s="11">
        <f>Reference!G313</f>
        <v>3.0990000000000002</v>
      </c>
      <c r="J75" s="11">
        <f t="shared" si="5"/>
        <v>1.2027777777777777</v>
      </c>
      <c r="K75" s="24">
        <f>Reference!H313</f>
        <v>1130780</v>
      </c>
      <c r="L75" s="25">
        <f>Reference!I313</f>
        <v>353312</v>
      </c>
      <c r="N75" s="10">
        <f>Test!B313</f>
        <v>0</v>
      </c>
      <c r="O75" s="11">
        <f>Test!C313</f>
        <v>0</v>
      </c>
      <c r="P75" s="11">
        <f>Test!D313</f>
        <v>0</v>
      </c>
      <c r="Q75" s="11">
        <f>Test!E313</f>
        <v>0</v>
      </c>
      <c r="R75" s="11">
        <f>Test!F313</f>
        <v>0</v>
      </c>
      <c r="S75" s="11">
        <f>Test!G313</f>
        <v>0</v>
      </c>
      <c r="T75" s="11">
        <f t="shared" si="6"/>
        <v>0</v>
      </c>
      <c r="U75" s="24">
        <f>Test!H313</f>
        <v>0</v>
      </c>
      <c r="V75" s="25">
        <f>Test!I313</f>
        <v>0</v>
      </c>
      <c r="W75" s="14">
        <f t="shared" si="7"/>
        <v>0</v>
      </c>
      <c r="X75" s="14">
        <f t="shared" si="8"/>
        <v>0</v>
      </c>
      <c r="Y75" s="14">
        <f t="shared" si="4"/>
        <v>0</v>
      </c>
      <c r="Z75" s="22">
        <f t="shared" si="4"/>
        <v>0</v>
      </c>
      <c r="AA75" s="39"/>
      <c r="AB75" s="36" t="e">
        <f>bdrate($D75:$D78,E75:E78,$N75:$N78,O75:O78)</f>
        <v>#VALUE!</v>
      </c>
      <c r="AC75" s="37" t="e">
        <f>bdrate($D75:$D78,F75:F78,$N75:$N78,P75:P78)</f>
        <v>#VALUE!</v>
      </c>
      <c r="AD75" s="37" t="e">
        <f>bdrate($D75:$D78,G75:G78,$N75:$N78,Q75:Q78)</f>
        <v>#VALUE!</v>
      </c>
      <c r="AE75" s="46" t="e">
        <f>bdrateOld($D75:$D78,E75:E78,$N75:$N78,O75:O78)</f>
        <v>#VALUE!</v>
      </c>
      <c r="AF75" s="47" t="e">
        <f>bdrateOld($D75:$D78,F75:F78,$N75:$N78,P75:P78)</f>
        <v>#VALUE!</v>
      </c>
      <c r="AG75" s="49" t="e">
        <f>bdrateOld($D75:$D78,G75:G78,$N75:$N78,Q75:Q78)</f>
        <v>#VALUE!</v>
      </c>
      <c r="AH75" s="42" t="e">
        <f>(AB75*6+AC75+AD75)/8</f>
        <v>#VALUE!</v>
      </c>
      <c r="AI75" s="146">
        <f>(R75-J75)/J75</f>
        <v>-1</v>
      </c>
      <c r="AJ75" s="147">
        <f>S75-K75</f>
        <v>-1130780</v>
      </c>
      <c r="AK75" s="148">
        <f>T75-L75</f>
        <v>-353312</v>
      </c>
      <c r="AL75" s="149">
        <f>U75-M75</f>
        <v>0</v>
      </c>
    </row>
    <row r="76" spans="1:38" x14ac:dyDescent="0.2">
      <c r="A76" s="12"/>
      <c r="B76" s="12"/>
      <c r="C76" s="12">
        <v>27</v>
      </c>
      <c r="D76" s="13">
        <f>Reference!B314</f>
        <v>407.6848</v>
      </c>
      <c r="E76" s="14">
        <f>Reference!C314</f>
        <v>34.629199999999997</v>
      </c>
      <c r="F76" s="14">
        <f>Reference!D314</f>
        <v>37.617699999999999</v>
      </c>
      <c r="G76" s="14">
        <f>Reference!E314</f>
        <v>38.697699999999998</v>
      </c>
      <c r="H76" s="14">
        <f>Reference!F314</f>
        <v>3202</v>
      </c>
      <c r="I76" s="14">
        <f>Reference!G314</f>
        <v>2.411</v>
      </c>
      <c r="J76" s="14">
        <f t="shared" si="5"/>
        <v>0.88944444444444448</v>
      </c>
      <c r="K76" s="26">
        <f>Reference!H314</f>
        <v>1129112</v>
      </c>
      <c r="L76" s="27">
        <f>Reference!I314</f>
        <v>352756</v>
      </c>
      <c r="N76" s="13">
        <f>Test!B314</f>
        <v>0</v>
      </c>
      <c r="O76" s="14">
        <f>Test!C314</f>
        <v>0</v>
      </c>
      <c r="P76" s="14">
        <f>Test!D314</f>
        <v>0</v>
      </c>
      <c r="Q76" s="14">
        <f>Test!E314</f>
        <v>0</v>
      </c>
      <c r="R76" s="14">
        <f>Test!F314</f>
        <v>0</v>
      </c>
      <c r="S76" s="14">
        <f>Test!G314</f>
        <v>0</v>
      </c>
      <c r="T76" s="14">
        <f t="shared" si="6"/>
        <v>0</v>
      </c>
      <c r="U76" s="26">
        <f>Test!H314</f>
        <v>0</v>
      </c>
      <c r="V76" s="27">
        <f>Test!I314</f>
        <v>0</v>
      </c>
      <c r="W76" s="14">
        <f t="shared" si="7"/>
        <v>0</v>
      </c>
      <c r="X76" s="14">
        <f t="shared" si="8"/>
        <v>0</v>
      </c>
      <c r="Y76" s="14">
        <f t="shared" si="4"/>
        <v>0</v>
      </c>
      <c r="Z76" s="22">
        <f t="shared" si="4"/>
        <v>0</v>
      </c>
      <c r="AA76" s="39"/>
      <c r="AB76" s="40"/>
      <c r="AC76" s="41"/>
      <c r="AD76" s="41"/>
      <c r="AE76" s="40"/>
      <c r="AF76" s="41"/>
      <c r="AG76" s="42"/>
      <c r="AH76" s="3"/>
      <c r="AI76" s="150">
        <f>(R76-J76)/J76</f>
        <v>-1</v>
      </c>
      <c r="AJ76" s="151">
        <f>S76-K76</f>
        <v>-1129112</v>
      </c>
      <c r="AK76" s="152">
        <f>T76-L76</f>
        <v>-352756</v>
      </c>
      <c r="AL76" s="153">
        <f>U76-M76</f>
        <v>0</v>
      </c>
    </row>
    <row r="77" spans="1:38" x14ac:dyDescent="0.2">
      <c r="A77" s="12"/>
      <c r="B77" s="12"/>
      <c r="C77" s="12">
        <v>32</v>
      </c>
      <c r="D77" s="13">
        <f>Reference!B315</f>
        <v>184.28</v>
      </c>
      <c r="E77" s="14">
        <f>Reference!C315</f>
        <v>31.0291</v>
      </c>
      <c r="F77" s="14">
        <f>Reference!D315</f>
        <v>36.001800000000003</v>
      </c>
      <c r="G77" s="14">
        <f>Reference!E315</f>
        <v>36.86</v>
      </c>
      <c r="H77" s="14">
        <f>Reference!F315</f>
        <v>3219</v>
      </c>
      <c r="I77" s="14">
        <f>Reference!G315</f>
        <v>2.58</v>
      </c>
      <c r="J77" s="14">
        <f t="shared" si="5"/>
        <v>0.89416666666666667</v>
      </c>
      <c r="K77" s="26">
        <f>Reference!H315</f>
        <v>1129280</v>
      </c>
      <c r="L77" s="27">
        <f>Reference!I315</f>
        <v>352632</v>
      </c>
      <c r="N77" s="13">
        <f>Test!B315</f>
        <v>0</v>
      </c>
      <c r="O77" s="14">
        <f>Test!C315</f>
        <v>0</v>
      </c>
      <c r="P77" s="14">
        <f>Test!D315</f>
        <v>0</v>
      </c>
      <c r="Q77" s="14">
        <f>Test!E315</f>
        <v>0</v>
      </c>
      <c r="R77" s="14">
        <f>Test!F315</f>
        <v>0</v>
      </c>
      <c r="S77" s="14">
        <f>Test!G315</f>
        <v>0</v>
      </c>
      <c r="T77" s="14">
        <f t="shared" si="6"/>
        <v>0</v>
      </c>
      <c r="U77" s="26">
        <f>Test!H315</f>
        <v>0</v>
      </c>
      <c r="V77" s="27">
        <f>Test!I315</f>
        <v>0</v>
      </c>
      <c r="W77" s="14">
        <f t="shared" si="7"/>
        <v>0</v>
      </c>
      <c r="X77" s="14">
        <f t="shared" si="8"/>
        <v>0</v>
      </c>
      <c r="Y77" s="14">
        <f t="shared" si="4"/>
        <v>0</v>
      </c>
      <c r="Z77" s="22">
        <f t="shared" si="4"/>
        <v>0</v>
      </c>
      <c r="AA77" s="39"/>
      <c r="AB77" s="40"/>
      <c r="AC77" s="41"/>
      <c r="AD77" s="41"/>
      <c r="AE77" s="40"/>
      <c r="AF77" s="41"/>
      <c r="AG77" s="42"/>
      <c r="AH77" s="3"/>
      <c r="AI77" s="150">
        <f>(R77-J77)/J77</f>
        <v>-1</v>
      </c>
      <c r="AJ77" s="151">
        <f>S77-K77</f>
        <v>-1129280</v>
      </c>
      <c r="AK77" s="152">
        <f>T77-L77</f>
        <v>-352632</v>
      </c>
      <c r="AL77" s="153">
        <f>U77-M77</f>
        <v>0</v>
      </c>
    </row>
    <row r="78" spans="1:38" ht="12.75" customHeight="1" thickBot="1" x14ac:dyDescent="0.25">
      <c r="A78" s="15"/>
      <c r="B78" s="15"/>
      <c r="C78" s="15">
        <v>37</v>
      </c>
      <c r="D78" s="16">
        <f>Reference!B316</f>
        <v>87.915199999999999</v>
      </c>
      <c r="E78" s="17">
        <f>Reference!C316</f>
        <v>28.490500000000001</v>
      </c>
      <c r="F78" s="17">
        <f>Reference!D316</f>
        <v>34.536099999999998</v>
      </c>
      <c r="G78" s="17">
        <f>Reference!E316</f>
        <v>35.006300000000003</v>
      </c>
      <c r="H78" s="17">
        <f>Reference!F316</f>
        <v>1670</v>
      </c>
      <c r="I78" s="17">
        <f>Reference!G316</f>
        <v>1.498</v>
      </c>
      <c r="J78" s="17">
        <f t="shared" si="5"/>
        <v>0.46388888888888891</v>
      </c>
      <c r="K78" s="26">
        <f>Reference!H316</f>
        <v>1128440</v>
      </c>
      <c r="L78" s="27">
        <f>Reference!I316</f>
        <v>350320</v>
      </c>
      <c r="N78" s="16">
        <f>Test!B316</f>
        <v>0</v>
      </c>
      <c r="O78" s="17">
        <f>Test!C316</f>
        <v>0</v>
      </c>
      <c r="P78" s="17">
        <f>Test!D316</f>
        <v>0</v>
      </c>
      <c r="Q78" s="17">
        <f>Test!E316</f>
        <v>0</v>
      </c>
      <c r="R78" s="17">
        <f>Test!F316</f>
        <v>0</v>
      </c>
      <c r="S78" s="17">
        <f>Test!G316</f>
        <v>0</v>
      </c>
      <c r="T78" s="17">
        <f t="shared" si="6"/>
        <v>0</v>
      </c>
      <c r="U78" s="28">
        <f>Test!H316</f>
        <v>0</v>
      </c>
      <c r="V78" s="29">
        <f>Test!I316</f>
        <v>0</v>
      </c>
      <c r="W78" s="17">
        <f t="shared" si="7"/>
        <v>0</v>
      </c>
      <c r="X78" s="17">
        <f t="shared" si="8"/>
        <v>0</v>
      </c>
      <c r="Y78" s="17">
        <f t="shared" si="4"/>
        <v>0</v>
      </c>
      <c r="Z78" s="23">
        <f t="shared" si="4"/>
        <v>0</v>
      </c>
      <c r="AA78" s="48"/>
      <c r="AB78" s="43"/>
      <c r="AC78" s="44"/>
      <c r="AD78" s="44"/>
      <c r="AE78" s="43"/>
      <c r="AF78" s="44"/>
      <c r="AG78" s="45"/>
      <c r="AH78" s="158"/>
      <c r="AI78" s="154">
        <f>(R78-J78)/J78</f>
        <v>-1</v>
      </c>
      <c r="AJ78" s="155">
        <f>S78-K78</f>
        <v>-1128440</v>
      </c>
      <c r="AK78" s="156">
        <f>T78-L78</f>
        <v>-350320</v>
      </c>
      <c r="AL78" s="157">
        <f>U78-M78</f>
        <v>0</v>
      </c>
    </row>
    <row r="79" spans="1:38" x14ac:dyDescent="0.2">
      <c r="A79" s="9" t="s">
        <v>24</v>
      </c>
      <c r="B79" s="9" t="s">
        <v>88</v>
      </c>
      <c r="C79" s="9">
        <v>22</v>
      </c>
      <c r="D79" s="10">
        <f>Reference!B317</f>
        <v>1685.5504000000001</v>
      </c>
      <c r="E79" s="11">
        <f>Reference!C317</f>
        <v>42.9908</v>
      </c>
      <c r="F79" s="11">
        <f>Reference!D317</f>
        <v>47.223500000000001</v>
      </c>
      <c r="G79" s="11">
        <f>Reference!E317</f>
        <v>48.460999999999999</v>
      </c>
      <c r="H79" s="11">
        <f>Reference!F317</f>
        <v>21713</v>
      </c>
      <c r="I79" s="11">
        <f>Reference!G317</f>
        <v>20.452000000000002</v>
      </c>
      <c r="J79" s="11">
        <f t="shared" si="5"/>
        <v>6.0313888888888885</v>
      </c>
      <c r="K79" s="24">
        <f>Reference!H317</f>
        <v>2321980</v>
      </c>
      <c r="L79" s="25">
        <f>Reference!I317</f>
        <v>567748</v>
      </c>
      <c r="N79" s="10">
        <f>Test!B317</f>
        <v>0</v>
      </c>
      <c r="O79" s="11">
        <f>Test!C317</f>
        <v>0</v>
      </c>
      <c r="P79" s="11">
        <f>Test!D317</f>
        <v>0</v>
      </c>
      <c r="Q79" s="11">
        <f>Test!E317</f>
        <v>0</v>
      </c>
      <c r="R79" s="11">
        <f>Test!F317</f>
        <v>0</v>
      </c>
      <c r="S79" s="11">
        <f>Test!G317</f>
        <v>0</v>
      </c>
      <c r="T79" s="11">
        <f t="shared" si="6"/>
        <v>0</v>
      </c>
      <c r="U79" s="24">
        <f>Test!H317</f>
        <v>0</v>
      </c>
      <c r="V79" s="25">
        <f>Test!I317</f>
        <v>0</v>
      </c>
      <c r="W79" s="11">
        <f t="shared" si="7"/>
        <v>0</v>
      </c>
      <c r="X79" s="11">
        <f t="shared" si="8"/>
        <v>0</v>
      </c>
      <c r="Y79" s="11">
        <f t="shared" si="4"/>
        <v>0</v>
      </c>
      <c r="Z79" s="21">
        <f t="shared" si="4"/>
        <v>0</v>
      </c>
      <c r="AA79" s="35"/>
      <c r="AB79" s="36" t="e">
        <f>bdrate($D79:$D82,E79:E82,$N79:$N82,O79:O82)</f>
        <v>#VALUE!</v>
      </c>
      <c r="AC79" s="37" t="e">
        <f>bdrate($D79:$D82,F79:F82,$N79:$N82,P79:P82)</f>
        <v>#VALUE!</v>
      </c>
      <c r="AD79" s="38" t="e">
        <f>bdrate($D79:$D82,G79:G82,$N79:$N82,Q79:Q82)</f>
        <v>#VALUE!</v>
      </c>
      <c r="AE79" s="36" t="e">
        <f>bdrateOld($D79:$D82,E79:E82,$N79:$N82,O79:O82)</f>
        <v>#VALUE!</v>
      </c>
      <c r="AF79" s="37" t="e">
        <f>bdrateOld($D79:$D82,F79:F82,$N79:$N82,P79:P82)</f>
        <v>#VALUE!</v>
      </c>
      <c r="AG79" s="38" t="e">
        <f>bdrateOld($D79:$D82,G79:G82,$N79:$N82,Q79:Q82)</f>
        <v>#VALUE!</v>
      </c>
      <c r="AH79" s="41" t="e">
        <f>(AB79*6+AC79+AD79)/8</f>
        <v>#VALUE!</v>
      </c>
      <c r="AI79" s="146">
        <f>(R79-J79)/J79</f>
        <v>-1</v>
      </c>
      <c r="AJ79" s="147">
        <f>S79-K79</f>
        <v>-2321980</v>
      </c>
      <c r="AK79" s="148">
        <f>T79-L79</f>
        <v>-567748</v>
      </c>
      <c r="AL79" s="149">
        <f>U79-M79</f>
        <v>0</v>
      </c>
    </row>
    <row r="80" spans="1:38" x14ac:dyDescent="0.2">
      <c r="A80" s="12" t="s">
        <v>115</v>
      </c>
      <c r="B80" s="12"/>
      <c r="C80" s="12">
        <v>27</v>
      </c>
      <c r="D80" s="13">
        <f>Reference!B318</f>
        <v>664.92960000000005</v>
      </c>
      <c r="E80" s="14">
        <f>Reference!C318</f>
        <v>40.880200000000002</v>
      </c>
      <c r="F80" s="14">
        <f>Reference!D318</f>
        <v>45.518000000000001</v>
      </c>
      <c r="G80" s="14">
        <f>Reference!E318</f>
        <v>46.54</v>
      </c>
      <c r="H80" s="14">
        <f>Reference!F318</f>
        <v>14283</v>
      </c>
      <c r="I80" s="14">
        <f>Reference!G318</f>
        <v>13.569000000000001</v>
      </c>
      <c r="J80" s="14">
        <f t="shared" si="5"/>
        <v>3.9674999999999998</v>
      </c>
      <c r="K80" s="26">
        <f>Reference!H318</f>
        <v>2310592</v>
      </c>
      <c r="L80" s="27">
        <f>Reference!I318</f>
        <v>562016</v>
      </c>
      <c r="N80" s="13">
        <f>Test!B318</f>
        <v>0</v>
      </c>
      <c r="O80" s="14">
        <f>Test!C318</f>
        <v>0</v>
      </c>
      <c r="P80" s="14">
        <f>Test!D318</f>
        <v>0</v>
      </c>
      <c r="Q80" s="14">
        <f>Test!E318</f>
        <v>0</v>
      </c>
      <c r="R80" s="14">
        <f>Test!F318</f>
        <v>0</v>
      </c>
      <c r="S80" s="14">
        <f>Test!G318</f>
        <v>0</v>
      </c>
      <c r="T80" s="14">
        <f t="shared" si="6"/>
        <v>0</v>
      </c>
      <c r="U80" s="26">
        <f>Test!H318</f>
        <v>0</v>
      </c>
      <c r="V80" s="27">
        <f>Test!I318</f>
        <v>0</v>
      </c>
      <c r="W80" s="14">
        <f t="shared" si="7"/>
        <v>0</v>
      </c>
      <c r="X80" s="14">
        <f t="shared" si="8"/>
        <v>0</v>
      </c>
      <c r="Y80" s="14">
        <f t="shared" si="4"/>
        <v>0</v>
      </c>
      <c r="Z80" s="22">
        <f t="shared" si="4"/>
        <v>0</v>
      </c>
      <c r="AA80" s="39"/>
      <c r="AB80" s="40"/>
      <c r="AC80" s="41"/>
      <c r="AD80" s="42"/>
      <c r="AE80" s="40"/>
      <c r="AF80" s="41"/>
      <c r="AG80" s="42"/>
      <c r="AH80" s="41"/>
      <c r="AI80" s="150">
        <f>(R80-J80)/J80</f>
        <v>-1</v>
      </c>
      <c r="AJ80" s="151">
        <f>S80-K80</f>
        <v>-2310592</v>
      </c>
      <c r="AK80" s="152">
        <f>T80-L80</f>
        <v>-562016</v>
      </c>
      <c r="AL80" s="153">
        <f>U80-M80</f>
        <v>0</v>
      </c>
    </row>
    <row r="81" spans="1:38" x14ac:dyDescent="0.2">
      <c r="A81" s="12"/>
      <c r="B81" s="12"/>
      <c r="C81" s="12">
        <v>32</v>
      </c>
      <c r="D81" s="13">
        <f>Reference!B319</f>
        <v>337.30880000000002</v>
      </c>
      <c r="E81" s="14">
        <f>Reference!C319</f>
        <v>38.473100000000002</v>
      </c>
      <c r="F81" s="14">
        <f>Reference!D319</f>
        <v>43.608499999999999</v>
      </c>
      <c r="G81" s="14">
        <f>Reference!E319</f>
        <v>44.427999999999997</v>
      </c>
      <c r="H81" s="14">
        <f>Reference!F319</f>
        <v>11424</v>
      </c>
      <c r="I81" s="14">
        <f>Reference!G319</f>
        <v>9.3469999999999995</v>
      </c>
      <c r="J81" s="14">
        <f t="shared" si="5"/>
        <v>3.1733333333333333</v>
      </c>
      <c r="K81" s="26">
        <f>Reference!H319</f>
        <v>2307092</v>
      </c>
      <c r="L81" s="27">
        <f>Reference!I319</f>
        <v>561672</v>
      </c>
      <c r="N81" s="13">
        <f>Test!B319</f>
        <v>0</v>
      </c>
      <c r="O81" s="14">
        <f>Test!C319</f>
        <v>0</v>
      </c>
      <c r="P81" s="14">
        <f>Test!D319</f>
        <v>0</v>
      </c>
      <c r="Q81" s="14">
        <f>Test!E319</f>
        <v>0</v>
      </c>
      <c r="R81" s="14">
        <f>Test!F319</f>
        <v>0</v>
      </c>
      <c r="S81" s="14">
        <f>Test!G319</f>
        <v>0</v>
      </c>
      <c r="T81" s="14">
        <f t="shared" si="6"/>
        <v>0</v>
      </c>
      <c r="U81" s="26">
        <f>Test!H319</f>
        <v>0</v>
      </c>
      <c r="V81" s="27">
        <f>Test!I319</f>
        <v>0</v>
      </c>
      <c r="W81" s="14">
        <f t="shared" si="7"/>
        <v>0</v>
      </c>
      <c r="X81" s="14">
        <f t="shared" si="8"/>
        <v>0</v>
      </c>
      <c r="Y81" s="14">
        <f t="shared" si="4"/>
        <v>0</v>
      </c>
      <c r="Z81" s="22">
        <f t="shared" si="4"/>
        <v>0</v>
      </c>
      <c r="AA81" s="39"/>
      <c r="AB81" s="40"/>
      <c r="AC81" s="41"/>
      <c r="AD81" s="42"/>
      <c r="AE81" s="40"/>
      <c r="AF81" s="41"/>
      <c r="AG81" s="42"/>
      <c r="AH81" s="41"/>
      <c r="AI81" s="150">
        <f>(R81-J81)/J81</f>
        <v>-1</v>
      </c>
      <c r="AJ81" s="151">
        <f>S81-K81</f>
        <v>-2307092</v>
      </c>
      <c r="AK81" s="152">
        <f>T81-L81</f>
        <v>-561672</v>
      </c>
      <c r="AL81" s="153">
        <f>U81-M81</f>
        <v>0</v>
      </c>
    </row>
    <row r="82" spans="1:38" ht="12.75" customHeight="1" thickBot="1" x14ac:dyDescent="0.25">
      <c r="A82" s="12"/>
      <c r="B82" s="15"/>
      <c r="C82" s="15">
        <v>37</v>
      </c>
      <c r="D82" s="16">
        <f>Reference!B320</f>
        <v>184.61920000000001</v>
      </c>
      <c r="E82" s="17">
        <f>Reference!C320</f>
        <v>35.781100000000002</v>
      </c>
      <c r="F82" s="17">
        <f>Reference!D320</f>
        <v>41.954099999999997</v>
      </c>
      <c r="G82" s="17">
        <f>Reference!E320</f>
        <v>42.755000000000003</v>
      </c>
      <c r="H82" s="17">
        <f>Reference!F320</f>
        <v>9001</v>
      </c>
      <c r="I82" s="17">
        <f>Reference!G320</f>
        <v>6.59</v>
      </c>
      <c r="J82" s="17">
        <f t="shared" si="5"/>
        <v>2.5002777777777778</v>
      </c>
      <c r="K82" s="26">
        <f>Reference!H320</f>
        <v>2307624</v>
      </c>
      <c r="L82" s="27">
        <f>Reference!I320</f>
        <v>555404</v>
      </c>
      <c r="N82" s="16">
        <f>Test!B320</f>
        <v>0</v>
      </c>
      <c r="O82" s="17">
        <f>Test!C320</f>
        <v>0</v>
      </c>
      <c r="P82" s="17">
        <f>Test!D320</f>
        <v>0</v>
      </c>
      <c r="Q82" s="17">
        <f>Test!E320</f>
        <v>0</v>
      </c>
      <c r="R82" s="17">
        <f>Test!F320</f>
        <v>0</v>
      </c>
      <c r="S82" s="17">
        <f>Test!G320</f>
        <v>0</v>
      </c>
      <c r="T82" s="17">
        <f t="shared" si="6"/>
        <v>0</v>
      </c>
      <c r="U82" s="28">
        <f>Test!H320</f>
        <v>0</v>
      </c>
      <c r="V82" s="29">
        <f>Test!I320</f>
        <v>0</v>
      </c>
      <c r="W82" s="14">
        <f t="shared" si="7"/>
        <v>0</v>
      </c>
      <c r="X82" s="14">
        <f t="shared" si="8"/>
        <v>0</v>
      </c>
      <c r="Y82" s="14">
        <f t="shared" si="4"/>
        <v>0</v>
      </c>
      <c r="Z82" s="22">
        <f t="shared" si="4"/>
        <v>0</v>
      </c>
      <c r="AA82" s="39"/>
      <c r="AB82" s="43"/>
      <c r="AC82" s="44"/>
      <c r="AD82" s="45"/>
      <c r="AE82" s="43"/>
      <c r="AF82" s="44"/>
      <c r="AG82" s="45"/>
      <c r="AH82" s="41"/>
      <c r="AI82" s="154">
        <f>(R82-J82)/J82</f>
        <v>-1</v>
      </c>
      <c r="AJ82" s="155">
        <f>S82-K82</f>
        <v>-2307624</v>
      </c>
      <c r="AK82" s="156">
        <f>T82-L82</f>
        <v>-555404</v>
      </c>
      <c r="AL82" s="157">
        <f>U82-M82</f>
        <v>0</v>
      </c>
    </row>
    <row r="83" spans="1:38" x14ac:dyDescent="0.2">
      <c r="A83" s="12"/>
      <c r="B83" s="9" t="s">
        <v>89</v>
      </c>
      <c r="C83" s="9">
        <v>22</v>
      </c>
      <c r="D83" s="10">
        <f>Reference!B321</f>
        <v>1126.2976000000001</v>
      </c>
      <c r="E83" s="11">
        <f>Reference!C321</f>
        <v>43.224200000000003</v>
      </c>
      <c r="F83" s="11">
        <f>Reference!D321</f>
        <v>48.6858</v>
      </c>
      <c r="G83" s="11">
        <f>Reference!E321</f>
        <v>49.363999999999997</v>
      </c>
      <c r="H83" s="11">
        <f>Reference!F321</f>
        <v>22237</v>
      </c>
      <c r="I83" s="11">
        <f>Reference!G321</f>
        <v>17.512</v>
      </c>
      <c r="J83" s="11">
        <f t="shared" si="5"/>
        <v>6.1769444444444446</v>
      </c>
      <c r="K83" s="24">
        <f>Reference!H321</f>
        <v>2307328</v>
      </c>
      <c r="L83" s="25">
        <f>Reference!I321</f>
        <v>556212</v>
      </c>
      <c r="N83" s="10">
        <f>Test!B321</f>
        <v>0</v>
      </c>
      <c r="O83" s="11">
        <f>Test!C321</f>
        <v>0</v>
      </c>
      <c r="P83" s="11">
        <f>Test!D321</f>
        <v>0</v>
      </c>
      <c r="Q83" s="11">
        <f>Test!E321</f>
        <v>0</v>
      </c>
      <c r="R83" s="11">
        <f>Test!F321</f>
        <v>0</v>
      </c>
      <c r="S83" s="11">
        <f>Test!G321</f>
        <v>0</v>
      </c>
      <c r="T83" s="11">
        <f t="shared" si="6"/>
        <v>0</v>
      </c>
      <c r="U83" s="24">
        <f>Test!H321</f>
        <v>0</v>
      </c>
      <c r="V83" s="25">
        <f>Test!I321</f>
        <v>0</v>
      </c>
      <c r="W83" s="14">
        <f t="shared" si="7"/>
        <v>0</v>
      </c>
      <c r="X83" s="14">
        <f t="shared" si="8"/>
        <v>0</v>
      </c>
      <c r="Y83" s="14">
        <f t="shared" si="4"/>
        <v>0</v>
      </c>
      <c r="Z83" s="22">
        <f t="shared" si="4"/>
        <v>0</v>
      </c>
      <c r="AA83" s="39"/>
      <c r="AB83" s="36" t="e">
        <f>bdrate($D83:$D86,E83:E86,$N83:$N86,O83:O86)</f>
        <v>#VALUE!</v>
      </c>
      <c r="AC83" s="37" t="e">
        <f>bdrate($D83:$D86,F83:F86,$N83:$N86,P83:P86)</f>
        <v>#VALUE!</v>
      </c>
      <c r="AD83" s="37" t="e">
        <f>bdrate($D83:$D86,G83:G86,$N83:$N86,Q83:Q86)</f>
        <v>#VALUE!</v>
      </c>
      <c r="AE83" s="46" t="e">
        <f>bdrateOld($D83:$D86,E83:E86,$N83:$N86,O83:O86)</f>
        <v>#VALUE!</v>
      </c>
      <c r="AF83" s="47" t="e">
        <f>bdrateOld($D83:$D86,F83:F86,$N83:$N86,P83:P86)</f>
        <v>#VALUE!</v>
      </c>
      <c r="AG83" s="49" t="e">
        <f>bdrateOld($D83:$D86,G83:G86,$N83:$N86,Q83:Q86)</f>
        <v>#VALUE!</v>
      </c>
      <c r="AH83" s="41" t="e">
        <f>(AB83*6+AC83+AD83)/8</f>
        <v>#VALUE!</v>
      </c>
      <c r="AI83" s="146">
        <f>(R83-J83)/J83</f>
        <v>-1</v>
      </c>
      <c r="AJ83" s="147">
        <f>S83-K83</f>
        <v>-2307328</v>
      </c>
      <c r="AK83" s="148">
        <f>T83-L83</f>
        <v>-556212</v>
      </c>
      <c r="AL83" s="149">
        <f>U83-M83</f>
        <v>0</v>
      </c>
    </row>
    <row r="84" spans="1:38" x14ac:dyDescent="0.2">
      <c r="A84" s="12"/>
      <c r="B84" s="12"/>
      <c r="C84" s="12">
        <v>27</v>
      </c>
      <c r="D84" s="13">
        <f>Reference!B322</f>
        <v>344.38240000000002</v>
      </c>
      <c r="E84" s="14">
        <f>Reference!C322</f>
        <v>41.740699999999997</v>
      </c>
      <c r="F84" s="14">
        <f>Reference!D322</f>
        <v>47.466900000000003</v>
      </c>
      <c r="G84" s="14">
        <f>Reference!E322</f>
        <v>47.986499999999999</v>
      </c>
      <c r="H84" s="14">
        <f>Reference!F322</f>
        <v>13105</v>
      </c>
      <c r="I84" s="14">
        <f>Reference!G322</f>
        <v>11.128</v>
      </c>
      <c r="J84" s="14">
        <f t="shared" si="5"/>
        <v>3.6402777777777779</v>
      </c>
      <c r="K84" s="26">
        <f>Reference!H322</f>
        <v>2306112</v>
      </c>
      <c r="L84" s="27">
        <f>Reference!I322</f>
        <v>552004</v>
      </c>
      <c r="N84" s="13">
        <f>Test!B322</f>
        <v>0</v>
      </c>
      <c r="O84" s="14">
        <f>Test!C322</f>
        <v>0</v>
      </c>
      <c r="P84" s="14">
        <f>Test!D322</f>
        <v>0</v>
      </c>
      <c r="Q84" s="14">
        <f>Test!E322</f>
        <v>0</v>
      </c>
      <c r="R84" s="14">
        <f>Test!F322</f>
        <v>0</v>
      </c>
      <c r="S84" s="14">
        <f>Test!G322</f>
        <v>0</v>
      </c>
      <c r="T84" s="14">
        <f t="shared" si="6"/>
        <v>0</v>
      </c>
      <c r="U84" s="26">
        <f>Test!H322</f>
        <v>0</v>
      </c>
      <c r="V84" s="27">
        <f>Test!I322</f>
        <v>0</v>
      </c>
      <c r="W84" s="14">
        <f t="shared" si="7"/>
        <v>0</v>
      </c>
      <c r="X84" s="14">
        <f t="shared" si="8"/>
        <v>0</v>
      </c>
      <c r="Y84" s="14">
        <f t="shared" si="4"/>
        <v>0</v>
      </c>
      <c r="Z84" s="22">
        <f t="shared" si="4"/>
        <v>0</v>
      </c>
      <c r="AA84" s="39"/>
      <c r="AB84" s="40"/>
      <c r="AC84" s="41"/>
      <c r="AD84" s="41"/>
      <c r="AE84" s="40"/>
      <c r="AF84" s="41"/>
      <c r="AG84" s="42"/>
      <c r="AH84" s="41"/>
      <c r="AI84" s="150">
        <f>(R84-J84)/J84</f>
        <v>-1</v>
      </c>
      <c r="AJ84" s="151">
        <f>S84-K84</f>
        <v>-2306112</v>
      </c>
      <c r="AK84" s="152">
        <f>T84-L84</f>
        <v>-552004</v>
      </c>
      <c r="AL84" s="153">
        <f>U84-M84</f>
        <v>0</v>
      </c>
    </row>
    <row r="85" spans="1:38" x14ac:dyDescent="0.2">
      <c r="A85" s="12"/>
      <c r="B85" s="12"/>
      <c r="C85" s="12">
        <v>32</v>
      </c>
      <c r="D85" s="13">
        <f>Reference!B323</f>
        <v>160.38239999999999</v>
      </c>
      <c r="E85" s="14">
        <f>Reference!C323</f>
        <v>39.941699999999997</v>
      </c>
      <c r="F85" s="14">
        <f>Reference!D323</f>
        <v>45.783099999999997</v>
      </c>
      <c r="G85" s="14">
        <f>Reference!E323</f>
        <v>46.168199999999999</v>
      </c>
      <c r="H85" s="14">
        <f>Reference!F323</f>
        <v>9277</v>
      </c>
      <c r="I85" s="14">
        <f>Reference!G323</f>
        <v>7.1539999999999999</v>
      </c>
      <c r="J85" s="14">
        <f t="shared" si="5"/>
        <v>2.5769444444444445</v>
      </c>
      <c r="K85" s="26">
        <f>Reference!H323</f>
        <v>2300832</v>
      </c>
      <c r="L85" s="27">
        <f>Reference!I323</f>
        <v>550172</v>
      </c>
      <c r="N85" s="13">
        <f>Test!B323</f>
        <v>0</v>
      </c>
      <c r="O85" s="14">
        <f>Test!C323</f>
        <v>0</v>
      </c>
      <c r="P85" s="14">
        <f>Test!D323</f>
        <v>0</v>
      </c>
      <c r="Q85" s="14">
        <f>Test!E323</f>
        <v>0</v>
      </c>
      <c r="R85" s="14">
        <f>Test!F323</f>
        <v>0</v>
      </c>
      <c r="S85" s="14">
        <f>Test!G323</f>
        <v>0</v>
      </c>
      <c r="T85" s="14">
        <f t="shared" si="6"/>
        <v>0</v>
      </c>
      <c r="U85" s="26">
        <f>Test!H323</f>
        <v>0</v>
      </c>
      <c r="V85" s="27">
        <f>Test!I323</f>
        <v>0</v>
      </c>
      <c r="W85" s="14">
        <f t="shared" si="7"/>
        <v>0</v>
      </c>
      <c r="X85" s="14">
        <f t="shared" si="8"/>
        <v>0</v>
      </c>
      <c r="Y85" s="14">
        <f t="shared" si="4"/>
        <v>0</v>
      </c>
      <c r="Z85" s="22">
        <f t="shared" si="4"/>
        <v>0</v>
      </c>
      <c r="AA85" s="39"/>
      <c r="AB85" s="40"/>
      <c r="AC85" s="41"/>
      <c r="AD85" s="41"/>
      <c r="AE85" s="40"/>
      <c r="AF85" s="41"/>
      <c r="AG85" s="42"/>
      <c r="AH85" s="41"/>
      <c r="AI85" s="150">
        <f>(R85-J85)/J85</f>
        <v>-1</v>
      </c>
      <c r="AJ85" s="151">
        <f>S85-K85</f>
        <v>-2300832</v>
      </c>
      <c r="AK85" s="152">
        <f>T85-L85</f>
        <v>-550172</v>
      </c>
      <c r="AL85" s="153">
        <f>U85-M85</f>
        <v>0</v>
      </c>
    </row>
    <row r="86" spans="1:38" ht="12.75" customHeight="1" thickBot="1" x14ac:dyDescent="0.25">
      <c r="A86" s="12"/>
      <c r="B86" s="15"/>
      <c r="C86" s="15">
        <v>37</v>
      </c>
      <c r="D86" s="16">
        <f>Reference!B324</f>
        <v>88.169600000000003</v>
      </c>
      <c r="E86" s="17">
        <f>Reference!C324</f>
        <v>37.816299999999998</v>
      </c>
      <c r="F86" s="17">
        <f>Reference!D324</f>
        <v>44.145000000000003</v>
      </c>
      <c r="G86" s="17">
        <f>Reference!E324</f>
        <v>44.551699999999997</v>
      </c>
      <c r="H86" s="17">
        <f>Reference!F324</f>
        <v>7236</v>
      </c>
      <c r="I86" s="17">
        <f>Reference!G324</f>
        <v>5.6449999999999996</v>
      </c>
      <c r="J86" s="17">
        <f t="shared" si="5"/>
        <v>2.0099999999999998</v>
      </c>
      <c r="K86" s="26">
        <f>Reference!H324</f>
        <v>2300528</v>
      </c>
      <c r="L86" s="27">
        <f>Reference!I324</f>
        <v>547112</v>
      </c>
      <c r="N86" s="16">
        <f>Test!B324</f>
        <v>0</v>
      </c>
      <c r="O86" s="17">
        <f>Test!C324</f>
        <v>0</v>
      </c>
      <c r="P86" s="17">
        <f>Test!D324</f>
        <v>0</v>
      </c>
      <c r="Q86" s="17">
        <f>Test!E324</f>
        <v>0</v>
      </c>
      <c r="R86" s="17">
        <f>Test!F324</f>
        <v>0</v>
      </c>
      <c r="S86" s="17">
        <f>Test!G324</f>
        <v>0</v>
      </c>
      <c r="T86" s="17">
        <f t="shared" si="6"/>
        <v>0</v>
      </c>
      <c r="U86" s="28">
        <f>Test!H324</f>
        <v>0</v>
      </c>
      <c r="V86" s="29">
        <f>Test!I324</f>
        <v>0</v>
      </c>
      <c r="W86" s="14">
        <f t="shared" si="7"/>
        <v>0</v>
      </c>
      <c r="X86" s="14">
        <f t="shared" si="8"/>
        <v>0</v>
      </c>
      <c r="Y86" s="14">
        <f t="shared" si="4"/>
        <v>0</v>
      </c>
      <c r="Z86" s="22">
        <f t="shared" si="4"/>
        <v>0</v>
      </c>
      <c r="AA86" s="39"/>
      <c r="AB86" s="43"/>
      <c r="AC86" s="44"/>
      <c r="AD86" s="44"/>
      <c r="AE86" s="43"/>
      <c r="AF86" s="44"/>
      <c r="AG86" s="45"/>
      <c r="AH86" s="41"/>
      <c r="AI86" s="154">
        <f>(R86-J86)/J86</f>
        <v>-1</v>
      </c>
      <c r="AJ86" s="155">
        <f>S86-K86</f>
        <v>-2300528</v>
      </c>
      <c r="AK86" s="156">
        <f>T86-L86</f>
        <v>-547112</v>
      </c>
      <c r="AL86" s="157">
        <f>U86-M86</f>
        <v>0</v>
      </c>
    </row>
    <row r="87" spans="1:38" x14ac:dyDescent="0.2">
      <c r="A87" s="12"/>
      <c r="B87" s="9" t="s">
        <v>90</v>
      </c>
      <c r="C87" s="9">
        <v>22</v>
      </c>
      <c r="D87" s="10">
        <f>Reference!B325</f>
        <v>1361.2064</v>
      </c>
      <c r="E87" s="11">
        <f>Reference!C325</f>
        <v>43.683999999999997</v>
      </c>
      <c r="F87" s="11">
        <f>Reference!D325</f>
        <v>47.958500000000001</v>
      </c>
      <c r="G87" s="11">
        <f>Reference!E325</f>
        <v>48.968899999999998</v>
      </c>
      <c r="H87" s="11">
        <f>Reference!F325</f>
        <v>25162</v>
      </c>
      <c r="I87" s="11">
        <f>Reference!G325</f>
        <v>19.099</v>
      </c>
      <c r="J87" s="11">
        <f t="shared" si="5"/>
        <v>6.9894444444444446</v>
      </c>
      <c r="K87" s="24">
        <f>Reference!H325</f>
        <v>2309068</v>
      </c>
      <c r="L87" s="25">
        <f>Reference!I325</f>
        <v>571740</v>
      </c>
      <c r="N87" s="10">
        <f>Test!B325</f>
        <v>0</v>
      </c>
      <c r="O87" s="11">
        <f>Test!C325</f>
        <v>0</v>
      </c>
      <c r="P87" s="11">
        <f>Test!D325</f>
        <v>0</v>
      </c>
      <c r="Q87" s="11">
        <f>Test!E325</f>
        <v>0</v>
      </c>
      <c r="R87" s="11">
        <f>Test!F325</f>
        <v>0</v>
      </c>
      <c r="S87" s="11">
        <f>Test!G325</f>
        <v>0</v>
      </c>
      <c r="T87" s="11">
        <f t="shared" si="6"/>
        <v>0</v>
      </c>
      <c r="U87" s="24">
        <f>Test!H325</f>
        <v>0</v>
      </c>
      <c r="V87" s="25">
        <f>Test!I325</f>
        <v>0</v>
      </c>
      <c r="W87" s="14">
        <f t="shared" si="7"/>
        <v>0</v>
      </c>
      <c r="X87" s="14">
        <f t="shared" si="8"/>
        <v>0</v>
      </c>
      <c r="Y87" s="14">
        <f t="shared" si="4"/>
        <v>0</v>
      </c>
      <c r="Z87" s="22">
        <f t="shared" si="4"/>
        <v>0</v>
      </c>
      <c r="AA87" s="39"/>
      <c r="AB87" s="36" t="e">
        <f>bdrate($D87:$D90,E87:E90,$N87:$N90,O87:O90)</f>
        <v>#VALUE!</v>
      </c>
      <c r="AC87" s="37" t="e">
        <f>bdrate($D87:$D90,F87:F90,$N87:$N90,P87:P90)</f>
        <v>#VALUE!</v>
      </c>
      <c r="AD87" s="37" t="e">
        <f>bdrate($D87:$D90,G87:G90,$N87:$N90,Q87:Q90)</f>
        <v>#VALUE!</v>
      </c>
      <c r="AE87" s="46" t="e">
        <f>bdrateOld($D87:$D90,E87:E90,$N87:$N90,O87:O90)</f>
        <v>#VALUE!</v>
      </c>
      <c r="AF87" s="47" t="e">
        <f>bdrateOld($D87:$D90,F87:F90,$N87:$N90,P87:P90)</f>
        <v>#VALUE!</v>
      </c>
      <c r="AG87" s="49" t="e">
        <f>bdrateOld($D87:$D90,G87:G90,$N87:$N90,Q87:Q90)</f>
        <v>#VALUE!</v>
      </c>
      <c r="AH87" s="41" t="e">
        <f>(AB87*6+AC87+AD87)/8</f>
        <v>#VALUE!</v>
      </c>
      <c r="AI87" s="146">
        <f>(R87-J87)/J87</f>
        <v>-1</v>
      </c>
      <c r="AJ87" s="147">
        <f>S87-K87</f>
        <v>-2309068</v>
      </c>
      <c r="AK87" s="148">
        <f>T87-L87</f>
        <v>-571740</v>
      </c>
      <c r="AL87" s="149">
        <f>U87-M87</f>
        <v>0</v>
      </c>
    </row>
    <row r="88" spans="1:38" x14ac:dyDescent="0.2">
      <c r="A88" s="12"/>
      <c r="B88" s="12"/>
      <c r="C88" s="12">
        <v>27</v>
      </c>
      <c r="D88" s="13">
        <f>Reference!B326</f>
        <v>497.35199999999998</v>
      </c>
      <c r="E88" s="14">
        <f>Reference!C326</f>
        <v>41.804699999999997</v>
      </c>
      <c r="F88" s="14">
        <f>Reference!D326</f>
        <v>46.464100000000002</v>
      </c>
      <c r="G88" s="14">
        <f>Reference!E326</f>
        <v>47.22</v>
      </c>
      <c r="H88" s="14">
        <f>Reference!F326</f>
        <v>15482</v>
      </c>
      <c r="I88" s="14">
        <f>Reference!G326</f>
        <v>14.577999999999999</v>
      </c>
      <c r="J88" s="14">
        <f t="shared" si="5"/>
        <v>4.3005555555555555</v>
      </c>
      <c r="K88" s="26">
        <f>Reference!H326</f>
        <v>2312640</v>
      </c>
      <c r="L88" s="27">
        <f>Reference!I326</f>
        <v>557608</v>
      </c>
      <c r="N88" s="13">
        <f>Test!B326</f>
        <v>0</v>
      </c>
      <c r="O88" s="14">
        <f>Test!C326</f>
        <v>0</v>
      </c>
      <c r="P88" s="14">
        <f>Test!D326</f>
        <v>0</v>
      </c>
      <c r="Q88" s="14">
        <f>Test!E326</f>
        <v>0</v>
      </c>
      <c r="R88" s="14">
        <f>Test!F326</f>
        <v>0</v>
      </c>
      <c r="S88" s="14">
        <f>Test!G326</f>
        <v>0</v>
      </c>
      <c r="T88" s="14">
        <f t="shared" si="6"/>
        <v>0</v>
      </c>
      <c r="U88" s="26">
        <f>Test!H326</f>
        <v>0</v>
      </c>
      <c r="V88" s="27">
        <f>Test!I326</f>
        <v>0</v>
      </c>
      <c r="W88" s="14">
        <f t="shared" si="7"/>
        <v>0</v>
      </c>
      <c r="X88" s="14">
        <f t="shared" si="8"/>
        <v>0</v>
      </c>
      <c r="Y88" s="14">
        <f t="shared" si="4"/>
        <v>0</v>
      </c>
      <c r="Z88" s="22">
        <f t="shared" si="4"/>
        <v>0</v>
      </c>
      <c r="AA88" s="39"/>
      <c r="AB88" s="40"/>
      <c r="AC88" s="41"/>
      <c r="AD88" s="41"/>
      <c r="AE88" s="40"/>
      <c r="AF88" s="41"/>
      <c r="AG88" s="42"/>
      <c r="AH88" s="41"/>
      <c r="AI88" s="150">
        <f>(R88-J88)/J88</f>
        <v>-1</v>
      </c>
      <c r="AJ88" s="151">
        <f>S88-K88</f>
        <v>-2312640</v>
      </c>
      <c r="AK88" s="152">
        <f>T88-L88</f>
        <v>-557608</v>
      </c>
      <c r="AL88" s="153">
        <f>U88-M88</f>
        <v>0</v>
      </c>
    </row>
    <row r="89" spans="1:38" x14ac:dyDescent="0.2">
      <c r="A89" s="12"/>
      <c r="B89" s="12"/>
      <c r="C89" s="12">
        <v>32</v>
      </c>
      <c r="D89" s="13">
        <f>Reference!B327</f>
        <v>231.72800000000001</v>
      </c>
      <c r="E89" s="14">
        <f>Reference!C327</f>
        <v>39.627200000000002</v>
      </c>
      <c r="F89" s="14">
        <f>Reference!D327</f>
        <v>44.738900000000001</v>
      </c>
      <c r="G89" s="14">
        <f>Reference!E327</f>
        <v>45.323799999999999</v>
      </c>
      <c r="H89" s="14">
        <f>Reference!F327</f>
        <v>10832</v>
      </c>
      <c r="I89" s="14">
        <f>Reference!G327</f>
        <v>10.571999999999999</v>
      </c>
      <c r="J89" s="14">
        <f t="shared" si="5"/>
        <v>3.0088888888888889</v>
      </c>
      <c r="K89" s="26">
        <f>Reference!H327</f>
        <v>2304072</v>
      </c>
      <c r="L89" s="27">
        <f>Reference!I327</f>
        <v>555392</v>
      </c>
      <c r="N89" s="13">
        <f>Test!B327</f>
        <v>0</v>
      </c>
      <c r="O89" s="14">
        <f>Test!C327</f>
        <v>0</v>
      </c>
      <c r="P89" s="14">
        <f>Test!D327</f>
        <v>0</v>
      </c>
      <c r="Q89" s="14">
        <f>Test!E327</f>
        <v>0</v>
      </c>
      <c r="R89" s="14">
        <f>Test!F327</f>
        <v>0</v>
      </c>
      <c r="S89" s="14">
        <f>Test!G327</f>
        <v>0</v>
      </c>
      <c r="T89" s="14">
        <f t="shared" si="6"/>
        <v>0</v>
      </c>
      <c r="U89" s="26">
        <f>Test!H327</f>
        <v>0</v>
      </c>
      <c r="V89" s="27">
        <f>Test!I327</f>
        <v>0</v>
      </c>
      <c r="W89" s="14">
        <f t="shared" si="7"/>
        <v>0</v>
      </c>
      <c r="X89" s="14">
        <f t="shared" si="8"/>
        <v>0</v>
      </c>
      <c r="Y89" s="14">
        <f t="shared" si="4"/>
        <v>0</v>
      </c>
      <c r="Z89" s="22">
        <f t="shared" si="4"/>
        <v>0</v>
      </c>
      <c r="AA89" s="39"/>
      <c r="AB89" s="40"/>
      <c r="AC89" s="41"/>
      <c r="AD89" s="41"/>
      <c r="AE89" s="40"/>
      <c r="AF89" s="41"/>
      <c r="AG89" s="42"/>
      <c r="AH89" s="41"/>
      <c r="AI89" s="150">
        <f>(R89-J89)/J89</f>
        <v>-1</v>
      </c>
      <c r="AJ89" s="151">
        <f>S89-K89</f>
        <v>-2304072</v>
      </c>
      <c r="AK89" s="152">
        <f>T89-L89</f>
        <v>-555392</v>
      </c>
      <c r="AL89" s="153">
        <f>U89-M89</f>
        <v>0</v>
      </c>
    </row>
    <row r="90" spans="1:38" ht="12.75" customHeight="1" thickBot="1" x14ac:dyDescent="0.25">
      <c r="A90" s="15"/>
      <c r="B90" s="15"/>
      <c r="C90" s="15">
        <v>37</v>
      </c>
      <c r="D90" s="16">
        <f>Reference!B328</f>
        <v>123.4496</v>
      </c>
      <c r="E90" s="17">
        <f>Reference!C328</f>
        <v>37.213900000000002</v>
      </c>
      <c r="F90" s="17">
        <f>Reference!D328</f>
        <v>43.0396</v>
      </c>
      <c r="G90" s="17">
        <f>Reference!E328</f>
        <v>43.690199999999997</v>
      </c>
      <c r="H90" s="17">
        <f>Reference!F328</f>
        <v>8069</v>
      </c>
      <c r="I90" s="17">
        <f>Reference!G328</f>
        <v>7.2869999999999999</v>
      </c>
      <c r="J90" s="17">
        <f t="shared" si="5"/>
        <v>2.2413888888888889</v>
      </c>
      <c r="K90" s="26">
        <f>Reference!H328</f>
        <v>2300224</v>
      </c>
      <c r="L90" s="27">
        <f>Reference!I328</f>
        <v>549908</v>
      </c>
      <c r="N90" s="16">
        <f>Test!B328</f>
        <v>0</v>
      </c>
      <c r="O90" s="17">
        <f>Test!C328</f>
        <v>0</v>
      </c>
      <c r="P90" s="17">
        <f>Test!D328</f>
        <v>0</v>
      </c>
      <c r="Q90" s="17">
        <f>Test!E328</f>
        <v>0</v>
      </c>
      <c r="R90" s="17">
        <f>Test!F328</f>
        <v>0</v>
      </c>
      <c r="S90" s="17">
        <f>Test!G328</f>
        <v>0</v>
      </c>
      <c r="T90" s="17">
        <f t="shared" si="6"/>
        <v>0</v>
      </c>
      <c r="U90" s="28">
        <f>Test!H328</f>
        <v>0</v>
      </c>
      <c r="V90" s="29">
        <f>Test!I328</f>
        <v>0</v>
      </c>
      <c r="W90" s="14">
        <f t="shared" si="7"/>
        <v>0</v>
      </c>
      <c r="X90" s="14">
        <f t="shared" si="8"/>
        <v>0</v>
      </c>
      <c r="Y90" s="14">
        <f t="shared" si="4"/>
        <v>0</v>
      </c>
      <c r="Z90" s="22">
        <f t="shared" si="4"/>
        <v>0</v>
      </c>
      <c r="AA90" s="39"/>
      <c r="AB90" s="43"/>
      <c r="AC90" s="44"/>
      <c r="AD90" s="44"/>
      <c r="AE90" s="43"/>
      <c r="AF90" s="44"/>
      <c r="AG90" s="45"/>
      <c r="AH90" s="41"/>
      <c r="AI90" s="154">
        <f>(R90-J90)/J90</f>
        <v>-1</v>
      </c>
      <c r="AJ90" s="155">
        <f>S90-K90</f>
        <v>-2300224</v>
      </c>
      <c r="AK90" s="156">
        <f>T90-L90</f>
        <v>-549908</v>
      </c>
      <c r="AL90" s="157">
        <f>U90-M90</f>
        <v>0</v>
      </c>
    </row>
    <row r="91" spans="1:38" x14ac:dyDescent="0.2">
      <c r="A91" s="9" t="s">
        <v>28</v>
      </c>
      <c r="B91" s="9" t="s">
        <v>91</v>
      </c>
      <c r="C91" s="9">
        <v>22</v>
      </c>
      <c r="D91" s="10">
        <f>Reference!B329</f>
        <v>2211.1968000000002</v>
      </c>
      <c r="E91" s="11">
        <f>Reference!C329</f>
        <v>41.628300000000003</v>
      </c>
      <c r="F91" s="11">
        <f>Reference!D329</f>
        <v>43.826599999999999</v>
      </c>
      <c r="G91" s="11">
        <f>Reference!E329</f>
        <v>44.759</v>
      </c>
      <c r="H91" s="11">
        <f>Reference!F329</f>
        <v>30455</v>
      </c>
      <c r="I91" s="11">
        <f>Reference!G329</f>
        <v>15.08</v>
      </c>
      <c r="J91" s="11">
        <f t="shared" ref="J91:J122" si="9">H91/3600</f>
        <v>8.4597222222222221</v>
      </c>
      <c r="K91" s="24">
        <f>Reference!H329</f>
        <v>1702104</v>
      </c>
      <c r="L91" s="25">
        <f>Reference!I329</f>
        <v>479640</v>
      </c>
      <c r="N91" s="10">
        <f>Test!B329</f>
        <v>0</v>
      </c>
      <c r="O91" s="11">
        <f>Test!C329</f>
        <v>0</v>
      </c>
      <c r="P91" s="11">
        <f>Test!D329</f>
        <v>0</v>
      </c>
      <c r="Q91" s="11">
        <f>Test!E329</f>
        <v>0</v>
      </c>
      <c r="R91" s="11">
        <f>Test!F329</f>
        <v>0</v>
      </c>
      <c r="S91" s="11">
        <f>Test!G329</f>
        <v>0</v>
      </c>
      <c r="T91" s="11">
        <f t="shared" ref="T91:T122" si="10">R91/3600</f>
        <v>0</v>
      </c>
      <c r="U91" s="24">
        <f>Test!H329</f>
        <v>0</v>
      </c>
      <c r="V91" s="25">
        <f>Test!I329</f>
        <v>0</v>
      </c>
      <c r="W91" s="11">
        <f t="shared" ref="W91:W122" si="11">R91/H91</f>
        <v>0</v>
      </c>
      <c r="X91" s="11">
        <f t="shared" ref="X91:X122" si="12">S91/I91</f>
        <v>0</v>
      </c>
      <c r="Y91" s="11">
        <f t="shared" si="4"/>
        <v>0</v>
      </c>
      <c r="Z91" s="21">
        <f t="shared" si="4"/>
        <v>0</v>
      </c>
      <c r="AA91" s="35"/>
      <c r="AB91" s="36" t="e">
        <f>bdrate($D91:$D94,E91:E94,$N91:$N94,O91:O94)</f>
        <v>#VALUE!</v>
      </c>
      <c r="AC91" s="37" t="e">
        <f>bdrate($D91:$D94,F91:F94,$N91:$N94,P91:P94)</f>
        <v>#VALUE!</v>
      </c>
      <c r="AD91" s="38" t="e">
        <f>bdrate($D91:$D94,G91:G94,$N91:$N94,Q91:Q94)</f>
        <v>#VALUE!</v>
      </c>
      <c r="AE91" s="36" t="e">
        <f>bdrateOld($D91:$D94,E91:E94,$N91:$N94,O91:O94)</f>
        <v>#VALUE!</v>
      </c>
      <c r="AF91" s="37" t="e">
        <f>bdrateOld($D91:$D94,F91:F94,$N91:$N94,P91:P94)</f>
        <v>#VALUE!</v>
      </c>
      <c r="AG91" s="38" t="e">
        <f>bdrateOld($D91:$D94,G91:G94,$N91:$N94,Q91:Q94)</f>
        <v>#VALUE!</v>
      </c>
    </row>
    <row r="92" spans="1:38" x14ac:dyDescent="0.2">
      <c r="A92" s="12"/>
      <c r="C92" s="12">
        <v>27</v>
      </c>
      <c r="D92" s="13">
        <f>Reference!B330</f>
        <v>984.25120000000004</v>
      </c>
      <c r="E92" s="14">
        <f>Reference!C330</f>
        <v>38.365699999999997</v>
      </c>
      <c r="F92" s="14">
        <f>Reference!D330</f>
        <v>41.207700000000003</v>
      </c>
      <c r="G92" s="14">
        <f>Reference!E330</f>
        <v>41.664400000000001</v>
      </c>
      <c r="H92" s="14">
        <f>Reference!F330</f>
        <v>16312</v>
      </c>
      <c r="I92" s="14">
        <f>Reference!G330</f>
        <v>10.374000000000001</v>
      </c>
      <c r="J92" s="14">
        <f t="shared" si="9"/>
        <v>4.5311111111111115</v>
      </c>
      <c r="K92" s="26">
        <f>Reference!H330</f>
        <v>1697956</v>
      </c>
      <c r="L92" s="27">
        <f>Reference!I330</f>
        <v>468036</v>
      </c>
      <c r="N92" s="13">
        <f>Test!B330</f>
        <v>0</v>
      </c>
      <c r="O92" s="14">
        <f>Test!C330</f>
        <v>0</v>
      </c>
      <c r="P92" s="14">
        <f>Test!D330</f>
        <v>0</v>
      </c>
      <c r="Q92" s="14">
        <f>Test!E330</f>
        <v>0</v>
      </c>
      <c r="R92" s="14">
        <f>Test!F330</f>
        <v>0</v>
      </c>
      <c r="S92" s="14">
        <f>Test!G330</f>
        <v>0</v>
      </c>
      <c r="T92" s="14">
        <f t="shared" si="10"/>
        <v>0</v>
      </c>
      <c r="U92" s="26">
        <f>Test!H330</f>
        <v>0</v>
      </c>
      <c r="V92" s="27">
        <f>Test!I330</f>
        <v>0</v>
      </c>
      <c r="W92" s="14">
        <f t="shared" si="11"/>
        <v>0</v>
      </c>
      <c r="X92" s="14">
        <f t="shared" si="12"/>
        <v>0</v>
      </c>
      <c r="Y92" s="14">
        <f t="shared" ref="Y92:Z122" si="13">U92/K92</f>
        <v>0</v>
      </c>
      <c r="Z92" s="22">
        <f t="shared" si="13"/>
        <v>0</v>
      </c>
      <c r="AA92" s="39"/>
      <c r="AB92" s="40"/>
      <c r="AC92" s="41"/>
      <c r="AD92" s="42"/>
      <c r="AE92" s="40"/>
      <c r="AF92" s="41"/>
      <c r="AG92" s="42"/>
    </row>
    <row r="93" spans="1:38" x14ac:dyDescent="0.2">
      <c r="A93" s="12"/>
      <c r="B93" s="12"/>
      <c r="C93" s="12">
        <v>32</v>
      </c>
      <c r="D93" s="13">
        <f>Reference!B331</f>
        <v>494.25119999999998</v>
      </c>
      <c r="E93" s="14">
        <f>Reference!C331</f>
        <v>35.328099999999999</v>
      </c>
      <c r="F93" s="14">
        <f>Reference!D331</f>
        <v>39.227499999999999</v>
      </c>
      <c r="G93" s="14">
        <f>Reference!E331</f>
        <v>39.494399999999999</v>
      </c>
      <c r="H93" s="14">
        <f>Reference!F331</f>
        <v>15037</v>
      </c>
      <c r="I93" s="14">
        <f>Reference!G331</f>
        <v>10.731</v>
      </c>
      <c r="J93" s="14">
        <f t="shared" si="9"/>
        <v>4.1769444444444446</v>
      </c>
      <c r="K93" s="26">
        <f>Reference!H331</f>
        <v>1693984</v>
      </c>
      <c r="L93" s="27">
        <f>Reference!I331</f>
        <v>461572</v>
      </c>
      <c r="N93" s="13">
        <f>Test!B331</f>
        <v>0</v>
      </c>
      <c r="O93" s="14">
        <f>Test!C331</f>
        <v>0</v>
      </c>
      <c r="P93" s="14">
        <f>Test!D331</f>
        <v>0</v>
      </c>
      <c r="Q93" s="14">
        <f>Test!E331</f>
        <v>0</v>
      </c>
      <c r="R93" s="14">
        <f>Test!F331</f>
        <v>0</v>
      </c>
      <c r="S93" s="14">
        <f>Test!G331</f>
        <v>0</v>
      </c>
      <c r="T93" s="14">
        <f t="shared" si="10"/>
        <v>0</v>
      </c>
      <c r="U93" s="26">
        <f>Test!H331</f>
        <v>0</v>
      </c>
      <c r="V93" s="27">
        <f>Test!I331</f>
        <v>0</v>
      </c>
      <c r="W93" s="14">
        <f t="shared" si="11"/>
        <v>0</v>
      </c>
      <c r="X93" s="14">
        <f t="shared" si="12"/>
        <v>0</v>
      </c>
      <c r="Y93" s="14">
        <f t="shared" si="13"/>
        <v>0</v>
      </c>
      <c r="Z93" s="22">
        <f t="shared" si="13"/>
        <v>0</v>
      </c>
      <c r="AA93" s="39"/>
      <c r="AB93" s="40"/>
      <c r="AC93" s="41"/>
      <c r="AD93" s="42"/>
      <c r="AE93" s="40"/>
      <c r="AF93" s="41"/>
      <c r="AG93" s="42"/>
    </row>
    <row r="94" spans="1:38" ht="12.75" customHeight="1" thickBot="1" x14ac:dyDescent="0.25">
      <c r="A94" s="12"/>
      <c r="B94" s="15"/>
      <c r="C94" s="15">
        <v>37</v>
      </c>
      <c r="D94" s="16">
        <f>Reference!B332</f>
        <v>260.18880000000001</v>
      </c>
      <c r="E94" s="17">
        <f>Reference!C332</f>
        <v>32.657299999999999</v>
      </c>
      <c r="F94" s="17">
        <f>Reference!D332</f>
        <v>37.327599999999997</v>
      </c>
      <c r="G94" s="17">
        <f>Reference!E332</f>
        <v>37.2761</v>
      </c>
      <c r="H94" s="17">
        <f>Reference!F332</f>
        <v>7938</v>
      </c>
      <c r="I94" s="17">
        <f>Reference!G332</f>
        <v>6.8639999999999999</v>
      </c>
      <c r="J94" s="17">
        <f t="shared" si="9"/>
        <v>2.2050000000000001</v>
      </c>
      <c r="K94" s="26">
        <f>Reference!H332</f>
        <v>1695024</v>
      </c>
      <c r="L94" s="27">
        <f>Reference!I332</f>
        <v>459156</v>
      </c>
      <c r="N94" s="16">
        <f>Test!B332</f>
        <v>0</v>
      </c>
      <c r="O94" s="17">
        <f>Test!C332</f>
        <v>0</v>
      </c>
      <c r="P94" s="17">
        <f>Test!D332</f>
        <v>0</v>
      </c>
      <c r="Q94" s="17">
        <f>Test!E332</f>
        <v>0</v>
      </c>
      <c r="R94" s="17">
        <f>Test!F332</f>
        <v>0</v>
      </c>
      <c r="S94" s="17">
        <f>Test!G332</f>
        <v>0</v>
      </c>
      <c r="T94" s="17">
        <f t="shared" si="10"/>
        <v>0</v>
      </c>
      <c r="U94" s="28">
        <f>Test!H332</f>
        <v>0</v>
      </c>
      <c r="V94" s="29">
        <f>Test!I332</f>
        <v>0</v>
      </c>
      <c r="W94" s="14">
        <f t="shared" si="11"/>
        <v>0</v>
      </c>
      <c r="X94" s="14">
        <f t="shared" si="12"/>
        <v>0</v>
      </c>
      <c r="Y94" s="14">
        <f t="shared" si="13"/>
        <v>0</v>
      </c>
      <c r="Z94" s="22">
        <f t="shared" si="13"/>
        <v>0</v>
      </c>
      <c r="AA94" s="39"/>
      <c r="AB94" s="43"/>
      <c r="AC94" s="44"/>
      <c r="AD94" s="45"/>
      <c r="AE94" s="43"/>
      <c r="AF94" s="44"/>
      <c r="AG94" s="45"/>
    </row>
    <row r="95" spans="1:38" x14ac:dyDescent="0.2">
      <c r="A95" s="12"/>
      <c r="B95" s="9" t="s">
        <v>116</v>
      </c>
      <c r="C95" s="9">
        <v>22</v>
      </c>
      <c r="D95" s="10">
        <f>Reference!B333</f>
        <v>12353.5888</v>
      </c>
      <c r="E95" s="11">
        <f>Reference!C333</f>
        <v>43.110999999999997</v>
      </c>
      <c r="F95" s="11">
        <f>Reference!D333</f>
        <v>44.304000000000002</v>
      </c>
      <c r="G95" s="11">
        <f>Reference!E333</f>
        <v>44.754800000000003</v>
      </c>
      <c r="H95" s="11">
        <f>Reference!F333</f>
        <v>99683</v>
      </c>
      <c r="I95" s="11">
        <f>Reference!G333</f>
        <v>67.233999999999995</v>
      </c>
      <c r="J95" s="11">
        <f t="shared" si="9"/>
        <v>27.689722222222223</v>
      </c>
      <c r="K95" s="24">
        <f>Reference!H333</f>
        <v>4105320</v>
      </c>
      <c r="L95" s="25">
        <f>Reference!I333</f>
        <v>874076</v>
      </c>
      <c r="N95" s="10">
        <f>Test!B333</f>
        <v>0</v>
      </c>
      <c r="O95" s="11">
        <f>Test!C333</f>
        <v>0</v>
      </c>
      <c r="P95" s="11">
        <f>Test!D333</f>
        <v>0</v>
      </c>
      <c r="Q95" s="11">
        <f>Test!E333</f>
        <v>0</v>
      </c>
      <c r="R95" s="11">
        <f>Test!F333</f>
        <v>0</v>
      </c>
      <c r="S95" s="11">
        <f>Test!G333</f>
        <v>0</v>
      </c>
      <c r="T95" s="11">
        <f t="shared" si="10"/>
        <v>0</v>
      </c>
      <c r="U95" s="24">
        <f>Test!H333</f>
        <v>0</v>
      </c>
      <c r="V95" s="25">
        <f>Test!I333</f>
        <v>0</v>
      </c>
      <c r="W95" s="14">
        <f t="shared" si="11"/>
        <v>0</v>
      </c>
      <c r="X95" s="14">
        <f t="shared" si="12"/>
        <v>0</v>
      </c>
      <c r="Y95" s="14">
        <f t="shared" si="13"/>
        <v>0</v>
      </c>
      <c r="Z95" s="22">
        <f t="shared" si="13"/>
        <v>0</v>
      </c>
      <c r="AA95" s="39"/>
      <c r="AB95" s="36" t="e">
        <f>bdrate($D95:$D98,E95:E98,$N95:$N98,O95:O98)</f>
        <v>#VALUE!</v>
      </c>
      <c r="AC95" s="37" t="e">
        <f>bdrate($D95:$D98,F95:F98,$N95:$N98,P95:P98)</f>
        <v>#VALUE!</v>
      </c>
      <c r="AD95" s="37" t="e">
        <f>bdrate($D95:$D98,G95:G98,$N95:$N98,Q95:Q98)</f>
        <v>#VALUE!</v>
      </c>
      <c r="AE95" s="46" t="e">
        <f>bdrateOld($D95:$D98,E95:E98,$N95:$N98,O95:O98)</f>
        <v>#VALUE!</v>
      </c>
      <c r="AF95" s="47" t="e">
        <f>bdrateOld($D95:$D98,F95:F98,$N95:$N98,P95:P98)</f>
        <v>#VALUE!</v>
      </c>
      <c r="AG95" s="49" t="e">
        <f>bdrateOld($D95:$D98,G95:G98,$N95:$N98,Q95:Q98)</f>
        <v>#VALUE!</v>
      </c>
    </row>
    <row r="96" spans="1:38" x14ac:dyDescent="0.2">
      <c r="A96" s="12"/>
      <c r="B96" s="12"/>
      <c r="C96" s="12">
        <v>27</v>
      </c>
      <c r="D96" s="13">
        <f>Reference!B334</f>
        <v>4757.2575999999999</v>
      </c>
      <c r="E96" s="14">
        <f>Reference!C334</f>
        <v>39.4908</v>
      </c>
      <c r="F96" s="14">
        <f>Reference!D334</f>
        <v>41.291499999999999</v>
      </c>
      <c r="G96" s="14">
        <f>Reference!E334</f>
        <v>41.517899999999997</v>
      </c>
      <c r="H96" s="14">
        <f>Reference!F334</f>
        <v>64108</v>
      </c>
      <c r="I96" s="14">
        <f>Reference!G334</f>
        <v>49.366</v>
      </c>
      <c r="J96" s="14">
        <f t="shared" si="9"/>
        <v>17.807777777777776</v>
      </c>
      <c r="K96" s="26">
        <f>Reference!H334</f>
        <v>4036732</v>
      </c>
      <c r="L96" s="27">
        <f>Reference!I334</f>
        <v>863568</v>
      </c>
      <c r="N96" s="13">
        <f>Test!B334</f>
        <v>0</v>
      </c>
      <c r="O96" s="14">
        <f>Test!C334</f>
        <v>0</v>
      </c>
      <c r="P96" s="14">
        <f>Test!D334</f>
        <v>0</v>
      </c>
      <c r="Q96" s="14">
        <f>Test!E334</f>
        <v>0</v>
      </c>
      <c r="R96" s="14">
        <f>Test!F334</f>
        <v>0</v>
      </c>
      <c r="S96" s="14">
        <f>Test!G334</f>
        <v>0</v>
      </c>
      <c r="T96" s="14">
        <f t="shared" si="10"/>
        <v>0</v>
      </c>
      <c r="U96" s="26">
        <f>Test!H334</f>
        <v>0</v>
      </c>
      <c r="V96" s="27">
        <f>Test!I334</f>
        <v>0</v>
      </c>
      <c r="W96" s="14">
        <f t="shared" si="11"/>
        <v>0</v>
      </c>
      <c r="X96" s="14">
        <f t="shared" si="12"/>
        <v>0</v>
      </c>
      <c r="Y96" s="14">
        <f t="shared" si="13"/>
        <v>0</v>
      </c>
      <c r="Z96" s="22">
        <f t="shared" si="13"/>
        <v>0</v>
      </c>
      <c r="AA96" s="39"/>
      <c r="AB96" s="40"/>
      <c r="AC96" s="41"/>
      <c r="AD96" s="41"/>
      <c r="AE96" s="40"/>
      <c r="AF96" s="41"/>
      <c r="AG96" s="42"/>
    </row>
    <row r="97" spans="1:33" x14ac:dyDescent="0.2">
      <c r="A97" s="12"/>
      <c r="B97" s="12"/>
      <c r="C97" s="12">
        <v>32</v>
      </c>
      <c r="D97" s="13">
        <f>Reference!B335</f>
        <v>2076.3535999999999</v>
      </c>
      <c r="E97" s="14">
        <f>Reference!C335</f>
        <v>36.409500000000001</v>
      </c>
      <c r="F97" s="14">
        <f>Reference!D335</f>
        <v>39.180399999999999</v>
      </c>
      <c r="G97" s="14">
        <f>Reference!E335</f>
        <v>39.284100000000002</v>
      </c>
      <c r="H97" s="14">
        <f>Reference!F335</f>
        <v>47110</v>
      </c>
      <c r="I97" s="14">
        <f>Reference!G335</f>
        <v>37.584000000000003</v>
      </c>
      <c r="J97" s="14">
        <f t="shared" si="9"/>
        <v>13.08611111111111</v>
      </c>
      <c r="K97" s="26">
        <f>Reference!H335</f>
        <v>4041956</v>
      </c>
      <c r="L97" s="27">
        <f>Reference!I335</f>
        <v>832560</v>
      </c>
      <c r="N97" s="13">
        <f>Test!B335</f>
        <v>0</v>
      </c>
      <c r="O97" s="14">
        <f>Test!C335</f>
        <v>0</v>
      </c>
      <c r="P97" s="14">
        <f>Test!D335</f>
        <v>0</v>
      </c>
      <c r="Q97" s="14">
        <f>Test!E335</f>
        <v>0</v>
      </c>
      <c r="R97" s="14">
        <f>Test!F335</f>
        <v>0</v>
      </c>
      <c r="S97" s="14">
        <f>Test!G335</f>
        <v>0</v>
      </c>
      <c r="T97" s="14">
        <f t="shared" si="10"/>
        <v>0</v>
      </c>
      <c r="U97" s="26">
        <f>Test!H335</f>
        <v>0</v>
      </c>
      <c r="V97" s="27">
        <f>Test!I335</f>
        <v>0</v>
      </c>
      <c r="W97" s="14">
        <f t="shared" si="11"/>
        <v>0</v>
      </c>
      <c r="X97" s="14">
        <f t="shared" si="12"/>
        <v>0</v>
      </c>
      <c r="Y97" s="14">
        <f t="shared" si="13"/>
        <v>0</v>
      </c>
      <c r="Z97" s="22">
        <f t="shared" si="13"/>
        <v>0</v>
      </c>
      <c r="AA97" s="39"/>
      <c r="AB97" s="40"/>
      <c r="AC97" s="41"/>
      <c r="AD97" s="41"/>
      <c r="AE97" s="40"/>
      <c r="AF97" s="41"/>
      <c r="AG97" s="42"/>
    </row>
    <row r="98" spans="1:33" ht="12.75" customHeight="1" thickBot="1" x14ac:dyDescent="0.25">
      <c r="A98" s="12"/>
      <c r="B98" s="15"/>
      <c r="C98" s="15">
        <v>37</v>
      </c>
      <c r="D98" s="16">
        <f>Reference!B336</f>
        <v>1002.0048</v>
      </c>
      <c r="E98" s="17">
        <f>Reference!C336</f>
        <v>33.710599999999999</v>
      </c>
      <c r="F98" s="17">
        <f>Reference!D336</f>
        <v>37.410600000000002</v>
      </c>
      <c r="G98" s="17">
        <f>Reference!E336</f>
        <v>37.369500000000002</v>
      </c>
      <c r="H98" s="17">
        <f>Reference!F336</f>
        <v>32254</v>
      </c>
      <c r="I98" s="17">
        <f>Reference!G336</f>
        <v>24.876000000000001</v>
      </c>
      <c r="J98" s="17">
        <f t="shared" si="9"/>
        <v>8.9594444444444452</v>
      </c>
      <c r="K98" s="26">
        <f>Reference!H336</f>
        <v>4010456</v>
      </c>
      <c r="L98" s="27">
        <f>Reference!I336</f>
        <v>782564</v>
      </c>
      <c r="N98" s="16">
        <f>Test!B336</f>
        <v>0</v>
      </c>
      <c r="O98" s="17">
        <f>Test!C336</f>
        <v>0</v>
      </c>
      <c r="P98" s="17">
        <f>Test!D336</f>
        <v>0</v>
      </c>
      <c r="Q98" s="17">
        <f>Test!E336</f>
        <v>0</v>
      </c>
      <c r="R98" s="17">
        <f>Test!F336</f>
        <v>0</v>
      </c>
      <c r="S98" s="17">
        <f>Test!G336</f>
        <v>0</v>
      </c>
      <c r="T98" s="17">
        <f t="shared" si="10"/>
        <v>0</v>
      </c>
      <c r="U98" s="28">
        <f>Test!H336</f>
        <v>0</v>
      </c>
      <c r="V98" s="29">
        <f>Test!I336</f>
        <v>0</v>
      </c>
      <c r="W98" s="14">
        <f t="shared" si="11"/>
        <v>0</v>
      </c>
      <c r="X98" s="14">
        <f t="shared" si="12"/>
        <v>0</v>
      </c>
      <c r="Y98" s="14">
        <f t="shared" si="13"/>
        <v>0</v>
      </c>
      <c r="Z98" s="22">
        <f t="shared" si="13"/>
        <v>0</v>
      </c>
      <c r="AA98" s="39"/>
      <c r="AB98" s="43"/>
      <c r="AC98" s="44"/>
      <c r="AD98" s="44"/>
      <c r="AE98" s="43"/>
      <c r="AF98" s="44"/>
      <c r="AG98" s="45"/>
    </row>
    <row r="99" spans="1:33" x14ac:dyDescent="0.2">
      <c r="A99" s="12"/>
      <c r="B99" s="9" t="s">
        <v>93</v>
      </c>
      <c r="C99" s="9">
        <v>22</v>
      </c>
      <c r="D99" s="10">
        <f>Reference!B337</f>
        <v>178.72479999999999</v>
      </c>
      <c r="E99" s="11">
        <f>Reference!C337</f>
        <v>49.05</v>
      </c>
      <c r="F99" s="11">
        <f>Reference!D337</f>
        <v>48.141800000000003</v>
      </c>
      <c r="G99" s="11">
        <f>Reference!E337</f>
        <v>48.329300000000003</v>
      </c>
      <c r="H99" s="11">
        <f>Reference!F337</f>
        <v>4115</v>
      </c>
      <c r="I99" s="11">
        <f>Reference!G337</f>
        <v>1.7709999999999999</v>
      </c>
      <c r="J99" s="11">
        <f t="shared" si="9"/>
        <v>1.1430555555555555</v>
      </c>
      <c r="K99" s="24">
        <f>Reference!H337</f>
        <v>3387504</v>
      </c>
      <c r="L99" s="25">
        <f>Reference!I337</f>
        <v>528508</v>
      </c>
      <c r="N99" s="10">
        <f>Test!B337</f>
        <v>0</v>
      </c>
      <c r="O99" s="11">
        <f>Test!C337</f>
        <v>0</v>
      </c>
      <c r="P99" s="11">
        <f>Test!D337</f>
        <v>0</v>
      </c>
      <c r="Q99" s="11">
        <f>Test!E337</f>
        <v>0</v>
      </c>
      <c r="R99" s="11">
        <f>Test!F337</f>
        <v>0</v>
      </c>
      <c r="S99" s="11">
        <f>Test!G337</f>
        <v>0</v>
      </c>
      <c r="T99" s="11">
        <f t="shared" si="10"/>
        <v>0</v>
      </c>
      <c r="U99" s="24">
        <f>Test!H337</f>
        <v>0</v>
      </c>
      <c r="V99" s="25">
        <f>Test!I337</f>
        <v>0</v>
      </c>
      <c r="W99" s="14">
        <f t="shared" si="11"/>
        <v>0</v>
      </c>
      <c r="X99" s="14">
        <f t="shared" si="12"/>
        <v>0</v>
      </c>
      <c r="Y99" s="14">
        <f t="shared" si="13"/>
        <v>0</v>
      </c>
      <c r="Z99" s="22">
        <f t="shared" si="13"/>
        <v>0</v>
      </c>
      <c r="AA99" s="39"/>
      <c r="AB99" s="36" t="e">
        <f>bdrate($D99:$D102,E99:E102,$N99:$N102,O99:O102)</f>
        <v>#VALUE!</v>
      </c>
      <c r="AC99" s="37" t="e">
        <f>bdrate($D99:$D102,F99:F102,$N99:$N102,P99:P102)</f>
        <v>#VALUE!</v>
      </c>
      <c r="AD99" s="37" t="e">
        <f>bdrate($D99:$D102,G99:G102,$N99:$N102,Q99:Q102)</f>
        <v>#VALUE!</v>
      </c>
      <c r="AE99" s="46" t="e">
        <f>bdrateOld($D99:$D102,E99:E102,$N99:$N102,O99:O102)</f>
        <v>#VALUE!</v>
      </c>
      <c r="AF99" s="47" t="e">
        <f>bdrateOld($D99:$D102,F99:F102,$N99:$N102,P99:P102)</f>
        <v>#VALUE!</v>
      </c>
      <c r="AG99" s="49" t="e">
        <f>bdrateOld($D99:$D102,G99:G102,$N99:$N102,Q99:Q102)</f>
        <v>#VALUE!</v>
      </c>
    </row>
    <row r="100" spans="1:33" x14ac:dyDescent="0.2">
      <c r="A100" s="12"/>
      <c r="B100" s="12"/>
      <c r="C100" s="12">
        <v>27</v>
      </c>
      <c r="D100" s="13">
        <f>Reference!B338</f>
        <v>135.43039999999999</v>
      </c>
      <c r="E100" s="14">
        <f>Reference!C338</f>
        <v>45.122599999999998</v>
      </c>
      <c r="F100" s="14">
        <f>Reference!D338</f>
        <v>45.749299999999998</v>
      </c>
      <c r="G100" s="14">
        <f>Reference!E338</f>
        <v>45.377899999999997</v>
      </c>
      <c r="H100" s="14">
        <f>Reference!F338</f>
        <v>3752</v>
      </c>
      <c r="I100" s="14">
        <f>Reference!G338</f>
        <v>1.536</v>
      </c>
      <c r="J100" s="14">
        <f t="shared" si="9"/>
        <v>1.0422222222222222</v>
      </c>
      <c r="K100" s="26">
        <f>Reference!H338</f>
        <v>3382816</v>
      </c>
      <c r="L100" s="27">
        <f>Reference!I338</f>
        <v>523708</v>
      </c>
      <c r="N100" s="13">
        <f>Test!B338</f>
        <v>0</v>
      </c>
      <c r="O100" s="14">
        <f>Test!C338</f>
        <v>0</v>
      </c>
      <c r="P100" s="14">
        <f>Test!D338</f>
        <v>0</v>
      </c>
      <c r="Q100" s="14">
        <f>Test!E338</f>
        <v>0</v>
      </c>
      <c r="R100" s="14">
        <f>Test!F338</f>
        <v>0</v>
      </c>
      <c r="S100" s="14">
        <f>Test!G338</f>
        <v>0</v>
      </c>
      <c r="T100" s="14">
        <f t="shared" si="10"/>
        <v>0</v>
      </c>
      <c r="U100" s="26">
        <f>Test!H338</f>
        <v>0</v>
      </c>
      <c r="V100" s="27">
        <f>Test!I338</f>
        <v>0</v>
      </c>
      <c r="W100" s="14">
        <f t="shared" si="11"/>
        <v>0</v>
      </c>
      <c r="X100" s="14">
        <f t="shared" si="12"/>
        <v>0</v>
      </c>
      <c r="Y100" s="14">
        <f t="shared" si="13"/>
        <v>0</v>
      </c>
      <c r="Z100" s="22">
        <f t="shared" si="13"/>
        <v>0</v>
      </c>
      <c r="AA100" s="39"/>
      <c r="AB100" s="40"/>
      <c r="AC100" s="41"/>
      <c r="AD100" s="41"/>
      <c r="AE100" s="40"/>
      <c r="AF100" s="41"/>
      <c r="AG100" s="42"/>
    </row>
    <row r="101" spans="1:33" x14ac:dyDescent="0.2">
      <c r="A101" s="12"/>
      <c r="B101" s="12"/>
      <c r="C101" s="12">
        <v>32</v>
      </c>
      <c r="D101" s="13">
        <f>Reference!B339</f>
        <v>106.79519999999999</v>
      </c>
      <c r="E101" s="14">
        <f>Reference!C339</f>
        <v>40.788800000000002</v>
      </c>
      <c r="F101" s="14">
        <f>Reference!D339</f>
        <v>43.371600000000001</v>
      </c>
      <c r="G101" s="14">
        <f>Reference!E339</f>
        <v>42.936700000000002</v>
      </c>
      <c r="H101" s="14">
        <f>Reference!F339</f>
        <v>3732</v>
      </c>
      <c r="I101" s="14">
        <f>Reference!G339</f>
        <v>1.5740000000000001</v>
      </c>
      <c r="J101" s="14">
        <f t="shared" si="9"/>
        <v>1.0366666666666666</v>
      </c>
      <c r="K101" s="26">
        <f>Reference!H339</f>
        <v>3401768</v>
      </c>
      <c r="L101" s="27">
        <f>Reference!I339</f>
        <v>522508</v>
      </c>
      <c r="N101" s="13">
        <f>Test!B339</f>
        <v>0</v>
      </c>
      <c r="O101" s="14">
        <f>Test!C339</f>
        <v>0</v>
      </c>
      <c r="P101" s="14">
        <f>Test!D339</f>
        <v>0</v>
      </c>
      <c r="Q101" s="14">
        <f>Test!E339</f>
        <v>0</v>
      </c>
      <c r="R101" s="14">
        <f>Test!F339</f>
        <v>0</v>
      </c>
      <c r="S101" s="14">
        <f>Test!G339</f>
        <v>0</v>
      </c>
      <c r="T101" s="14">
        <f t="shared" si="10"/>
        <v>0</v>
      </c>
      <c r="U101" s="26">
        <f>Test!H339</f>
        <v>0</v>
      </c>
      <c r="V101" s="27">
        <f>Test!I339</f>
        <v>0</v>
      </c>
      <c r="W101" s="14">
        <f t="shared" si="11"/>
        <v>0</v>
      </c>
      <c r="X101" s="14">
        <f t="shared" si="12"/>
        <v>0</v>
      </c>
      <c r="Y101" s="14">
        <f t="shared" si="13"/>
        <v>0</v>
      </c>
      <c r="Z101" s="22">
        <f t="shared" si="13"/>
        <v>0</v>
      </c>
      <c r="AA101" s="39"/>
      <c r="AB101" s="40"/>
      <c r="AC101" s="41"/>
      <c r="AD101" s="41"/>
      <c r="AE101" s="40"/>
      <c r="AF101" s="41"/>
      <c r="AG101" s="42"/>
    </row>
    <row r="102" spans="1:33" ht="12.75" customHeight="1" thickBot="1" x14ac:dyDescent="0.25">
      <c r="A102" s="12"/>
      <c r="B102" s="15"/>
      <c r="C102" s="15">
        <v>37</v>
      </c>
      <c r="D102" s="16">
        <f>Reference!B340</f>
        <v>82.611199999999997</v>
      </c>
      <c r="E102" s="17">
        <f>Reference!C340</f>
        <v>35.981000000000002</v>
      </c>
      <c r="F102" s="17">
        <f>Reference!D340</f>
        <v>40.845500000000001</v>
      </c>
      <c r="G102" s="17">
        <f>Reference!E340</f>
        <v>40.534100000000002</v>
      </c>
      <c r="H102" s="17">
        <f>Reference!F340</f>
        <v>3592</v>
      </c>
      <c r="I102" s="17">
        <f>Reference!G340</f>
        <v>1.7030000000000001</v>
      </c>
      <c r="J102" s="17">
        <f t="shared" si="9"/>
        <v>0.99777777777777776</v>
      </c>
      <c r="K102" s="26">
        <f>Reference!H340</f>
        <v>3395148</v>
      </c>
      <c r="L102" s="27">
        <f>Reference!I340</f>
        <v>533400</v>
      </c>
      <c r="N102" s="16">
        <f>Test!B340</f>
        <v>0</v>
      </c>
      <c r="O102" s="17">
        <f>Test!C340</f>
        <v>0</v>
      </c>
      <c r="P102" s="17">
        <f>Test!D340</f>
        <v>0</v>
      </c>
      <c r="Q102" s="17">
        <f>Test!E340</f>
        <v>0</v>
      </c>
      <c r="R102" s="17">
        <f>Test!F340</f>
        <v>0</v>
      </c>
      <c r="S102" s="17">
        <f>Test!G340</f>
        <v>0</v>
      </c>
      <c r="T102" s="17">
        <f t="shared" si="10"/>
        <v>0</v>
      </c>
      <c r="U102" s="28">
        <f>Test!H340</f>
        <v>0</v>
      </c>
      <c r="V102" s="29">
        <f>Test!I340</f>
        <v>0</v>
      </c>
      <c r="W102" s="14">
        <f t="shared" si="11"/>
        <v>0</v>
      </c>
      <c r="X102" s="14">
        <f t="shared" si="12"/>
        <v>0</v>
      </c>
      <c r="Y102" s="14">
        <f t="shared" si="13"/>
        <v>0</v>
      </c>
      <c r="Z102" s="22">
        <f t="shared" si="13"/>
        <v>0</v>
      </c>
      <c r="AA102" s="39"/>
      <c r="AB102" s="43"/>
      <c r="AC102" s="44"/>
      <c r="AD102" s="44"/>
      <c r="AE102" s="43"/>
      <c r="AF102" s="44"/>
      <c r="AG102" s="45"/>
    </row>
    <row r="103" spans="1:33" x14ac:dyDescent="0.2">
      <c r="A103" s="12"/>
      <c r="B103" s="9" t="s">
        <v>94</v>
      </c>
      <c r="C103" s="9">
        <v>22</v>
      </c>
      <c r="D103" s="10">
        <f>Reference!B341</f>
        <v>395.28480000000002</v>
      </c>
      <c r="E103" s="11">
        <f>Reference!C341</f>
        <v>50.329000000000001</v>
      </c>
      <c r="F103" s="11">
        <f>Reference!D341</f>
        <v>52.434699999999999</v>
      </c>
      <c r="G103" s="11">
        <f>Reference!E341</f>
        <v>54.326900000000002</v>
      </c>
      <c r="H103" s="11">
        <f>Reference!F341</f>
        <v>5733</v>
      </c>
      <c r="I103" s="11">
        <f>Reference!G341</f>
        <v>5.2809999999999997</v>
      </c>
      <c r="J103" s="11">
        <f t="shared" si="9"/>
        <v>1.5925</v>
      </c>
      <c r="K103" s="24">
        <f>Reference!H341</f>
        <v>3192292</v>
      </c>
      <c r="L103" s="25">
        <f>Reference!I341</f>
        <v>520008</v>
      </c>
      <c r="N103" s="10">
        <f>Test!B341</f>
        <v>0</v>
      </c>
      <c r="O103" s="11">
        <f>Test!C341</f>
        <v>0</v>
      </c>
      <c r="P103" s="11">
        <f>Test!D341</f>
        <v>0</v>
      </c>
      <c r="Q103" s="11">
        <f>Test!E341</f>
        <v>0</v>
      </c>
      <c r="R103" s="11">
        <f>Test!F341</f>
        <v>0</v>
      </c>
      <c r="S103" s="11">
        <f>Test!G341</f>
        <v>0</v>
      </c>
      <c r="T103" s="11">
        <f t="shared" si="10"/>
        <v>0</v>
      </c>
      <c r="U103" s="24">
        <f>Test!H341</f>
        <v>0</v>
      </c>
      <c r="V103" s="25">
        <f>Test!I341</f>
        <v>0</v>
      </c>
      <c r="W103" s="14">
        <f t="shared" si="11"/>
        <v>0</v>
      </c>
      <c r="X103" s="14">
        <f t="shared" si="12"/>
        <v>0</v>
      </c>
      <c r="Y103" s="14">
        <f t="shared" si="13"/>
        <v>0</v>
      </c>
      <c r="Z103" s="22">
        <f t="shared" si="13"/>
        <v>0</v>
      </c>
      <c r="AA103" s="39"/>
      <c r="AB103" s="36" t="e">
        <f>bdrate($D103:$D106,E103:E106,$N103:$N106,O103:O106)</f>
        <v>#VALUE!</v>
      </c>
      <c r="AC103" s="37" t="e">
        <f>bdrate($D103:$D106,F103:F106,$N103:$N106,P103:P106)</f>
        <v>#VALUE!</v>
      </c>
      <c r="AD103" s="37" t="e">
        <f>bdrate($D103:$D106,G103:G106,$N103:$N106,Q103:Q106)</f>
        <v>#VALUE!</v>
      </c>
      <c r="AE103" s="46" t="e">
        <f>bdrateOld($D103:$D106,E103:E106,$N103:$N106,O103:O106)</f>
        <v>#VALUE!</v>
      </c>
      <c r="AF103" s="47" t="e">
        <f>bdrateOld($D103:$D106,F103:F106,$N103:$N106,P103:P106)</f>
        <v>#VALUE!</v>
      </c>
      <c r="AG103" s="49" t="e">
        <f>bdrateOld($D103:$D106,G103:G106,$N103:$N106,Q103:Q106)</f>
        <v>#VALUE!</v>
      </c>
    </row>
    <row r="104" spans="1:33" x14ac:dyDescent="0.2">
      <c r="A104" s="12"/>
      <c r="B104" s="12"/>
      <c r="C104" s="12">
        <v>27</v>
      </c>
      <c r="D104" s="13">
        <f>Reference!B342</f>
        <v>183.8048</v>
      </c>
      <c r="E104" s="14">
        <f>Reference!C342</f>
        <v>46.331600000000002</v>
      </c>
      <c r="F104" s="14">
        <f>Reference!D342</f>
        <v>49.447099999999999</v>
      </c>
      <c r="G104" s="14">
        <f>Reference!E342</f>
        <v>51.410899999999998</v>
      </c>
      <c r="H104" s="14">
        <f>Reference!F342</f>
        <v>4734</v>
      </c>
      <c r="I104" s="14">
        <f>Reference!G342</f>
        <v>4.9029999999999996</v>
      </c>
      <c r="J104" s="14">
        <f t="shared" si="9"/>
        <v>1.3149999999999999</v>
      </c>
      <c r="K104" s="26">
        <f>Reference!H342</f>
        <v>3189612</v>
      </c>
      <c r="L104" s="27">
        <f>Reference!I342</f>
        <v>507184</v>
      </c>
      <c r="N104" s="13">
        <f>Test!B342</f>
        <v>0</v>
      </c>
      <c r="O104" s="14">
        <f>Test!C342</f>
        <v>0</v>
      </c>
      <c r="P104" s="14">
        <f>Test!D342</f>
        <v>0</v>
      </c>
      <c r="Q104" s="14">
        <f>Test!E342</f>
        <v>0</v>
      </c>
      <c r="R104" s="14">
        <f>Test!F342</f>
        <v>0</v>
      </c>
      <c r="S104" s="14">
        <f>Test!G342</f>
        <v>0</v>
      </c>
      <c r="T104" s="14">
        <f t="shared" si="10"/>
        <v>0</v>
      </c>
      <c r="U104" s="26">
        <f>Test!H342</f>
        <v>0</v>
      </c>
      <c r="V104" s="27">
        <f>Test!I342</f>
        <v>0</v>
      </c>
      <c r="W104" s="14">
        <f t="shared" si="11"/>
        <v>0</v>
      </c>
      <c r="X104" s="14">
        <f t="shared" si="12"/>
        <v>0</v>
      </c>
      <c r="Y104" s="14">
        <f t="shared" si="13"/>
        <v>0</v>
      </c>
      <c r="Z104" s="22">
        <f t="shared" si="13"/>
        <v>0</v>
      </c>
      <c r="AA104" s="39"/>
      <c r="AB104" s="40"/>
      <c r="AC104" s="41"/>
      <c r="AD104" s="41"/>
      <c r="AE104" s="40"/>
      <c r="AF104" s="41"/>
      <c r="AG104" s="42"/>
    </row>
    <row r="105" spans="1:33" x14ac:dyDescent="0.2">
      <c r="A105" s="12"/>
      <c r="B105" s="12"/>
      <c r="C105" s="12">
        <v>32</v>
      </c>
      <c r="D105" s="13">
        <f>Reference!B343</f>
        <v>104.944</v>
      </c>
      <c r="E105" s="14">
        <f>Reference!C343</f>
        <v>43.016800000000003</v>
      </c>
      <c r="F105" s="14">
        <f>Reference!D343</f>
        <v>47.374899999999997</v>
      </c>
      <c r="G105" s="14">
        <f>Reference!E343</f>
        <v>49.384599999999999</v>
      </c>
      <c r="H105" s="14">
        <f>Reference!F343</f>
        <v>3739</v>
      </c>
      <c r="I105" s="14">
        <f>Reference!G343</f>
        <v>4.4790000000000001</v>
      </c>
      <c r="J105" s="14">
        <f t="shared" si="9"/>
        <v>1.0386111111111112</v>
      </c>
      <c r="K105" s="26">
        <f>Reference!H343</f>
        <v>3187880</v>
      </c>
      <c r="L105" s="27">
        <f>Reference!I343</f>
        <v>513276</v>
      </c>
      <c r="N105" s="13">
        <f>Test!B343</f>
        <v>0</v>
      </c>
      <c r="O105" s="14">
        <f>Test!C343</f>
        <v>0</v>
      </c>
      <c r="P105" s="14">
        <f>Test!D343</f>
        <v>0</v>
      </c>
      <c r="Q105" s="14">
        <f>Test!E343</f>
        <v>0</v>
      </c>
      <c r="R105" s="14">
        <f>Test!F343</f>
        <v>0</v>
      </c>
      <c r="S105" s="14">
        <f>Test!G343</f>
        <v>0</v>
      </c>
      <c r="T105" s="14">
        <f t="shared" si="10"/>
        <v>0</v>
      </c>
      <c r="U105" s="26">
        <f>Test!H343</f>
        <v>0</v>
      </c>
      <c r="V105" s="27">
        <f>Test!I343</f>
        <v>0</v>
      </c>
      <c r="W105" s="14">
        <f t="shared" si="11"/>
        <v>0</v>
      </c>
      <c r="X105" s="14">
        <f t="shared" si="12"/>
        <v>0</v>
      </c>
      <c r="Y105" s="14">
        <f t="shared" si="13"/>
        <v>0</v>
      </c>
      <c r="Z105" s="22">
        <f t="shared" si="13"/>
        <v>0</v>
      </c>
      <c r="AA105" s="39"/>
      <c r="AB105" s="40"/>
      <c r="AC105" s="41"/>
      <c r="AD105" s="41"/>
      <c r="AE105" s="40"/>
      <c r="AF105" s="41"/>
      <c r="AG105" s="42"/>
    </row>
    <row r="106" spans="1:33" ht="12.75" customHeight="1" thickBot="1" x14ac:dyDescent="0.25">
      <c r="A106" s="15"/>
      <c r="B106" s="15"/>
      <c r="C106" s="15">
        <v>37</v>
      </c>
      <c r="D106" s="16">
        <f>Reference!B344</f>
        <v>69.289599999999993</v>
      </c>
      <c r="E106" s="17">
        <f>Reference!C344</f>
        <v>39.750999999999998</v>
      </c>
      <c r="F106" s="17">
        <f>Reference!D344</f>
        <v>44.914200000000001</v>
      </c>
      <c r="G106" s="17">
        <f>Reference!E344</f>
        <v>46.89</v>
      </c>
      <c r="H106" s="17">
        <f>Reference!F344</f>
        <v>2951</v>
      </c>
      <c r="I106" s="17">
        <f>Reference!G344</f>
        <v>4.5389999999999997</v>
      </c>
      <c r="J106" s="17">
        <f t="shared" si="9"/>
        <v>0.81972222222222224</v>
      </c>
      <c r="K106" s="26">
        <f>Reference!H344</f>
        <v>3185996</v>
      </c>
      <c r="L106" s="27">
        <f>Reference!I344</f>
        <v>508856</v>
      </c>
      <c r="N106" s="16">
        <f>Test!B344</f>
        <v>0</v>
      </c>
      <c r="O106" s="17">
        <f>Test!C344</f>
        <v>0</v>
      </c>
      <c r="P106" s="17">
        <f>Test!D344</f>
        <v>0</v>
      </c>
      <c r="Q106" s="17">
        <f>Test!E344</f>
        <v>0</v>
      </c>
      <c r="R106" s="17">
        <f>Test!F344</f>
        <v>0</v>
      </c>
      <c r="S106" s="17">
        <f>Test!G344</f>
        <v>0</v>
      </c>
      <c r="T106" s="17">
        <f t="shared" si="10"/>
        <v>0</v>
      </c>
      <c r="U106" s="28">
        <f>Test!H344</f>
        <v>0</v>
      </c>
      <c r="V106" s="29">
        <f>Test!I344</f>
        <v>0</v>
      </c>
      <c r="W106" s="17">
        <f t="shared" si="11"/>
        <v>0</v>
      </c>
      <c r="X106" s="17">
        <f t="shared" si="12"/>
        <v>0</v>
      </c>
      <c r="Y106" s="17">
        <f t="shared" si="13"/>
        <v>0</v>
      </c>
      <c r="Z106" s="23">
        <f t="shared" si="13"/>
        <v>0</v>
      </c>
      <c r="AA106" s="48"/>
      <c r="AB106" s="43"/>
      <c r="AC106" s="44"/>
      <c r="AD106" s="44"/>
      <c r="AE106" s="43"/>
      <c r="AF106" s="44"/>
      <c r="AG106" s="45"/>
    </row>
    <row r="107" spans="1:33" x14ac:dyDescent="0.2">
      <c r="A107" s="9" t="s">
        <v>29</v>
      </c>
      <c r="B107" s="9" t="s">
        <v>117</v>
      </c>
      <c r="C107" s="9">
        <v>22</v>
      </c>
      <c r="D107" s="10">
        <f>Reference!B345</f>
        <v>18694.441599999998</v>
      </c>
      <c r="E107" s="11">
        <f>Reference!C345</f>
        <v>45.7943</v>
      </c>
      <c r="F107" s="11">
        <f>Reference!D345</f>
        <v>44.9024</v>
      </c>
      <c r="G107" s="11">
        <f>Reference!E345</f>
        <v>45.080300000000001</v>
      </c>
      <c r="H107" s="11">
        <f>Reference!F345</f>
        <v>105685</v>
      </c>
      <c r="I107" s="11">
        <f>Reference!G345</f>
        <v>70.412999999999997</v>
      </c>
      <c r="J107" s="11">
        <f t="shared" si="9"/>
        <v>29.356944444444444</v>
      </c>
      <c r="K107" s="24">
        <f>Reference!H345</f>
        <v>5691320</v>
      </c>
      <c r="L107" s="25">
        <f>Reference!I345</f>
        <v>848732</v>
      </c>
      <c r="N107" s="10">
        <f>Test!B345</f>
        <v>0</v>
      </c>
      <c r="O107" s="11">
        <f>Test!C345</f>
        <v>0</v>
      </c>
      <c r="P107" s="11">
        <f>Test!D345</f>
        <v>0</v>
      </c>
      <c r="Q107" s="11">
        <f>Test!E345</f>
        <v>0</v>
      </c>
      <c r="R107" s="11">
        <f>Test!F345</f>
        <v>0</v>
      </c>
      <c r="S107" s="11">
        <f>Test!G345</f>
        <v>0</v>
      </c>
      <c r="T107" s="11">
        <f t="shared" si="10"/>
        <v>0</v>
      </c>
      <c r="U107" s="24">
        <f>Test!H345</f>
        <v>0</v>
      </c>
      <c r="V107" s="25">
        <f>Test!I345</f>
        <v>0</v>
      </c>
      <c r="W107" s="11">
        <f t="shared" si="11"/>
        <v>0</v>
      </c>
      <c r="X107" s="11">
        <f t="shared" si="12"/>
        <v>0</v>
      </c>
      <c r="Y107" s="11">
        <f t="shared" si="13"/>
        <v>0</v>
      </c>
      <c r="Z107" s="21">
        <f t="shared" si="13"/>
        <v>0</v>
      </c>
      <c r="AA107" s="35"/>
      <c r="AB107" s="36" t="e">
        <f>bdrate($D107:$D110,E107:E110,$N107:$N110,O107:O110)</f>
        <v>#VALUE!</v>
      </c>
      <c r="AC107" s="37" t="e">
        <f>bdrate($D107:$D110,F107:F110,$N107:$N110,P107:P110)</f>
        <v>#VALUE!</v>
      </c>
      <c r="AD107" s="38" t="e">
        <f>bdrate($D107:$D110,G107:G110,$N107:$N110,Q107:Q110)</f>
        <v>#VALUE!</v>
      </c>
      <c r="AE107" s="36" t="e">
        <f>bdrateOld($D107:$D110,E107:E110,$N107:$N110,O107:O110)</f>
        <v>#VALUE!</v>
      </c>
      <c r="AF107" s="37" t="e">
        <f>bdrateOld($D107:$D110,F107:F110,$N107:$N110,P107:P110)</f>
        <v>#VALUE!</v>
      </c>
      <c r="AG107" s="38" t="e">
        <f>bdrateOld($D107:$D110,G107:G110,$N107:$N110,Q107:Q110)</f>
        <v>#VALUE!</v>
      </c>
    </row>
    <row r="108" spans="1:33" x14ac:dyDescent="0.2">
      <c r="A108" s="12"/>
      <c r="C108" s="12">
        <v>27</v>
      </c>
      <c r="D108" s="13">
        <f>Reference!B346</f>
        <v>9601.7615999999998</v>
      </c>
      <c r="E108" s="14">
        <f>Reference!C346</f>
        <v>40.521799999999999</v>
      </c>
      <c r="F108" s="14">
        <f>Reference!D346</f>
        <v>40.762</v>
      </c>
      <c r="G108" s="14">
        <f>Reference!E346</f>
        <v>41.1218</v>
      </c>
      <c r="H108" s="14">
        <f>Reference!F346</f>
        <v>137841</v>
      </c>
      <c r="I108" s="14">
        <f>Reference!G346</f>
        <v>98.828000000000003</v>
      </c>
      <c r="J108" s="14">
        <f t="shared" si="9"/>
        <v>38.289166666666667</v>
      </c>
      <c r="K108" s="26">
        <f>Reference!H346</f>
        <v>5665436</v>
      </c>
      <c r="L108" s="27">
        <f>Reference!I346</f>
        <v>805656</v>
      </c>
      <c r="N108" s="13">
        <f>Test!B346</f>
        <v>0</v>
      </c>
      <c r="O108" s="14">
        <f>Test!C346</f>
        <v>0</v>
      </c>
      <c r="P108" s="14">
        <f>Test!D346</f>
        <v>0</v>
      </c>
      <c r="Q108" s="14">
        <f>Test!E346</f>
        <v>0</v>
      </c>
      <c r="R108" s="14">
        <f>Test!F346</f>
        <v>0</v>
      </c>
      <c r="S108" s="14">
        <f>Test!G346</f>
        <v>0</v>
      </c>
      <c r="T108" s="14">
        <f t="shared" si="10"/>
        <v>0</v>
      </c>
      <c r="U108" s="26">
        <f>Test!H346</f>
        <v>0</v>
      </c>
      <c r="V108" s="27">
        <f>Test!I346</f>
        <v>0</v>
      </c>
      <c r="W108" s="14">
        <f t="shared" si="11"/>
        <v>0</v>
      </c>
      <c r="X108" s="14">
        <f t="shared" si="12"/>
        <v>0</v>
      </c>
      <c r="Y108" s="14">
        <f t="shared" si="13"/>
        <v>0</v>
      </c>
      <c r="Z108" s="22">
        <f t="shared" si="13"/>
        <v>0</v>
      </c>
      <c r="AA108" s="39"/>
      <c r="AB108" s="40"/>
      <c r="AC108" s="41"/>
      <c r="AD108" s="42"/>
      <c r="AE108" s="40"/>
      <c r="AF108" s="41"/>
      <c r="AG108" s="42"/>
    </row>
    <row r="109" spans="1:33" x14ac:dyDescent="0.2">
      <c r="A109" s="12"/>
      <c r="B109" s="12"/>
      <c r="C109" s="12">
        <v>32</v>
      </c>
      <c r="D109" s="13">
        <f>Reference!B347</f>
        <v>5714.7407999999996</v>
      </c>
      <c r="E109" s="14">
        <f>Reference!C347</f>
        <v>36.24</v>
      </c>
      <c r="F109" s="14">
        <f>Reference!D347</f>
        <v>38.424799999999998</v>
      </c>
      <c r="G109" s="14">
        <f>Reference!E347</f>
        <v>38.922600000000003</v>
      </c>
      <c r="H109" s="14">
        <f>Reference!F347</f>
        <v>75191</v>
      </c>
      <c r="I109" s="14">
        <f>Reference!G347</f>
        <v>59.677</v>
      </c>
      <c r="J109" s="14">
        <f t="shared" si="9"/>
        <v>20.886388888888888</v>
      </c>
      <c r="K109" s="26">
        <f>Reference!H347</f>
        <v>5639136</v>
      </c>
      <c r="L109" s="27">
        <f>Reference!I347</f>
        <v>854436</v>
      </c>
      <c r="N109" s="13">
        <f>Test!B347</f>
        <v>0</v>
      </c>
      <c r="O109" s="14">
        <f>Test!C347</f>
        <v>0</v>
      </c>
      <c r="P109" s="14">
        <f>Test!D347</f>
        <v>0</v>
      </c>
      <c r="Q109" s="14">
        <f>Test!E347</f>
        <v>0</v>
      </c>
      <c r="R109" s="14">
        <f>Test!F347</f>
        <v>0</v>
      </c>
      <c r="S109" s="14">
        <f>Test!G347</f>
        <v>0</v>
      </c>
      <c r="T109" s="14">
        <f t="shared" si="10"/>
        <v>0</v>
      </c>
      <c r="U109" s="26">
        <f>Test!H347</f>
        <v>0</v>
      </c>
      <c r="V109" s="27">
        <f>Test!I347</f>
        <v>0</v>
      </c>
      <c r="W109" s="14">
        <f t="shared" si="11"/>
        <v>0</v>
      </c>
      <c r="X109" s="14">
        <f t="shared" si="12"/>
        <v>0</v>
      </c>
      <c r="Y109" s="14">
        <f t="shared" si="13"/>
        <v>0</v>
      </c>
      <c r="Z109" s="22">
        <f t="shared" si="13"/>
        <v>0</v>
      </c>
      <c r="AA109" s="39"/>
      <c r="AB109" s="40"/>
      <c r="AC109" s="41"/>
      <c r="AD109" s="42"/>
      <c r="AE109" s="40"/>
      <c r="AF109" s="41"/>
      <c r="AG109" s="42"/>
    </row>
    <row r="110" spans="1:33" ht="12.75" thickBot="1" x14ac:dyDescent="0.25">
      <c r="A110" s="12"/>
      <c r="B110" s="15"/>
      <c r="C110" s="15">
        <v>37</v>
      </c>
      <c r="D110" s="16">
        <f>Reference!B348</f>
        <v>3392.0223999999998</v>
      </c>
      <c r="E110" s="17">
        <f>Reference!C348</f>
        <v>32.328499999999998</v>
      </c>
      <c r="F110" s="17">
        <f>Reference!D348</f>
        <v>35.286999999999999</v>
      </c>
      <c r="G110" s="17">
        <f>Reference!E348</f>
        <v>35.944499999999998</v>
      </c>
      <c r="H110" s="17">
        <f>Reference!F348</f>
        <v>59641</v>
      </c>
      <c r="I110" s="17">
        <f>Reference!G348</f>
        <v>54.866</v>
      </c>
      <c r="J110" s="17">
        <f t="shared" si="9"/>
        <v>16.566944444444445</v>
      </c>
      <c r="K110" s="26">
        <f>Reference!H348</f>
        <v>5639008</v>
      </c>
      <c r="L110" s="27">
        <f>Reference!I348</f>
        <v>817292</v>
      </c>
      <c r="N110" s="16">
        <f>Test!B348</f>
        <v>0</v>
      </c>
      <c r="O110" s="17">
        <f>Test!C348</f>
        <v>0</v>
      </c>
      <c r="P110" s="17">
        <f>Test!D348</f>
        <v>0</v>
      </c>
      <c r="Q110" s="17">
        <f>Test!E348</f>
        <v>0</v>
      </c>
      <c r="R110" s="17">
        <f>Test!F348</f>
        <v>0</v>
      </c>
      <c r="S110" s="17">
        <f>Test!G348</f>
        <v>0</v>
      </c>
      <c r="T110" s="17">
        <f t="shared" si="10"/>
        <v>0</v>
      </c>
      <c r="U110" s="28">
        <f>Test!H348</f>
        <v>0</v>
      </c>
      <c r="V110" s="29">
        <f>Test!I348</f>
        <v>0</v>
      </c>
      <c r="W110" s="14">
        <f t="shared" si="11"/>
        <v>0</v>
      </c>
      <c r="X110" s="14">
        <f t="shared" si="12"/>
        <v>0</v>
      </c>
      <c r="Y110" s="14">
        <f t="shared" si="13"/>
        <v>0</v>
      </c>
      <c r="Z110" s="22">
        <f t="shared" si="13"/>
        <v>0</v>
      </c>
      <c r="AA110" s="39"/>
      <c r="AB110" s="43"/>
      <c r="AC110" s="44"/>
      <c r="AD110" s="45"/>
      <c r="AE110" s="43"/>
      <c r="AF110" s="44"/>
      <c r="AG110" s="45"/>
    </row>
    <row r="111" spans="1:33" x14ac:dyDescent="0.2">
      <c r="A111" s="12"/>
      <c r="B111" s="9" t="s">
        <v>118</v>
      </c>
      <c r="C111" s="9">
        <v>22</v>
      </c>
      <c r="D111" s="10">
        <f>Reference!B349</f>
        <v>778.81759999999997</v>
      </c>
      <c r="E111" s="11">
        <f>Reference!C349</f>
        <v>54.436100000000003</v>
      </c>
      <c r="F111" s="11">
        <f>Reference!D349</f>
        <v>49.3812</v>
      </c>
      <c r="G111" s="11">
        <f>Reference!E349</f>
        <v>49.536900000000003</v>
      </c>
      <c r="H111" s="11">
        <f>Reference!F349</f>
        <v>19828</v>
      </c>
      <c r="I111" s="11">
        <f>Reference!G349</f>
        <v>26.007999999999999</v>
      </c>
      <c r="J111" s="11">
        <f t="shared" si="9"/>
        <v>5.5077777777777781</v>
      </c>
      <c r="K111" s="24">
        <f>Reference!H349</f>
        <v>5606756</v>
      </c>
      <c r="L111" s="25">
        <f>Reference!I349</f>
        <v>836076</v>
      </c>
      <c r="N111" s="10">
        <f>Test!B349</f>
        <v>0</v>
      </c>
      <c r="O111" s="11">
        <f>Test!C349</f>
        <v>0</v>
      </c>
      <c r="P111" s="11">
        <f>Test!D349</f>
        <v>0</v>
      </c>
      <c r="Q111" s="11">
        <f>Test!E349</f>
        <v>0</v>
      </c>
      <c r="R111" s="11">
        <f>Test!F349</f>
        <v>0</v>
      </c>
      <c r="S111" s="11">
        <f>Test!G349</f>
        <v>0</v>
      </c>
      <c r="T111" s="11">
        <f t="shared" si="10"/>
        <v>0</v>
      </c>
      <c r="U111" s="24">
        <f>Test!H349</f>
        <v>0</v>
      </c>
      <c r="V111" s="25">
        <f>Test!I349</f>
        <v>0</v>
      </c>
      <c r="W111" s="14">
        <f t="shared" si="11"/>
        <v>0</v>
      </c>
      <c r="X111" s="14">
        <f t="shared" si="12"/>
        <v>0</v>
      </c>
      <c r="Y111" s="14">
        <f t="shared" si="13"/>
        <v>0</v>
      </c>
      <c r="Z111" s="22">
        <f t="shared" si="13"/>
        <v>0</v>
      </c>
      <c r="AA111" s="39"/>
      <c r="AB111" s="36" t="e">
        <f>bdrate($D111:$D114,E111:E114,$N111:$N114,O111:O114)</f>
        <v>#VALUE!</v>
      </c>
      <c r="AC111" s="37" t="e">
        <f>bdrate($D111:$D114,F111:F114,$N111:$N114,P111:P114)</f>
        <v>#VALUE!</v>
      </c>
      <c r="AD111" s="37" t="e">
        <f>bdrate($D111:$D114,G111:G114,$N111:$N114,Q111:Q114)</f>
        <v>#VALUE!</v>
      </c>
      <c r="AE111" s="46" t="e">
        <f>bdrateOld($D111:$D114,E111:E114,$N111:$N114,O111:O114)</f>
        <v>#VALUE!</v>
      </c>
      <c r="AF111" s="47" t="e">
        <f>bdrateOld($D111:$D114,F111:F114,$N111:$N114,P111:P114)</f>
        <v>#VALUE!</v>
      </c>
      <c r="AG111" s="49" t="e">
        <f>bdrateOld($D111:$D114,G111:G114,$N111:$N114,Q111:Q114)</f>
        <v>#VALUE!</v>
      </c>
    </row>
    <row r="112" spans="1:33" x14ac:dyDescent="0.2">
      <c r="A112" s="12"/>
      <c r="B112" s="12"/>
      <c r="C112" s="12">
        <v>27</v>
      </c>
      <c r="D112" s="13">
        <f>Reference!B350</f>
        <v>635.07039999999995</v>
      </c>
      <c r="E112" s="14">
        <f>Reference!C350</f>
        <v>49.466700000000003</v>
      </c>
      <c r="F112" s="14">
        <f>Reference!D350</f>
        <v>46.436300000000003</v>
      </c>
      <c r="G112" s="14">
        <f>Reference!E350</f>
        <v>46.485999999999997</v>
      </c>
      <c r="H112" s="14">
        <f>Reference!F350</f>
        <v>26412</v>
      </c>
      <c r="I112" s="14">
        <f>Reference!G350</f>
        <v>30.675999999999998</v>
      </c>
      <c r="J112" s="14">
        <f t="shared" si="9"/>
        <v>7.3366666666666669</v>
      </c>
      <c r="K112" s="26">
        <f>Reference!H350</f>
        <v>5615408</v>
      </c>
      <c r="L112" s="27">
        <f>Reference!I350</f>
        <v>845760</v>
      </c>
      <c r="N112" s="13">
        <f>Test!B350</f>
        <v>0</v>
      </c>
      <c r="O112" s="14">
        <f>Test!C350</f>
        <v>0</v>
      </c>
      <c r="P112" s="14">
        <f>Test!D350</f>
        <v>0</v>
      </c>
      <c r="Q112" s="14">
        <f>Test!E350</f>
        <v>0</v>
      </c>
      <c r="R112" s="14">
        <f>Test!F350</f>
        <v>0</v>
      </c>
      <c r="S112" s="14">
        <f>Test!G350</f>
        <v>0</v>
      </c>
      <c r="T112" s="14">
        <f t="shared" si="10"/>
        <v>0</v>
      </c>
      <c r="U112" s="26">
        <f>Test!H350</f>
        <v>0</v>
      </c>
      <c r="V112" s="27">
        <f>Test!I350</f>
        <v>0</v>
      </c>
      <c r="W112" s="14">
        <f t="shared" si="11"/>
        <v>0</v>
      </c>
      <c r="X112" s="14">
        <f t="shared" si="12"/>
        <v>0</v>
      </c>
      <c r="Y112" s="14">
        <f t="shared" si="13"/>
        <v>0</v>
      </c>
      <c r="Z112" s="22">
        <f t="shared" si="13"/>
        <v>0</v>
      </c>
      <c r="AA112" s="39"/>
      <c r="AB112" s="40"/>
      <c r="AC112" s="41"/>
      <c r="AD112" s="41"/>
      <c r="AE112" s="40"/>
      <c r="AF112" s="41"/>
      <c r="AG112" s="42"/>
    </row>
    <row r="113" spans="1:34" ht="12.75" customHeight="1" x14ac:dyDescent="0.2">
      <c r="A113" s="12"/>
      <c r="B113" s="12"/>
      <c r="C113" s="12">
        <v>32</v>
      </c>
      <c r="D113" s="13">
        <f>Reference!B351</f>
        <v>598.60320000000002</v>
      </c>
      <c r="E113" s="14">
        <f>Reference!C351</f>
        <v>44.472200000000001</v>
      </c>
      <c r="F113" s="14">
        <f>Reference!D351</f>
        <v>43.865699999999997</v>
      </c>
      <c r="G113" s="14">
        <f>Reference!E351</f>
        <v>43.4773</v>
      </c>
      <c r="H113" s="14">
        <f>Reference!F351</f>
        <v>25347</v>
      </c>
      <c r="I113" s="14">
        <f>Reference!G351</f>
        <v>26.763999999999999</v>
      </c>
      <c r="J113" s="14">
        <f t="shared" si="9"/>
        <v>7.0408333333333335</v>
      </c>
      <c r="K113" s="26">
        <f>Reference!H351</f>
        <v>5648644</v>
      </c>
      <c r="L113" s="27">
        <f>Reference!I351</f>
        <v>809740</v>
      </c>
      <c r="N113" s="13">
        <f>Test!B351</f>
        <v>0</v>
      </c>
      <c r="O113" s="14">
        <f>Test!C351</f>
        <v>0</v>
      </c>
      <c r="P113" s="14">
        <f>Test!D351</f>
        <v>0</v>
      </c>
      <c r="Q113" s="14">
        <f>Test!E351</f>
        <v>0</v>
      </c>
      <c r="R113" s="14">
        <f>Test!F351</f>
        <v>0</v>
      </c>
      <c r="S113" s="14">
        <f>Test!G351</f>
        <v>0</v>
      </c>
      <c r="T113" s="14">
        <f t="shared" si="10"/>
        <v>0</v>
      </c>
      <c r="U113" s="26">
        <f>Test!H351</f>
        <v>0</v>
      </c>
      <c r="V113" s="27">
        <f>Test!I351</f>
        <v>0</v>
      </c>
      <c r="W113" s="14">
        <f t="shared" si="11"/>
        <v>0</v>
      </c>
      <c r="X113" s="14">
        <f t="shared" si="12"/>
        <v>0</v>
      </c>
      <c r="Y113" s="14">
        <f t="shared" si="13"/>
        <v>0</v>
      </c>
      <c r="Z113" s="22">
        <f t="shared" si="13"/>
        <v>0</v>
      </c>
      <c r="AA113" s="39"/>
      <c r="AB113" s="40"/>
      <c r="AC113" s="41"/>
      <c r="AD113" s="41"/>
      <c r="AE113" s="40"/>
      <c r="AF113" s="41"/>
      <c r="AG113" s="42"/>
    </row>
    <row r="114" spans="1:34" ht="12.75" customHeight="1" thickBot="1" x14ac:dyDescent="0.25">
      <c r="A114" s="12"/>
      <c r="B114" s="15"/>
      <c r="C114" s="15">
        <v>37</v>
      </c>
      <c r="D114" s="16">
        <f>Reference!B352</f>
        <v>543.67840000000001</v>
      </c>
      <c r="E114" s="17">
        <f>Reference!C352</f>
        <v>38.675199999999997</v>
      </c>
      <c r="F114" s="17">
        <f>Reference!D352</f>
        <v>40.944699999999997</v>
      </c>
      <c r="G114" s="17">
        <f>Reference!E352</f>
        <v>40.713299999999997</v>
      </c>
      <c r="H114" s="17">
        <f>Reference!F352</f>
        <v>17247</v>
      </c>
      <c r="I114" s="17">
        <f>Reference!G352</f>
        <v>25.122</v>
      </c>
      <c r="J114" s="17">
        <f t="shared" si="9"/>
        <v>4.7908333333333335</v>
      </c>
      <c r="K114" s="26">
        <f>Reference!H352</f>
        <v>5594644</v>
      </c>
      <c r="L114" s="27">
        <f>Reference!I352</f>
        <v>835972</v>
      </c>
      <c r="N114" s="16">
        <f>Test!B352</f>
        <v>0</v>
      </c>
      <c r="O114" s="17">
        <f>Test!C352</f>
        <v>0</v>
      </c>
      <c r="P114" s="17">
        <f>Test!D352</f>
        <v>0</v>
      </c>
      <c r="Q114" s="17">
        <f>Test!E352</f>
        <v>0</v>
      </c>
      <c r="R114" s="17">
        <f>Test!F352</f>
        <v>0</v>
      </c>
      <c r="S114" s="17">
        <f>Test!G352</f>
        <v>0</v>
      </c>
      <c r="T114" s="17">
        <f t="shared" si="10"/>
        <v>0</v>
      </c>
      <c r="U114" s="28">
        <f>Test!H352</f>
        <v>0</v>
      </c>
      <c r="V114" s="29">
        <f>Test!I352</f>
        <v>0</v>
      </c>
      <c r="W114" s="14">
        <f t="shared" si="11"/>
        <v>0</v>
      </c>
      <c r="X114" s="14">
        <f t="shared" si="12"/>
        <v>0</v>
      </c>
      <c r="Y114" s="14">
        <f t="shared" si="13"/>
        <v>0</v>
      </c>
      <c r="Z114" s="22">
        <f t="shared" si="13"/>
        <v>0</v>
      </c>
      <c r="AA114" s="39"/>
      <c r="AB114" s="43"/>
      <c r="AC114" s="44"/>
      <c r="AD114" s="44"/>
      <c r="AE114" s="43"/>
      <c r="AF114" s="44"/>
      <c r="AG114" s="45"/>
    </row>
    <row r="115" spans="1:34" x14ac:dyDescent="0.2">
      <c r="A115" s="12"/>
      <c r="B115" s="9" t="s">
        <v>119</v>
      </c>
      <c r="C115" s="9">
        <v>22</v>
      </c>
      <c r="D115" s="10">
        <f>Reference!B353</f>
        <v>2831.2496000000001</v>
      </c>
      <c r="E115" s="11">
        <f>Reference!C353</f>
        <v>53.115200000000002</v>
      </c>
      <c r="F115" s="11">
        <f>Reference!D353</f>
        <v>50.947099999999999</v>
      </c>
      <c r="G115" s="11">
        <f>Reference!E353</f>
        <v>49.5869</v>
      </c>
      <c r="H115" s="11">
        <f>Reference!F353</f>
        <v>34252</v>
      </c>
      <c r="I115" s="11">
        <f>Reference!G353</f>
        <v>24.138999999999999</v>
      </c>
      <c r="J115" s="11">
        <f t="shared" si="9"/>
        <v>9.5144444444444449</v>
      </c>
      <c r="K115" s="24">
        <f>Reference!H353</f>
        <v>5490988</v>
      </c>
      <c r="L115" s="25">
        <f>Reference!I353</f>
        <v>858016</v>
      </c>
      <c r="N115" s="10">
        <f>Test!B353</f>
        <v>0</v>
      </c>
      <c r="O115" s="11">
        <f>Test!C353</f>
        <v>0</v>
      </c>
      <c r="P115" s="11">
        <f>Test!D353</f>
        <v>0</v>
      </c>
      <c r="Q115" s="11">
        <f>Test!E353</f>
        <v>0</v>
      </c>
      <c r="R115" s="11">
        <f>Test!F353</f>
        <v>0</v>
      </c>
      <c r="S115" s="11">
        <f>Test!G353</f>
        <v>0</v>
      </c>
      <c r="T115" s="11">
        <f t="shared" si="10"/>
        <v>0</v>
      </c>
      <c r="U115" s="24">
        <f>Test!H353</f>
        <v>0</v>
      </c>
      <c r="V115" s="25">
        <f>Test!I353</f>
        <v>0</v>
      </c>
      <c r="W115" s="14">
        <f t="shared" si="11"/>
        <v>0</v>
      </c>
      <c r="X115" s="14">
        <f t="shared" si="12"/>
        <v>0</v>
      </c>
      <c r="Y115" s="14">
        <f t="shared" si="13"/>
        <v>0</v>
      </c>
      <c r="Z115" s="22">
        <f t="shared" si="13"/>
        <v>0</v>
      </c>
      <c r="AA115" s="39"/>
      <c r="AB115" s="36" t="e">
        <f>bdrate($D115:$D118,E115:E118,$N115:$N118,O115:O118)</f>
        <v>#VALUE!</v>
      </c>
      <c r="AC115" s="37" t="e">
        <f>bdrate($D115:$D118,F115:F118,$N115:$N118,P115:P118)</f>
        <v>#VALUE!</v>
      </c>
      <c r="AD115" s="37" t="e">
        <f>bdrate($D115:$D118,G115:G118,$N115:$N118,Q115:Q118)</f>
        <v>#VALUE!</v>
      </c>
      <c r="AE115" s="46" t="e">
        <f>bdrateOld($D115:$D118,E115:E118,$N115:$N118,O115:O118)</f>
        <v>#VALUE!</v>
      </c>
      <c r="AF115" s="47" t="e">
        <f>bdrateOld($D115:$D118,F115:F118,$N115:$N118,P115:P118)</f>
        <v>#VALUE!</v>
      </c>
      <c r="AG115" s="49" t="e">
        <f>bdrateOld($D115:$D118,G115:G118,$N115:$N118,Q115:Q118)</f>
        <v>#VALUE!</v>
      </c>
    </row>
    <row r="116" spans="1:34" x14ac:dyDescent="0.2">
      <c r="A116" s="12"/>
      <c r="B116" s="12"/>
      <c r="C116" s="12">
        <v>27</v>
      </c>
      <c r="D116" s="13">
        <f>Reference!B354</f>
        <v>2085.5072</v>
      </c>
      <c r="E116" s="14">
        <f>Reference!C354</f>
        <v>47.873800000000003</v>
      </c>
      <c r="F116" s="14">
        <f>Reference!D354</f>
        <v>46.163400000000003</v>
      </c>
      <c r="G116" s="14">
        <f>Reference!E354</f>
        <v>44.011400000000002</v>
      </c>
      <c r="H116" s="14">
        <f>Reference!F354</f>
        <v>30682</v>
      </c>
      <c r="I116" s="14">
        <f>Reference!G354</f>
        <v>29.323</v>
      </c>
      <c r="J116" s="14">
        <f t="shared" si="9"/>
        <v>8.5227777777777778</v>
      </c>
      <c r="K116" s="26">
        <f>Reference!H354</f>
        <v>5483412</v>
      </c>
      <c r="L116" s="27">
        <f>Reference!I354</f>
        <v>846756</v>
      </c>
      <c r="N116" s="13">
        <f>Test!B354</f>
        <v>0</v>
      </c>
      <c r="O116" s="14">
        <f>Test!C354</f>
        <v>0</v>
      </c>
      <c r="P116" s="14">
        <f>Test!D354</f>
        <v>0</v>
      </c>
      <c r="Q116" s="14">
        <f>Test!E354</f>
        <v>0</v>
      </c>
      <c r="R116" s="14">
        <f>Test!F354</f>
        <v>0</v>
      </c>
      <c r="S116" s="14">
        <f>Test!G354</f>
        <v>0</v>
      </c>
      <c r="T116" s="14">
        <f t="shared" si="10"/>
        <v>0</v>
      </c>
      <c r="U116" s="26">
        <f>Test!H354</f>
        <v>0</v>
      </c>
      <c r="V116" s="27">
        <f>Test!I354</f>
        <v>0</v>
      </c>
      <c r="W116" s="14">
        <f t="shared" si="11"/>
        <v>0</v>
      </c>
      <c r="X116" s="14">
        <f t="shared" si="12"/>
        <v>0</v>
      </c>
      <c r="Y116" s="14">
        <f t="shared" si="13"/>
        <v>0</v>
      </c>
      <c r="Z116" s="22">
        <f t="shared" si="13"/>
        <v>0</v>
      </c>
      <c r="AA116" s="39"/>
      <c r="AB116" s="40"/>
      <c r="AC116" s="41"/>
      <c r="AD116" s="41"/>
      <c r="AE116" s="40"/>
      <c r="AF116" s="41"/>
      <c r="AG116" s="42"/>
    </row>
    <row r="117" spans="1:34" x14ac:dyDescent="0.2">
      <c r="A117" s="12"/>
      <c r="B117" s="12"/>
      <c r="C117" s="12">
        <v>32</v>
      </c>
      <c r="D117" s="13">
        <f>Reference!B355</f>
        <v>1601.8384000000001</v>
      </c>
      <c r="E117" s="14">
        <f>Reference!C355</f>
        <v>42.595399999999998</v>
      </c>
      <c r="F117" s="14">
        <f>Reference!D355</f>
        <v>42.981299999999997</v>
      </c>
      <c r="G117" s="14">
        <f>Reference!E355</f>
        <v>40.354100000000003</v>
      </c>
      <c r="H117" s="14">
        <f>Reference!F355</f>
        <v>30589</v>
      </c>
      <c r="I117" s="14">
        <f>Reference!G355</f>
        <v>33.368000000000002</v>
      </c>
      <c r="J117" s="14">
        <f t="shared" si="9"/>
        <v>8.4969444444444449</v>
      </c>
      <c r="K117" s="26">
        <f>Reference!H355</f>
        <v>5467944</v>
      </c>
      <c r="L117" s="27">
        <f>Reference!I355</f>
        <v>838268</v>
      </c>
      <c r="N117" s="13">
        <f>Test!B355</f>
        <v>0</v>
      </c>
      <c r="O117" s="14">
        <f>Test!C355</f>
        <v>0</v>
      </c>
      <c r="P117" s="14">
        <f>Test!D355</f>
        <v>0</v>
      </c>
      <c r="Q117" s="14">
        <f>Test!E355</f>
        <v>0</v>
      </c>
      <c r="R117" s="14">
        <f>Test!F355</f>
        <v>0</v>
      </c>
      <c r="S117" s="14">
        <f>Test!G355</f>
        <v>0</v>
      </c>
      <c r="T117" s="14">
        <f t="shared" si="10"/>
        <v>0</v>
      </c>
      <c r="U117" s="26">
        <f>Test!H355</f>
        <v>0</v>
      </c>
      <c r="V117" s="27">
        <f>Test!I355</f>
        <v>0</v>
      </c>
      <c r="W117" s="14">
        <f t="shared" si="11"/>
        <v>0</v>
      </c>
      <c r="X117" s="14">
        <f t="shared" si="12"/>
        <v>0</v>
      </c>
      <c r="Y117" s="14">
        <f t="shared" si="13"/>
        <v>0</v>
      </c>
      <c r="Z117" s="22">
        <f t="shared" si="13"/>
        <v>0</v>
      </c>
      <c r="AA117" s="39"/>
      <c r="AB117" s="40"/>
      <c r="AC117" s="41"/>
      <c r="AD117" s="41"/>
      <c r="AE117" s="40"/>
      <c r="AF117" s="41"/>
      <c r="AG117" s="42"/>
    </row>
    <row r="118" spans="1:34" ht="12.75" thickBot="1" x14ac:dyDescent="0.25">
      <c r="A118" s="12"/>
      <c r="B118" s="15"/>
      <c r="C118" s="15">
        <v>37</v>
      </c>
      <c r="D118" s="16">
        <f>Reference!B356</f>
        <v>1243.5008</v>
      </c>
      <c r="E118" s="17">
        <f>Reference!C356</f>
        <v>37.847200000000001</v>
      </c>
      <c r="F118" s="17">
        <f>Reference!D356</f>
        <v>39.622799999999998</v>
      </c>
      <c r="G118" s="17">
        <f>Reference!E356</f>
        <v>37.0366</v>
      </c>
      <c r="H118" s="17">
        <f>Reference!F356</f>
        <v>27901</v>
      </c>
      <c r="I118" s="17">
        <f>Reference!G356</f>
        <v>32.795999999999999</v>
      </c>
      <c r="J118" s="17">
        <f t="shared" si="9"/>
        <v>7.7502777777777778</v>
      </c>
      <c r="K118" s="26">
        <f>Reference!H356</f>
        <v>5472980</v>
      </c>
      <c r="L118" s="27">
        <f>Reference!I356</f>
        <v>813300</v>
      </c>
      <c r="N118" s="16">
        <f>Test!B356</f>
        <v>0</v>
      </c>
      <c r="O118" s="17">
        <f>Test!C356</f>
        <v>0</v>
      </c>
      <c r="P118" s="17">
        <f>Test!D356</f>
        <v>0</v>
      </c>
      <c r="Q118" s="17">
        <f>Test!E356</f>
        <v>0</v>
      </c>
      <c r="R118" s="17">
        <f>Test!F356</f>
        <v>0</v>
      </c>
      <c r="S118" s="17">
        <f>Test!G356</f>
        <v>0</v>
      </c>
      <c r="T118" s="17">
        <f t="shared" si="10"/>
        <v>0</v>
      </c>
      <c r="U118" s="28">
        <f>Test!H356</f>
        <v>0</v>
      </c>
      <c r="V118" s="29">
        <f>Test!I356</f>
        <v>0</v>
      </c>
      <c r="W118" s="14">
        <f t="shared" si="11"/>
        <v>0</v>
      </c>
      <c r="X118" s="14">
        <f t="shared" si="12"/>
        <v>0</v>
      </c>
      <c r="Y118" s="14">
        <f t="shared" si="13"/>
        <v>0</v>
      </c>
      <c r="Z118" s="22">
        <f t="shared" si="13"/>
        <v>0</v>
      </c>
      <c r="AA118" s="39"/>
      <c r="AB118" s="43"/>
      <c r="AC118" s="44"/>
      <c r="AD118" s="44"/>
      <c r="AE118" s="43"/>
      <c r="AF118" s="44"/>
      <c r="AG118" s="45"/>
    </row>
    <row r="119" spans="1:34" x14ac:dyDescent="0.2">
      <c r="A119" s="12"/>
      <c r="B119" s="9" t="s">
        <v>120</v>
      </c>
      <c r="C119" s="9">
        <v>22</v>
      </c>
      <c r="D119" s="10">
        <f>Reference!B357</f>
        <v>2136.1296000000002</v>
      </c>
      <c r="E119" s="11">
        <f>Reference!C357</f>
        <v>48.149799999999999</v>
      </c>
      <c r="F119" s="11">
        <f>Reference!D357</f>
        <v>47.634900000000002</v>
      </c>
      <c r="G119" s="11">
        <f>Reference!E357</f>
        <v>47.664900000000003</v>
      </c>
      <c r="H119" s="11">
        <f>Reference!F357</f>
        <v>26453</v>
      </c>
      <c r="I119" s="11">
        <f>Reference!G357</f>
        <v>11.967000000000001</v>
      </c>
      <c r="J119" s="11">
        <f t="shared" si="9"/>
        <v>7.3480555555555558</v>
      </c>
      <c r="K119" s="24">
        <f>Reference!H357</f>
        <v>5812520</v>
      </c>
      <c r="L119" s="25">
        <f>Reference!I357</f>
        <v>910056</v>
      </c>
      <c r="N119" s="10">
        <f>Test!B357</f>
        <v>0</v>
      </c>
      <c r="O119" s="11">
        <f>Test!C357</f>
        <v>0</v>
      </c>
      <c r="P119" s="11">
        <f>Test!D357</f>
        <v>0</v>
      </c>
      <c r="Q119" s="11">
        <f>Test!E357</f>
        <v>0</v>
      </c>
      <c r="R119" s="11">
        <f>Test!F357</f>
        <v>0</v>
      </c>
      <c r="S119" s="11">
        <f>Test!G357</f>
        <v>0</v>
      </c>
      <c r="T119" s="11">
        <f t="shared" si="10"/>
        <v>0</v>
      </c>
      <c r="U119" s="24">
        <f>Test!H357</f>
        <v>0</v>
      </c>
      <c r="V119" s="25">
        <f>Test!I357</f>
        <v>0</v>
      </c>
      <c r="W119" s="14">
        <f t="shared" si="11"/>
        <v>0</v>
      </c>
      <c r="X119" s="14">
        <f t="shared" si="12"/>
        <v>0</v>
      </c>
      <c r="Y119" s="14">
        <f t="shared" si="13"/>
        <v>0</v>
      </c>
      <c r="Z119" s="22">
        <f t="shared" si="13"/>
        <v>0</v>
      </c>
      <c r="AA119" s="39"/>
      <c r="AB119" s="36" t="e">
        <f>bdrate($D119:$D122,E119:E122,$N119:$N122,O119:O122)</f>
        <v>#VALUE!</v>
      </c>
      <c r="AC119" s="37" t="e">
        <f>bdrate($D119:$D122,F119:F122,$N119:$N122,P119:P122)</f>
        <v>#VALUE!</v>
      </c>
      <c r="AD119" s="37" t="e">
        <f>bdrate($D119:$D122,G119:G122,$N119:$N122,Q119:Q122)</f>
        <v>#VALUE!</v>
      </c>
      <c r="AE119" s="46" t="e">
        <f>bdrateOld($D119:$D122,E119:E122,$N119:$N122,O119:O122)</f>
        <v>#VALUE!</v>
      </c>
      <c r="AF119" s="47" t="e">
        <f>bdrateOld($D119:$D122,F119:F122,$N119:$N122,P119:P122)</f>
        <v>#VALUE!</v>
      </c>
      <c r="AG119" s="49" t="e">
        <f>bdrateOld($D119:$D122,G119:G122,$N119:$N122,Q119:Q122)</f>
        <v>#VALUE!</v>
      </c>
    </row>
    <row r="120" spans="1:34" x14ac:dyDescent="0.2">
      <c r="A120" s="12"/>
      <c r="B120" s="12"/>
      <c r="C120" s="12">
        <v>27</v>
      </c>
      <c r="D120" s="13">
        <f>Reference!B358</f>
        <v>1508.3456000000001</v>
      </c>
      <c r="E120" s="14">
        <f>Reference!C358</f>
        <v>43.442999999999998</v>
      </c>
      <c r="F120" s="14">
        <f>Reference!D358</f>
        <v>44.430799999999998</v>
      </c>
      <c r="G120" s="14">
        <f>Reference!E358</f>
        <v>44.2378</v>
      </c>
      <c r="H120" s="14">
        <f>Reference!F358</f>
        <v>35088</v>
      </c>
      <c r="I120" s="14">
        <f>Reference!G358</f>
        <v>15.817</v>
      </c>
      <c r="J120" s="14">
        <f t="shared" si="9"/>
        <v>9.7466666666666661</v>
      </c>
      <c r="K120" s="26">
        <f>Reference!H358</f>
        <v>5773752</v>
      </c>
      <c r="L120" s="27">
        <f>Reference!I358</f>
        <v>888452</v>
      </c>
      <c r="N120" s="13">
        <f>Test!B358</f>
        <v>0</v>
      </c>
      <c r="O120" s="14">
        <f>Test!C358</f>
        <v>0</v>
      </c>
      <c r="P120" s="14">
        <f>Test!D358</f>
        <v>0</v>
      </c>
      <c r="Q120" s="14">
        <f>Test!E358</f>
        <v>0</v>
      </c>
      <c r="R120" s="14">
        <f>Test!F358</f>
        <v>0</v>
      </c>
      <c r="S120" s="14">
        <f>Test!G358</f>
        <v>0</v>
      </c>
      <c r="T120" s="14">
        <f t="shared" si="10"/>
        <v>0</v>
      </c>
      <c r="U120" s="26">
        <f>Test!H358</f>
        <v>0</v>
      </c>
      <c r="V120" s="27">
        <f>Test!I358</f>
        <v>0</v>
      </c>
      <c r="W120" s="14">
        <f t="shared" si="11"/>
        <v>0</v>
      </c>
      <c r="X120" s="14">
        <f t="shared" si="12"/>
        <v>0</v>
      </c>
      <c r="Y120" s="14">
        <f t="shared" si="13"/>
        <v>0</v>
      </c>
      <c r="Z120" s="22">
        <f t="shared" si="13"/>
        <v>0</v>
      </c>
      <c r="AA120" s="39"/>
      <c r="AB120" s="40"/>
      <c r="AC120" s="41"/>
      <c r="AD120" s="41"/>
      <c r="AE120" s="40"/>
      <c r="AF120" s="41"/>
      <c r="AG120" s="42"/>
    </row>
    <row r="121" spans="1:34" x14ac:dyDescent="0.2">
      <c r="A121" s="12"/>
      <c r="B121" s="12"/>
      <c r="C121" s="12">
        <v>32</v>
      </c>
      <c r="D121" s="13">
        <f>Reference!B359</f>
        <v>1067.3632</v>
      </c>
      <c r="E121" s="14">
        <f>Reference!C359</f>
        <v>38.718699999999998</v>
      </c>
      <c r="F121" s="14">
        <f>Reference!D359</f>
        <v>41.699800000000003</v>
      </c>
      <c r="G121" s="14">
        <f>Reference!E359</f>
        <v>41.470799999999997</v>
      </c>
      <c r="H121" s="14">
        <f>Reference!F359</f>
        <v>32750</v>
      </c>
      <c r="I121" s="14">
        <f>Reference!G359</f>
        <v>15.558</v>
      </c>
      <c r="J121" s="14">
        <f t="shared" si="9"/>
        <v>9.0972222222222214</v>
      </c>
      <c r="K121" s="26">
        <f>Reference!H359</f>
        <v>5793436</v>
      </c>
      <c r="L121" s="27">
        <f>Reference!I359</f>
        <v>891264</v>
      </c>
      <c r="N121" s="13">
        <f>Test!B359</f>
        <v>0</v>
      </c>
      <c r="O121" s="14">
        <f>Test!C359</f>
        <v>0</v>
      </c>
      <c r="P121" s="14">
        <f>Test!D359</f>
        <v>0</v>
      </c>
      <c r="Q121" s="14">
        <f>Test!E359</f>
        <v>0</v>
      </c>
      <c r="R121" s="14">
        <f>Test!F359</f>
        <v>0</v>
      </c>
      <c r="S121" s="14">
        <f>Test!G359</f>
        <v>0</v>
      </c>
      <c r="T121" s="14">
        <f t="shared" si="10"/>
        <v>0</v>
      </c>
      <c r="U121" s="26">
        <f>Test!H359</f>
        <v>0</v>
      </c>
      <c r="V121" s="27">
        <f>Test!I359</f>
        <v>0</v>
      </c>
      <c r="W121" s="14">
        <f t="shared" si="11"/>
        <v>0</v>
      </c>
      <c r="X121" s="14">
        <f t="shared" si="12"/>
        <v>0</v>
      </c>
      <c r="Y121" s="14">
        <f t="shared" si="13"/>
        <v>0</v>
      </c>
      <c r="Z121" s="22">
        <f t="shared" si="13"/>
        <v>0</v>
      </c>
      <c r="AA121" s="39"/>
      <c r="AB121" s="40"/>
      <c r="AC121" s="41"/>
      <c r="AD121" s="41"/>
      <c r="AE121" s="40"/>
      <c r="AF121" s="41"/>
      <c r="AG121" s="42"/>
    </row>
    <row r="122" spans="1:34" ht="12.75" thickBot="1" x14ac:dyDescent="0.25">
      <c r="A122" s="15"/>
      <c r="B122" s="15"/>
      <c r="C122" s="15">
        <v>37</v>
      </c>
      <c r="D122" s="16">
        <f>Reference!B360</f>
        <v>754.73760000000004</v>
      </c>
      <c r="E122" s="17">
        <f>Reference!C360</f>
        <v>33.979799999999997</v>
      </c>
      <c r="F122" s="17">
        <f>Reference!D360</f>
        <v>38.8367</v>
      </c>
      <c r="G122" s="17">
        <f>Reference!E360</f>
        <v>38.318600000000004</v>
      </c>
      <c r="H122" s="17">
        <f>Reference!F360</f>
        <v>21394</v>
      </c>
      <c r="I122" s="17">
        <f>Reference!G360</f>
        <v>12.093999999999999</v>
      </c>
      <c r="J122" s="17">
        <f t="shared" si="9"/>
        <v>5.9427777777777777</v>
      </c>
      <c r="K122" s="28">
        <f>Reference!H360</f>
        <v>5793244</v>
      </c>
      <c r="L122" s="29">
        <f>Reference!I360</f>
        <v>864512</v>
      </c>
      <c r="N122" s="16">
        <f>Test!B360</f>
        <v>0</v>
      </c>
      <c r="O122" s="17">
        <f>Test!C360</f>
        <v>0</v>
      </c>
      <c r="P122" s="17">
        <f>Test!D360</f>
        <v>0</v>
      </c>
      <c r="Q122" s="17">
        <f>Test!E360</f>
        <v>0</v>
      </c>
      <c r="R122" s="17">
        <f>Test!F360</f>
        <v>0</v>
      </c>
      <c r="S122" s="17">
        <f>Test!G360</f>
        <v>0</v>
      </c>
      <c r="T122" s="17">
        <f t="shared" si="10"/>
        <v>0</v>
      </c>
      <c r="U122" s="28">
        <f>Test!H360</f>
        <v>0</v>
      </c>
      <c r="V122" s="29">
        <f>Test!I360</f>
        <v>0</v>
      </c>
      <c r="W122" s="17">
        <f t="shared" si="11"/>
        <v>0</v>
      </c>
      <c r="X122" s="17">
        <f t="shared" si="12"/>
        <v>0</v>
      </c>
      <c r="Y122" s="17">
        <f t="shared" si="13"/>
        <v>0</v>
      </c>
      <c r="Z122" s="23">
        <f t="shared" si="13"/>
        <v>0</v>
      </c>
      <c r="AA122" s="48"/>
      <c r="AB122" s="43"/>
      <c r="AC122" s="44"/>
      <c r="AD122" s="44"/>
      <c r="AE122" s="43"/>
      <c r="AF122" s="44"/>
      <c r="AG122" s="45"/>
    </row>
    <row r="123" spans="1:34" x14ac:dyDescent="0.2">
      <c r="B123" s="2" t="s">
        <v>19</v>
      </c>
      <c r="I123" s="39"/>
      <c r="J123" s="39"/>
      <c r="K123" s="39"/>
      <c r="L123" s="50"/>
      <c r="S123" s="39"/>
      <c r="T123" s="39"/>
      <c r="U123" s="39"/>
      <c r="V123" s="50"/>
      <c r="W123" s="39"/>
      <c r="X123" s="39"/>
      <c r="Y123" s="39"/>
      <c r="Z123" s="50"/>
      <c r="AB123" s="36"/>
      <c r="AC123" s="37"/>
      <c r="AD123" s="38"/>
      <c r="AE123" s="36"/>
      <c r="AF123" s="37"/>
      <c r="AG123" s="38"/>
    </row>
    <row r="124" spans="1:34" x14ac:dyDescent="0.2">
      <c r="B124" s="2" t="s">
        <v>21</v>
      </c>
      <c r="I124" s="39"/>
      <c r="J124" s="39"/>
      <c r="K124" s="39"/>
      <c r="L124" s="50"/>
      <c r="S124" s="39"/>
      <c r="T124" s="39"/>
      <c r="U124" s="39"/>
      <c r="V124" s="50"/>
      <c r="W124" s="39"/>
      <c r="X124" s="39"/>
      <c r="Y124" s="39"/>
      <c r="Z124" s="50"/>
      <c r="AB124" s="46"/>
      <c r="AC124" s="47"/>
      <c r="AD124" s="49"/>
      <c r="AE124" s="46"/>
      <c r="AF124" s="47"/>
      <c r="AG124" s="49"/>
    </row>
    <row r="125" spans="1:34" x14ac:dyDescent="0.2">
      <c r="B125" s="2" t="s">
        <v>22</v>
      </c>
      <c r="I125" s="39">
        <f>GEOMEAN(I27:I46)</f>
        <v>53.31789198352822</v>
      </c>
      <c r="J125" s="39">
        <f>GEOMEAN(J27:J46)</f>
        <v>15.933086785017634</v>
      </c>
      <c r="K125" s="39"/>
      <c r="L125" s="50"/>
      <c r="S125" s="39" t="e">
        <f>GEOMEAN(S27:S46)</f>
        <v>#NUM!</v>
      </c>
      <c r="T125" s="39" t="e">
        <f>GEOMEAN(T27:T46)</f>
        <v>#NUM!</v>
      </c>
      <c r="U125" s="39"/>
      <c r="V125" s="50"/>
      <c r="W125" s="39" t="e">
        <f>GEOMEAN(W27:W46)</f>
        <v>#NUM!</v>
      </c>
      <c r="X125" s="39" t="e">
        <f>GEOMEAN(X27:X46)</f>
        <v>#NUM!</v>
      </c>
      <c r="Y125" s="39" t="e">
        <f>GEOMEAN(Y27:Y46)</f>
        <v>#NUM!</v>
      </c>
      <c r="Z125" s="50" t="e">
        <f>GEOMEAN(Z27:Z46)</f>
        <v>#NUM!</v>
      </c>
      <c r="AB125" s="46" t="e">
        <f t="shared" ref="AB125:AG125" si="14">AVERAGE(AB27:AB46)</f>
        <v>#VALUE!</v>
      </c>
      <c r="AC125" s="47" t="e">
        <f t="shared" si="14"/>
        <v>#VALUE!</v>
      </c>
      <c r="AD125" s="49" t="e">
        <f t="shared" si="14"/>
        <v>#VALUE!</v>
      </c>
      <c r="AE125" s="46" t="e">
        <f t="shared" si="14"/>
        <v>#VALUE!</v>
      </c>
      <c r="AF125" s="47" t="e">
        <f t="shared" si="14"/>
        <v>#VALUE!</v>
      </c>
      <c r="AG125" s="49" t="e">
        <f t="shared" si="14"/>
        <v>#VALUE!</v>
      </c>
      <c r="AH125" s="41" t="e">
        <f t="shared" ref="AH125:AH131" si="15">(AB125*6+AC125+AD125)/8</f>
        <v>#VALUE!</v>
      </c>
    </row>
    <row r="126" spans="1:34" x14ac:dyDescent="0.2">
      <c r="B126" s="2" t="s">
        <v>23</v>
      </c>
      <c r="I126" s="39">
        <f>GEOMEAN(I47:I62)</f>
        <v>12.015985702679281</v>
      </c>
      <c r="J126" s="39">
        <f>GEOMEAN(J47:J62)</f>
        <v>4.0304673608213566</v>
      </c>
      <c r="K126" s="39"/>
      <c r="L126" s="50"/>
      <c r="S126" s="39" t="e">
        <f>GEOMEAN(S47:S62)</f>
        <v>#NUM!</v>
      </c>
      <c r="T126" s="39" t="e">
        <f>GEOMEAN(T47:T62)</f>
        <v>#NUM!</v>
      </c>
      <c r="U126" s="39"/>
      <c r="V126" s="50"/>
      <c r="W126" s="39" t="e">
        <f>GEOMEAN(W47:W62)</f>
        <v>#NUM!</v>
      </c>
      <c r="X126" s="39" t="e">
        <f>GEOMEAN(X47:X62)</f>
        <v>#NUM!</v>
      </c>
      <c r="Y126" s="39" t="e">
        <f>GEOMEAN(Y47:Y62)</f>
        <v>#NUM!</v>
      </c>
      <c r="Z126" s="50" t="e">
        <f>GEOMEAN(Z47:Z62)</f>
        <v>#NUM!</v>
      </c>
      <c r="AB126" s="46" t="e">
        <f t="shared" ref="AB126:AG126" si="16">AVERAGE(AB47:AB62)</f>
        <v>#VALUE!</v>
      </c>
      <c r="AC126" s="47" t="e">
        <f t="shared" si="16"/>
        <v>#VALUE!</v>
      </c>
      <c r="AD126" s="49" t="e">
        <f t="shared" si="16"/>
        <v>#VALUE!</v>
      </c>
      <c r="AE126" s="46" t="e">
        <f t="shared" si="16"/>
        <v>#VALUE!</v>
      </c>
      <c r="AF126" s="47" t="e">
        <f t="shared" si="16"/>
        <v>#VALUE!</v>
      </c>
      <c r="AG126" s="49" t="e">
        <f t="shared" si="16"/>
        <v>#VALUE!</v>
      </c>
      <c r="AH126" s="41" t="e">
        <f t="shared" si="15"/>
        <v>#VALUE!</v>
      </c>
    </row>
    <row r="127" spans="1:34" x14ac:dyDescent="0.2">
      <c r="B127" s="2" t="s">
        <v>27</v>
      </c>
      <c r="I127" s="39">
        <f>GEOMEAN(I63:I78)</f>
        <v>3.2906764533340285</v>
      </c>
      <c r="J127" s="39">
        <f>GEOMEAN(J63:J78)</f>
        <v>0.99683813249176123</v>
      </c>
      <c r="K127" s="39"/>
      <c r="L127" s="50"/>
      <c r="S127" s="39" t="e">
        <f>GEOMEAN(S63:S78)</f>
        <v>#NUM!</v>
      </c>
      <c r="T127" s="39" t="e">
        <f>GEOMEAN(T63:T78)</f>
        <v>#NUM!</v>
      </c>
      <c r="U127" s="39"/>
      <c r="V127" s="50"/>
      <c r="W127" s="39" t="e">
        <f>GEOMEAN(W63:W78)</f>
        <v>#NUM!</v>
      </c>
      <c r="X127" s="39" t="e">
        <f>GEOMEAN(X63:X78)</f>
        <v>#NUM!</v>
      </c>
      <c r="Y127" s="39" t="e">
        <f>GEOMEAN(Y63:Y78)</f>
        <v>#NUM!</v>
      </c>
      <c r="Z127" s="50" t="e">
        <f>GEOMEAN(Z63:Z78)</f>
        <v>#NUM!</v>
      </c>
      <c r="AB127" s="46" t="e">
        <f t="shared" ref="AB127:AG127" si="17">AVERAGE(AB63:AB78)</f>
        <v>#VALUE!</v>
      </c>
      <c r="AC127" s="47" t="e">
        <f t="shared" si="17"/>
        <v>#VALUE!</v>
      </c>
      <c r="AD127" s="49" t="e">
        <f t="shared" si="17"/>
        <v>#VALUE!</v>
      </c>
      <c r="AE127" s="46" t="e">
        <f t="shared" si="17"/>
        <v>#VALUE!</v>
      </c>
      <c r="AF127" s="47" t="e">
        <f t="shared" si="17"/>
        <v>#VALUE!</v>
      </c>
      <c r="AG127" s="49" t="e">
        <f t="shared" si="17"/>
        <v>#VALUE!</v>
      </c>
      <c r="AH127" s="41" t="e">
        <f t="shared" si="15"/>
        <v>#VALUE!</v>
      </c>
    </row>
    <row r="128" spans="1:34" x14ac:dyDescent="0.2">
      <c r="B128" s="2" t="s">
        <v>24</v>
      </c>
      <c r="I128" s="39">
        <f>GEOMEAN(I79:I90)</f>
        <v>10.923248005972214</v>
      </c>
      <c r="J128" s="39">
        <f>GEOMEAN(J79:J90)</f>
        <v>3.5833963332998309</v>
      </c>
      <c r="K128" s="39"/>
      <c r="L128" s="50"/>
      <c r="S128" s="39" t="e">
        <f>GEOMEAN(S79:S90)</f>
        <v>#NUM!</v>
      </c>
      <c r="T128" s="39" t="e">
        <f>GEOMEAN(T79:T90)</f>
        <v>#NUM!</v>
      </c>
      <c r="U128" s="39"/>
      <c r="V128" s="50"/>
      <c r="W128" s="39" t="e">
        <f>GEOMEAN(W79:W90)</f>
        <v>#NUM!</v>
      </c>
      <c r="X128" s="39" t="e">
        <f>GEOMEAN(X79:X90)</f>
        <v>#NUM!</v>
      </c>
      <c r="Y128" s="39" t="e">
        <f>GEOMEAN(Y79:Y90)</f>
        <v>#NUM!</v>
      </c>
      <c r="Z128" s="50" t="e">
        <f>GEOMEAN(Z79:Z90)</f>
        <v>#NUM!</v>
      </c>
      <c r="AB128" s="46" t="e">
        <f t="shared" ref="AB128:AG128" si="18">AVERAGE(AB79:AB88)</f>
        <v>#VALUE!</v>
      </c>
      <c r="AC128" s="47" t="e">
        <f t="shared" si="18"/>
        <v>#VALUE!</v>
      </c>
      <c r="AD128" s="49" t="e">
        <f t="shared" si="18"/>
        <v>#VALUE!</v>
      </c>
      <c r="AE128" s="46" t="e">
        <f t="shared" si="18"/>
        <v>#VALUE!</v>
      </c>
      <c r="AF128" s="47" t="e">
        <f t="shared" si="18"/>
        <v>#VALUE!</v>
      </c>
      <c r="AG128" s="49" t="e">
        <f t="shared" si="18"/>
        <v>#VALUE!</v>
      </c>
      <c r="AH128" s="41" t="e">
        <f t="shared" si="15"/>
        <v>#VALUE!</v>
      </c>
    </row>
    <row r="129" spans="1:34" x14ac:dyDescent="0.2">
      <c r="B129" s="2" t="s">
        <v>28</v>
      </c>
      <c r="I129" s="39">
        <f>GEOMEAN(I91:I106)</f>
        <v>7.648823189548648</v>
      </c>
      <c r="J129" s="39">
        <f>GEOMEAN(J91:J106)</f>
        <v>3.007665962220178</v>
      </c>
      <c r="K129" s="39"/>
      <c r="L129" s="50"/>
      <c r="S129" s="39" t="e">
        <f>GEOMEAN(S91:S106)</f>
        <v>#NUM!</v>
      </c>
      <c r="T129" s="39" t="e">
        <f>GEOMEAN(T91:T106)</f>
        <v>#NUM!</v>
      </c>
      <c r="U129" s="39"/>
      <c r="V129" s="50"/>
      <c r="W129" s="39" t="e">
        <f>GEOMEAN(W91:W106)</f>
        <v>#NUM!</v>
      </c>
      <c r="X129" s="39" t="e">
        <f>GEOMEAN(X91:X106)</f>
        <v>#NUM!</v>
      </c>
      <c r="Y129" s="39" t="e">
        <f>GEOMEAN(Y91:Y106)</f>
        <v>#NUM!</v>
      </c>
      <c r="Z129" s="50" t="e">
        <f>GEOMEAN(Z91:Z106)</f>
        <v>#NUM!</v>
      </c>
      <c r="AB129" s="46" t="e">
        <f t="shared" ref="AB129:AG129" si="19">AVERAGE(AB91:AB106)</f>
        <v>#VALUE!</v>
      </c>
      <c r="AC129" s="47" t="e">
        <f t="shared" si="19"/>
        <v>#VALUE!</v>
      </c>
      <c r="AD129" s="49" t="e">
        <f t="shared" si="19"/>
        <v>#VALUE!</v>
      </c>
      <c r="AE129" s="46" t="e">
        <f t="shared" si="19"/>
        <v>#VALUE!</v>
      </c>
      <c r="AF129" s="47" t="e">
        <f t="shared" si="19"/>
        <v>#VALUE!</v>
      </c>
      <c r="AG129" s="49" t="e">
        <f t="shared" si="19"/>
        <v>#VALUE!</v>
      </c>
      <c r="AH129" s="41" t="e">
        <f t="shared" si="15"/>
        <v>#VALUE!</v>
      </c>
    </row>
    <row r="130" spans="1:34" ht="12.75" thickBot="1" x14ac:dyDescent="0.25">
      <c r="B130" s="2" t="s">
        <v>121</v>
      </c>
      <c r="I130" s="39">
        <f>GEOMEAN(I107:I122)</f>
        <v>29.54551878514371</v>
      </c>
      <c r="J130" s="39">
        <f>GEOMEAN(J107:J122)</f>
        <v>10.057548763780858</v>
      </c>
      <c r="K130" s="39"/>
      <c r="L130" s="50"/>
      <c r="S130" s="39" t="e">
        <f>GEOMEAN(S107:S122)</f>
        <v>#NUM!</v>
      </c>
      <c r="T130" s="39" t="e">
        <f>GEOMEAN(T107:T122)</f>
        <v>#NUM!</v>
      </c>
      <c r="U130" s="39"/>
      <c r="V130" s="50"/>
      <c r="W130" s="39" t="e">
        <f>GEOMEAN(W107:W122)</f>
        <v>#NUM!</v>
      </c>
      <c r="X130" s="39" t="e">
        <f>GEOMEAN(X107:X122)</f>
        <v>#NUM!</v>
      </c>
      <c r="Y130" s="39" t="e">
        <f>GEOMEAN(Y107:Y122)</f>
        <v>#NUM!</v>
      </c>
      <c r="Z130" s="50" t="e">
        <f>GEOMEAN(Z107:Z122)</f>
        <v>#NUM!</v>
      </c>
      <c r="AB130" s="46" t="e">
        <f t="shared" ref="AB130:AG130" si="20">AVERAGE(AB107:AB122)</f>
        <v>#VALUE!</v>
      </c>
      <c r="AC130" s="47" t="e">
        <f t="shared" si="20"/>
        <v>#VALUE!</v>
      </c>
      <c r="AD130" s="49" t="e">
        <f t="shared" si="20"/>
        <v>#VALUE!</v>
      </c>
      <c r="AE130" s="46" t="e">
        <f t="shared" si="20"/>
        <v>#VALUE!</v>
      </c>
      <c r="AF130" s="47" t="e">
        <f t="shared" si="20"/>
        <v>#VALUE!</v>
      </c>
      <c r="AG130" s="49" t="e">
        <f t="shared" si="20"/>
        <v>#VALUE!</v>
      </c>
      <c r="AH130" s="41" t="e">
        <f t="shared" si="15"/>
        <v>#VALUE!</v>
      </c>
    </row>
    <row r="131" spans="1:34" ht="12.75" thickBot="1" x14ac:dyDescent="0.25">
      <c r="A131" s="51"/>
      <c r="B131" s="52" t="s">
        <v>34</v>
      </c>
      <c r="C131" s="52"/>
      <c r="D131" s="52"/>
      <c r="E131" s="52"/>
      <c r="F131" s="52"/>
      <c r="G131" s="52"/>
      <c r="H131" s="52"/>
      <c r="I131" s="53">
        <f>GEOMEAN(I3:I62,I79:I90)</f>
        <v>21.829216786764579</v>
      </c>
      <c r="J131" s="53">
        <f>GEOMEAN(J3:J62,J79:J90)</f>
        <v>6.9393237245522892</v>
      </c>
      <c r="K131" s="53"/>
      <c r="L131" s="54"/>
      <c r="M131" s="52"/>
      <c r="N131" s="52"/>
      <c r="O131" s="52"/>
      <c r="P131" s="52"/>
      <c r="Q131" s="52"/>
      <c r="R131" s="52"/>
      <c r="S131" s="53" t="e">
        <f>GEOMEAN(S3:S62,S79:S90)</f>
        <v>#NUM!</v>
      </c>
      <c r="T131" s="53" t="e">
        <f>GEOMEAN(T3:T62,T79:T90)</f>
        <v>#NUM!</v>
      </c>
      <c r="U131" s="53"/>
      <c r="V131" s="54"/>
      <c r="W131" s="53" t="e">
        <f>GEOMEAN(W3:W62,W79:W90)</f>
        <v>#NUM!</v>
      </c>
      <c r="X131" s="53" t="e">
        <f>GEOMEAN(X3:X62,X79:X90)</f>
        <v>#NUM!</v>
      </c>
      <c r="Y131" s="53" t="e">
        <f>GEOMEAN(Y3:Y62,Y79:Y90)</f>
        <v>#NUM!</v>
      </c>
      <c r="Z131" s="54" t="e">
        <f>GEOMEAN(Z3:Z62,Z79:Z90)</f>
        <v>#NUM!</v>
      </c>
      <c r="AA131" s="52"/>
      <c r="AB131" s="59" t="e">
        <f t="shared" ref="AB131:AG131" si="21">AVERAGE(AB3:AB62,AB79:AB90)</f>
        <v>#VALUE!</v>
      </c>
      <c r="AC131" s="60" t="e">
        <f t="shared" si="21"/>
        <v>#VALUE!</v>
      </c>
      <c r="AD131" s="61" t="e">
        <f t="shared" si="21"/>
        <v>#VALUE!</v>
      </c>
      <c r="AE131" s="59" t="e">
        <f t="shared" si="21"/>
        <v>#VALUE!</v>
      </c>
      <c r="AF131" s="60" t="e">
        <f t="shared" si="21"/>
        <v>#VALUE!</v>
      </c>
      <c r="AG131" s="61" t="e">
        <f t="shared" si="21"/>
        <v>#VALUE!</v>
      </c>
      <c r="AH131" s="41" t="e">
        <f t="shared" si="15"/>
        <v>#VALUE!</v>
      </c>
    </row>
    <row r="132" spans="1:34" x14ac:dyDescent="0.2">
      <c r="B132" s="2" t="s">
        <v>122</v>
      </c>
      <c r="I132" s="55">
        <f>GEOMEAN(I3:I106)</f>
        <v>12.122685920285015</v>
      </c>
      <c r="J132" s="55">
        <f>GEOMEAN(J3:J106)</f>
        <v>3.9825490890480393</v>
      </c>
      <c r="K132" s="55"/>
      <c r="L132" s="56"/>
      <c r="S132" s="55" t="e">
        <f>GEOMEAN(S3:S106)</f>
        <v>#NUM!</v>
      </c>
      <c r="T132" s="55" t="e">
        <f>GEOMEAN(T3:T106)</f>
        <v>#NUM!</v>
      </c>
      <c r="U132" s="55"/>
      <c r="V132" s="56"/>
      <c r="W132" s="55"/>
      <c r="X132" s="55"/>
      <c r="Y132" s="55"/>
      <c r="Z132" s="55"/>
    </row>
    <row r="133" spans="1:34" x14ac:dyDescent="0.2">
      <c r="B133" s="2" t="s">
        <v>123</v>
      </c>
      <c r="S133" s="57" t="e">
        <f>S132/I132</f>
        <v>#NUM!</v>
      </c>
      <c r="T133" s="57" t="e">
        <f>T132/J132</f>
        <v>#NUM!</v>
      </c>
      <c r="U133" s="57"/>
      <c r="V133" s="58"/>
      <c r="W133" s="57"/>
      <c r="X133" s="57"/>
      <c r="Y133" s="57"/>
      <c r="Z133" s="57"/>
    </row>
    <row r="134" spans="1:34" x14ac:dyDescent="0.2">
      <c r="B134" s="2" t="s">
        <v>124</v>
      </c>
      <c r="I134" s="55"/>
      <c r="J134" s="55"/>
      <c r="K134" s="55"/>
      <c r="L134" s="56"/>
      <c r="S134" s="55"/>
      <c r="T134" s="55"/>
      <c r="U134" s="55"/>
      <c r="V134" s="56"/>
      <c r="W134" s="55"/>
      <c r="X134" s="55"/>
      <c r="Y134" s="55"/>
      <c r="Z134" s="55"/>
    </row>
    <row r="136" spans="1:34" x14ac:dyDescent="0.2">
      <c r="B136" s="2" t="s">
        <v>125</v>
      </c>
    </row>
    <row r="137" spans="1:34" x14ac:dyDescent="0.2">
      <c r="B137" s="2" t="s">
        <v>19</v>
      </c>
      <c r="I137" s="39">
        <f>SUM(I$3:I$14)</f>
        <v>0</v>
      </c>
      <c r="J137" s="39">
        <f>SUM(J$3:J$14)</f>
        <v>0</v>
      </c>
      <c r="K137" s="39"/>
      <c r="L137" s="50"/>
      <c r="S137" s="39">
        <f>SUM(S$3:S$14)</f>
        <v>0</v>
      </c>
      <c r="T137" s="39">
        <f>SUM(T$3:T$14)</f>
        <v>0</v>
      </c>
      <c r="U137" s="39"/>
      <c r="V137" s="50"/>
      <c r="W137" s="39" t="e">
        <f>T137/J137</f>
        <v>#DIV/0!</v>
      </c>
      <c r="X137" s="39" t="e">
        <f>S137/I137</f>
        <v>#DIV/0!</v>
      </c>
      <c r="Y137" s="39"/>
      <c r="Z137" s="39"/>
    </row>
    <row r="138" spans="1:34" x14ac:dyDescent="0.2">
      <c r="B138" s="2" t="s">
        <v>21</v>
      </c>
      <c r="I138" s="39">
        <f>SUM(I$15:I$26)</f>
        <v>0</v>
      </c>
      <c r="J138" s="39">
        <f>SUM(J$15:J$26)</f>
        <v>0</v>
      </c>
      <c r="K138" s="39"/>
      <c r="L138" s="50"/>
      <c r="S138" s="39">
        <f>SUM(S$15:S$26)</f>
        <v>0</v>
      </c>
      <c r="T138" s="39">
        <f>SUM(T$15:T$26)</f>
        <v>0</v>
      </c>
      <c r="U138" s="39"/>
      <c r="V138" s="50"/>
      <c r="W138" s="39" t="e">
        <f t="shared" ref="W138:W145" si="22">T138/J138</f>
        <v>#DIV/0!</v>
      </c>
      <c r="X138" s="39" t="e">
        <f t="shared" ref="X138:X145" si="23">S138/I138</f>
        <v>#DIV/0!</v>
      </c>
      <c r="Y138" s="39"/>
      <c r="Z138" s="39"/>
    </row>
    <row r="139" spans="1:34" x14ac:dyDescent="0.2">
      <c r="B139" s="2" t="s">
        <v>22</v>
      </c>
      <c r="I139" s="39">
        <f>SUM(I$27:I$46)</f>
        <v>1146.0929999999998</v>
      </c>
      <c r="J139" s="39">
        <f>SUM(J$27:J$46)</f>
        <v>371.16777777777776</v>
      </c>
      <c r="K139" s="39"/>
      <c r="L139" s="50"/>
      <c r="S139" s="39">
        <f>SUM(S$27:S$46)</f>
        <v>0</v>
      </c>
      <c r="T139" s="39">
        <f>SUM(T$27:T$46)</f>
        <v>0</v>
      </c>
      <c r="U139" s="39"/>
      <c r="V139" s="50"/>
      <c r="W139" s="39">
        <f t="shared" si="22"/>
        <v>0</v>
      </c>
      <c r="X139" s="39">
        <f t="shared" si="23"/>
        <v>0</v>
      </c>
      <c r="Y139" s="39"/>
      <c r="Z139" s="39"/>
    </row>
    <row r="140" spans="1:34" x14ac:dyDescent="0.2">
      <c r="B140" s="2" t="s">
        <v>23</v>
      </c>
      <c r="I140" s="39">
        <f>SUM(I$47:I$62)</f>
        <v>208.97199999999998</v>
      </c>
      <c r="J140" s="39">
        <f>SUM(J$47:J$62)</f>
        <v>71.623611111111117</v>
      </c>
      <c r="K140" s="39"/>
      <c r="L140" s="50"/>
      <c r="S140" s="39">
        <f>SUM(S$47:S$62)</f>
        <v>0</v>
      </c>
      <c r="T140" s="39">
        <f>SUM(T$47:T$62)</f>
        <v>0</v>
      </c>
      <c r="U140" s="39"/>
      <c r="V140" s="50"/>
      <c r="W140" s="39">
        <f t="shared" si="22"/>
        <v>0</v>
      </c>
      <c r="X140" s="39">
        <f t="shared" si="23"/>
        <v>0</v>
      </c>
      <c r="Y140" s="39"/>
      <c r="Z140" s="39"/>
    </row>
    <row r="141" spans="1:34" x14ac:dyDescent="0.2">
      <c r="B141" s="2" t="s">
        <v>27</v>
      </c>
      <c r="I141" s="39">
        <f>SUM(I$63:I$78)</f>
        <v>59.83400000000001</v>
      </c>
      <c r="J141" s="39">
        <f>SUM(J$63:J$78)</f>
        <v>17.58861111111111</v>
      </c>
      <c r="K141" s="39"/>
      <c r="L141" s="50"/>
      <c r="S141" s="39">
        <f>SUM(S$63:S$78)</f>
        <v>0</v>
      </c>
      <c r="T141" s="39">
        <f>SUM(T$63:T$78)</f>
        <v>0</v>
      </c>
      <c r="U141" s="39"/>
      <c r="V141" s="50"/>
      <c r="W141" s="39">
        <f t="shared" si="22"/>
        <v>0</v>
      </c>
      <c r="X141" s="39">
        <f t="shared" si="23"/>
        <v>0</v>
      </c>
      <c r="Y141" s="39"/>
      <c r="Z141" s="39"/>
    </row>
    <row r="142" spans="1:34" x14ac:dyDescent="0.2">
      <c r="B142" s="2" t="s">
        <v>24</v>
      </c>
      <c r="I142" s="39">
        <f>SUM(I$79:I$90)</f>
        <v>142.93299999999999</v>
      </c>
      <c r="J142" s="39">
        <f>SUM(J$79:J$90)</f>
        <v>46.616944444444449</v>
      </c>
      <c r="K142" s="39"/>
      <c r="L142" s="50"/>
      <c r="S142" s="39">
        <f>SUM(S$79:S$90)</f>
        <v>0</v>
      </c>
      <c r="T142" s="39">
        <f>SUM(T$79:T$90)</f>
        <v>0</v>
      </c>
      <c r="U142" s="39"/>
      <c r="V142" s="50"/>
      <c r="W142" s="39">
        <f t="shared" si="22"/>
        <v>0</v>
      </c>
      <c r="X142" s="39">
        <f t="shared" si="23"/>
        <v>0</v>
      </c>
      <c r="Y142" s="39"/>
      <c r="Z142" s="39"/>
    </row>
    <row r="143" spans="1:34" x14ac:dyDescent="0.2">
      <c r="B143" s="2" t="s">
        <v>28</v>
      </c>
      <c r="I143" s="39">
        <f>SUM(I$91:I$106)</f>
        <v>247.89500000000001</v>
      </c>
      <c r="J143" s="39">
        <f>SUM(J$91:J$106)</f>
        <v>95.901388888888874</v>
      </c>
      <c r="K143" s="39"/>
      <c r="L143" s="50"/>
      <c r="S143" s="39">
        <f>SUM(S$91:S$106)</f>
        <v>0</v>
      </c>
      <c r="T143" s="39">
        <f>SUM(T$91:T$106)</f>
        <v>0</v>
      </c>
      <c r="U143" s="39"/>
      <c r="V143" s="50"/>
      <c r="W143" s="39">
        <f t="shared" si="22"/>
        <v>0</v>
      </c>
      <c r="X143" s="39">
        <f t="shared" si="23"/>
        <v>0</v>
      </c>
      <c r="Y143" s="39"/>
      <c r="Z143" s="39"/>
    </row>
    <row r="144" spans="1:34" x14ac:dyDescent="0.2">
      <c r="B144" s="2" t="s">
        <v>29</v>
      </c>
      <c r="I144" s="39">
        <f>SUM(I$107:I$122)</f>
        <v>567.41600000000005</v>
      </c>
      <c r="J144" s="39">
        <f>SUM(J$107:J$122)</f>
        <v>196.19472222222225</v>
      </c>
      <c r="K144" s="39"/>
      <c r="L144" s="50"/>
      <c r="S144" s="39">
        <f>SUM(S$107:S$122)</f>
        <v>0</v>
      </c>
      <c r="T144" s="39">
        <f>SUM(T$107:T$122)</f>
        <v>0</v>
      </c>
      <c r="U144" s="39"/>
      <c r="V144" s="50"/>
      <c r="W144" s="39">
        <f t="shared" si="22"/>
        <v>0</v>
      </c>
      <c r="X144" s="39">
        <f t="shared" si="23"/>
        <v>0</v>
      </c>
      <c r="Y144" s="39"/>
      <c r="Z144" s="39"/>
    </row>
    <row r="145" spans="2:26" x14ac:dyDescent="0.2">
      <c r="B145" s="2" t="s">
        <v>34</v>
      </c>
      <c r="I145" s="39">
        <f>SUM(I137:I144)</f>
        <v>2373.143</v>
      </c>
      <c r="J145" s="39">
        <f>SUM(J137:J144)</f>
        <v>799.09305555555557</v>
      </c>
      <c r="K145" s="39"/>
      <c r="L145" s="50"/>
      <c r="S145" s="39">
        <f>SUM(S137:S144)</f>
        <v>0</v>
      </c>
      <c r="T145" s="39">
        <f>SUM(T137:T144)</f>
        <v>0</v>
      </c>
      <c r="U145" s="39"/>
      <c r="V145" s="50"/>
      <c r="W145" s="39">
        <f t="shared" si="22"/>
        <v>0</v>
      </c>
      <c r="X145" s="39">
        <f t="shared" si="23"/>
        <v>0</v>
      </c>
      <c r="Y145" s="39"/>
      <c r="Z145" s="39"/>
    </row>
    <row r="146" spans="2:26" x14ac:dyDescent="0.2">
      <c r="W146" s="39"/>
      <c r="X146" s="39"/>
      <c r="Y146" s="39"/>
      <c r="Z146" s="39"/>
    </row>
    <row r="147" spans="2:26" x14ac:dyDescent="0.2">
      <c r="B147" s="2" t="s">
        <v>126</v>
      </c>
      <c r="W147" s="39"/>
      <c r="X147" s="39"/>
      <c r="Y147" s="39"/>
      <c r="Z147" s="39"/>
    </row>
    <row r="148" spans="2:26" x14ac:dyDescent="0.2">
      <c r="B148" s="2" t="s">
        <v>19</v>
      </c>
      <c r="I148" s="39">
        <f>MAX(I$3:I$14)</f>
        <v>0</v>
      </c>
      <c r="J148" s="39">
        <f>MAX(J$3:J$14)</f>
        <v>0</v>
      </c>
      <c r="K148" s="39"/>
      <c r="L148" s="50"/>
      <c r="S148" s="39">
        <f>MAX(S$3:S$14)</f>
        <v>0</v>
      </c>
      <c r="T148" s="39">
        <f>MAX(T$3:T$14)</f>
        <v>0</v>
      </c>
      <c r="U148" s="39"/>
      <c r="V148" s="50"/>
      <c r="W148" s="39" t="e">
        <f t="shared" ref="W148:W156" si="24">T148/J148</f>
        <v>#DIV/0!</v>
      </c>
      <c r="X148" s="39" t="e">
        <f t="shared" ref="X148:X156" si="25">S148/I148</f>
        <v>#DIV/0!</v>
      </c>
      <c r="Y148" s="39"/>
      <c r="Z148" s="39"/>
    </row>
    <row r="149" spans="2:26" x14ac:dyDescent="0.2">
      <c r="B149" s="2" t="s">
        <v>21</v>
      </c>
      <c r="I149" s="39">
        <f>MAX(I$15:I$26)</f>
        <v>0</v>
      </c>
      <c r="J149" s="39">
        <f>MAX(J$15:J$26)</f>
        <v>0</v>
      </c>
      <c r="K149" s="39"/>
      <c r="L149" s="50"/>
      <c r="S149" s="39">
        <f>MAX(S$15:S$26)</f>
        <v>0</v>
      </c>
      <c r="T149" s="39">
        <f>MAX(T$15:T$26)</f>
        <v>0</v>
      </c>
      <c r="U149" s="39"/>
      <c r="V149" s="50"/>
      <c r="W149" s="39" t="e">
        <f t="shared" si="24"/>
        <v>#DIV/0!</v>
      </c>
      <c r="X149" s="39" t="e">
        <f t="shared" si="25"/>
        <v>#DIV/0!</v>
      </c>
      <c r="Y149" s="39"/>
      <c r="Z149" s="39"/>
    </row>
    <row r="150" spans="2:26" x14ac:dyDescent="0.2">
      <c r="B150" s="2" t="s">
        <v>22</v>
      </c>
      <c r="I150" s="39">
        <f>MAX(I$27:I$46)</f>
        <v>104.708</v>
      </c>
      <c r="J150" s="39">
        <f>MAX(J$27:J$46)</f>
        <v>46.858055555555552</v>
      </c>
      <c r="K150" s="39"/>
      <c r="L150" s="50"/>
      <c r="S150" s="39">
        <f>MAX(S$27:S$46)</f>
        <v>0</v>
      </c>
      <c r="T150" s="39">
        <f>MAX(T$27:T$46)</f>
        <v>0</v>
      </c>
      <c r="U150" s="39"/>
      <c r="V150" s="50"/>
      <c r="W150" s="39">
        <f t="shared" si="24"/>
        <v>0</v>
      </c>
      <c r="X150" s="39">
        <f t="shared" si="25"/>
        <v>0</v>
      </c>
      <c r="Y150" s="39"/>
      <c r="Z150" s="39"/>
    </row>
    <row r="151" spans="2:26" x14ac:dyDescent="0.2">
      <c r="B151" s="2" t="s">
        <v>23</v>
      </c>
      <c r="I151" s="39">
        <f>MAX(I$47:I$62)</f>
        <v>28.125</v>
      </c>
      <c r="J151" s="39">
        <f>MAX(J$47:J$62)</f>
        <v>9.9597222222222221</v>
      </c>
      <c r="K151" s="39"/>
      <c r="L151" s="50"/>
      <c r="S151" s="39">
        <f>MAX(S$47:S$62)</f>
        <v>0</v>
      </c>
      <c r="T151" s="39">
        <f>MAX(T$47:T$62)</f>
        <v>0</v>
      </c>
      <c r="U151" s="39"/>
      <c r="V151" s="50"/>
      <c r="W151" s="39">
        <f t="shared" si="24"/>
        <v>0</v>
      </c>
      <c r="X151" s="39">
        <f t="shared" si="25"/>
        <v>0</v>
      </c>
      <c r="Y151" s="39"/>
      <c r="Z151" s="39"/>
    </row>
    <row r="152" spans="2:26" x14ac:dyDescent="0.2">
      <c r="B152" s="2" t="s">
        <v>27</v>
      </c>
      <c r="I152" s="39">
        <f>MAX(I$63:I$78)</f>
        <v>9.3209999999999997</v>
      </c>
      <c r="J152" s="39">
        <f>MAX(J$63:J$78)</f>
        <v>2.3883333333333332</v>
      </c>
      <c r="K152" s="39"/>
      <c r="L152" s="50"/>
      <c r="S152" s="39">
        <f>MAX(S$63:S$78)</f>
        <v>0</v>
      </c>
      <c r="T152" s="39">
        <f>MAX(T$63:T$78)</f>
        <v>0</v>
      </c>
      <c r="U152" s="39"/>
      <c r="V152" s="50"/>
      <c r="W152" s="39">
        <f t="shared" si="24"/>
        <v>0</v>
      </c>
      <c r="X152" s="39">
        <f t="shared" si="25"/>
        <v>0</v>
      </c>
      <c r="Y152" s="39"/>
      <c r="Z152" s="39"/>
    </row>
    <row r="153" spans="2:26" x14ac:dyDescent="0.2">
      <c r="B153" s="2" t="s">
        <v>24</v>
      </c>
      <c r="I153" s="39">
        <f>MAX(I$79:I$90)</f>
        <v>20.452000000000002</v>
      </c>
      <c r="J153" s="39">
        <f>MAX(J$79:J$90)</f>
        <v>6.9894444444444446</v>
      </c>
      <c r="K153" s="39"/>
      <c r="L153" s="50"/>
      <c r="S153" s="39">
        <f>MAX(S$79:S$90)</f>
        <v>0</v>
      </c>
      <c r="T153" s="39">
        <f>MAX(T$79:T$90)</f>
        <v>0</v>
      </c>
      <c r="U153" s="39"/>
      <c r="V153" s="50"/>
      <c r="W153" s="39">
        <f t="shared" si="24"/>
        <v>0</v>
      </c>
      <c r="X153" s="39">
        <f t="shared" si="25"/>
        <v>0</v>
      </c>
      <c r="Y153" s="39"/>
      <c r="Z153" s="39"/>
    </row>
    <row r="154" spans="2:26" x14ac:dyDescent="0.2">
      <c r="B154" s="2" t="s">
        <v>28</v>
      </c>
      <c r="I154" s="39">
        <f>MAX(I$91:I$106)</f>
        <v>67.233999999999995</v>
      </c>
      <c r="J154" s="39">
        <f>MAX(J$91:J$106)</f>
        <v>27.689722222222223</v>
      </c>
      <c r="K154" s="39"/>
      <c r="L154" s="50"/>
      <c r="S154" s="39">
        <f>MAX(S$91:S$106)</f>
        <v>0</v>
      </c>
      <c r="T154" s="39">
        <f>MAX(T$91:T$106)</f>
        <v>0</v>
      </c>
      <c r="U154" s="39"/>
      <c r="V154" s="50"/>
      <c r="W154" s="39">
        <f t="shared" si="24"/>
        <v>0</v>
      </c>
      <c r="X154" s="39">
        <f t="shared" si="25"/>
        <v>0</v>
      </c>
      <c r="Y154" s="39"/>
      <c r="Z154" s="39"/>
    </row>
    <row r="155" spans="2:26" x14ac:dyDescent="0.2">
      <c r="B155" s="2" t="s">
        <v>29</v>
      </c>
      <c r="I155" s="39">
        <f>MAX(I$107:I$122)</f>
        <v>98.828000000000003</v>
      </c>
      <c r="J155" s="39">
        <f>MAX(J$107:J$122)</f>
        <v>38.289166666666667</v>
      </c>
      <c r="K155" s="39"/>
      <c r="L155" s="50"/>
      <c r="S155" s="39">
        <f>MAX(S$107:S$122)</f>
        <v>0</v>
      </c>
      <c r="T155" s="39">
        <f>MAX(T$107:T$122)</f>
        <v>0</v>
      </c>
      <c r="U155" s="39"/>
      <c r="V155" s="50"/>
      <c r="W155" s="39">
        <f t="shared" si="24"/>
        <v>0</v>
      </c>
      <c r="X155" s="39">
        <f t="shared" si="25"/>
        <v>0</v>
      </c>
      <c r="Y155" s="39"/>
      <c r="Z155" s="39"/>
    </row>
    <row r="156" spans="2:26" x14ac:dyDescent="0.2">
      <c r="B156" s="2" t="s">
        <v>34</v>
      </c>
      <c r="I156" s="39">
        <f>MAX(I148:I155)</f>
        <v>104.708</v>
      </c>
      <c r="J156" s="39">
        <f>MAX(J148:J155)</f>
        <v>46.858055555555552</v>
      </c>
      <c r="K156" s="39"/>
      <c r="L156" s="50"/>
      <c r="S156" s="39">
        <f>MAX(S148:S155)</f>
        <v>0</v>
      </c>
      <c r="T156" s="39">
        <f>MAX(T148:T155)</f>
        <v>0</v>
      </c>
      <c r="U156" s="39"/>
      <c r="V156" s="50"/>
      <c r="W156" s="39">
        <f t="shared" si="24"/>
        <v>0</v>
      </c>
      <c r="X156" s="39">
        <f t="shared" si="25"/>
        <v>0</v>
      </c>
      <c r="Y156" s="39"/>
      <c r="Z156" s="39"/>
    </row>
  </sheetData>
  <mergeCells count="4">
    <mergeCell ref="D1:L1"/>
    <mergeCell ref="N1:V1"/>
    <mergeCell ref="AB1:AD1"/>
    <mergeCell ref="AE1:AG1"/>
  </mergeCells>
  <phoneticPr fontId="7" type="noConversion"/>
  <conditionalFormatting sqref="AE3">
    <cfRule type="cellIs" dxfId="631" priority="627" operator="greaterThan">
      <formula>0.03</formula>
    </cfRule>
    <cfRule type="cellIs" dxfId="630" priority="628" stopIfTrue="1" operator="lessThan">
      <formula>-0.03</formula>
    </cfRule>
  </conditionalFormatting>
  <conditionalFormatting sqref="AF3">
    <cfRule type="cellIs" dxfId="629" priority="625" operator="greaterThan">
      <formula>0.03</formula>
    </cfRule>
    <cfRule type="cellIs" dxfId="628" priority="626" stopIfTrue="1" operator="lessThan">
      <formula>-0.03</formula>
    </cfRule>
  </conditionalFormatting>
  <conditionalFormatting sqref="AG3">
    <cfRule type="cellIs" dxfId="627" priority="623" operator="greaterThan">
      <formula>0.03</formula>
    </cfRule>
    <cfRule type="cellIs" dxfId="626" priority="624" stopIfTrue="1" operator="lessThan">
      <formula>-0.03</formula>
    </cfRule>
  </conditionalFormatting>
  <conditionalFormatting sqref="AE6:AF6">
    <cfRule type="cellIs" dxfId="625" priority="603" operator="greaterThan">
      <formula>0.03</formula>
    </cfRule>
    <cfRule type="cellIs" dxfId="624" priority="604" stopIfTrue="1" operator="lessThan">
      <formula>-0.03</formula>
    </cfRule>
  </conditionalFormatting>
  <conditionalFormatting sqref="AE7">
    <cfRule type="cellIs" dxfId="623" priority="621" operator="greaterThan">
      <formula>0.03</formula>
    </cfRule>
    <cfRule type="cellIs" dxfId="622" priority="622" stopIfTrue="1" operator="lessThan">
      <formula>-0.03</formula>
    </cfRule>
  </conditionalFormatting>
  <conditionalFormatting sqref="AF7">
    <cfRule type="cellIs" dxfId="621" priority="619" operator="greaterThan">
      <formula>0.03</formula>
    </cfRule>
    <cfRule type="cellIs" dxfId="620" priority="620" stopIfTrue="1" operator="lessThan">
      <formula>-0.03</formula>
    </cfRule>
  </conditionalFormatting>
  <conditionalFormatting sqref="AG7">
    <cfRule type="cellIs" dxfId="619" priority="617" operator="greaterThan">
      <formula>0.03</formula>
    </cfRule>
    <cfRule type="cellIs" dxfId="618" priority="618" stopIfTrue="1" operator="lessThan">
      <formula>-0.03</formula>
    </cfRule>
  </conditionalFormatting>
  <conditionalFormatting sqref="AE10:AF10">
    <cfRule type="cellIs" dxfId="617" priority="601" operator="greaterThan">
      <formula>0.03</formula>
    </cfRule>
    <cfRule type="cellIs" dxfId="616" priority="602" stopIfTrue="1" operator="lessThan">
      <formula>-0.03</formula>
    </cfRule>
  </conditionalFormatting>
  <conditionalFormatting sqref="AE11">
    <cfRule type="cellIs" dxfId="615" priority="615" operator="greaterThan">
      <formula>0.03</formula>
    </cfRule>
    <cfRule type="cellIs" dxfId="614" priority="616" stopIfTrue="1" operator="lessThan">
      <formula>-0.03</formula>
    </cfRule>
  </conditionalFormatting>
  <conditionalFormatting sqref="AF11">
    <cfRule type="cellIs" dxfId="613" priority="613" operator="greaterThan">
      <formula>0.03</formula>
    </cfRule>
    <cfRule type="cellIs" dxfId="612" priority="614" stopIfTrue="1" operator="lessThan">
      <formula>-0.03</formula>
    </cfRule>
  </conditionalFormatting>
  <conditionalFormatting sqref="AG11">
    <cfRule type="cellIs" dxfId="611" priority="611" operator="greaterThan">
      <formula>0.03</formula>
    </cfRule>
    <cfRule type="cellIs" dxfId="610" priority="612" stopIfTrue="1" operator="lessThan">
      <formula>-0.03</formula>
    </cfRule>
  </conditionalFormatting>
  <conditionalFormatting sqref="AE14:AF14">
    <cfRule type="cellIs" dxfId="609" priority="599" operator="greaterThan">
      <formula>0.03</formula>
    </cfRule>
    <cfRule type="cellIs" dxfId="608" priority="600" stopIfTrue="1" operator="lessThan">
      <formula>-0.03</formula>
    </cfRule>
  </conditionalFormatting>
  <conditionalFormatting sqref="AE15">
    <cfRule type="cellIs" dxfId="607" priority="529" operator="greaterThan">
      <formula>0.03</formula>
    </cfRule>
    <cfRule type="cellIs" dxfId="606" priority="530" stopIfTrue="1" operator="lessThan">
      <formula>-0.03</formula>
    </cfRule>
  </conditionalFormatting>
  <conditionalFormatting sqref="AF15">
    <cfRule type="cellIs" dxfId="605" priority="527" operator="greaterThan">
      <formula>0.03</formula>
    </cfRule>
    <cfRule type="cellIs" dxfId="604" priority="528" stopIfTrue="1" operator="lessThan">
      <formula>-0.03</formula>
    </cfRule>
  </conditionalFormatting>
  <conditionalFormatting sqref="AG15">
    <cfRule type="cellIs" dxfId="603" priority="525" operator="greaterThan">
      <formula>0.03</formula>
    </cfRule>
    <cfRule type="cellIs" dxfId="602" priority="526" stopIfTrue="1" operator="lessThan">
      <formula>-0.03</formula>
    </cfRule>
  </conditionalFormatting>
  <conditionalFormatting sqref="AE18:AF18">
    <cfRule type="cellIs" dxfId="601" priority="505" operator="greaterThan">
      <formula>0.03</formula>
    </cfRule>
    <cfRule type="cellIs" dxfId="600" priority="506" stopIfTrue="1" operator="lessThan">
      <formula>-0.03</formula>
    </cfRule>
  </conditionalFormatting>
  <conditionalFormatting sqref="AE19">
    <cfRule type="cellIs" dxfId="599" priority="523" operator="greaterThan">
      <formula>0.03</formula>
    </cfRule>
    <cfRule type="cellIs" dxfId="598" priority="524" stopIfTrue="1" operator="lessThan">
      <formula>-0.03</formula>
    </cfRule>
  </conditionalFormatting>
  <conditionalFormatting sqref="AF19">
    <cfRule type="cellIs" dxfId="597" priority="521" operator="greaterThan">
      <formula>0.03</formula>
    </cfRule>
    <cfRule type="cellIs" dxfId="596" priority="522" stopIfTrue="1" operator="lessThan">
      <formula>-0.03</formula>
    </cfRule>
  </conditionalFormatting>
  <conditionalFormatting sqref="AG19">
    <cfRule type="cellIs" dxfId="595" priority="519" operator="greaterThan">
      <formula>0.03</formula>
    </cfRule>
    <cfRule type="cellIs" dxfId="594" priority="520" stopIfTrue="1" operator="lessThan">
      <formula>-0.03</formula>
    </cfRule>
  </conditionalFormatting>
  <conditionalFormatting sqref="AE22:AF22">
    <cfRule type="cellIs" dxfId="593" priority="503" operator="greaterThan">
      <formula>0.03</formula>
    </cfRule>
    <cfRule type="cellIs" dxfId="592" priority="504" stopIfTrue="1" operator="lessThan">
      <formula>-0.03</formula>
    </cfRule>
  </conditionalFormatting>
  <conditionalFormatting sqref="AE23">
    <cfRule type="cellIs" dxfId="591" priority="517" operator="greaterThan">
      <formula>0.03</formula>
    </cfRule>
    <cfRule type="cellIs" dxfId="590" priority="518" stopIfTrue="1" operator="lessThan">
      <formula>-0.03</formula>
    </cfRule>
  </conditionalFormatting>
  <conditionalFormatting sqref="AF23">
    <cfRule type="cellIs" dxfId="589" priority="515" operator="greaterThan">
      <formula>0.03</formula>
    </cfRule>
    <cfRule type="cellIs" dxfId="588" priority="516" stopIfTrue="1" operator="lessThan">
      <formula>-0.03</formula>
    </cfRule>
  </conditionalFormatting>
  <conditionalFormatting sqref="AG23">
    <cfRule type="cellIs" dxfId="587" priority="513" operator="greaterThan">
      <formula>0.03</formula>
    </cfRule>
    <cfRule type="cellIs" dxfId="586" priority="514" stopIfTrue="1" operator="lessThan">
      <formula>-0.03</formula>
    </cfRule>
  </conditionalFormatting>
  <conditionalFormatting sqref="AE26:AF26">
    <cfRule type="cellIs" dxfId="585" priority="501" operator="greaterThan">
      <formula>0.03</formula>
    </cfRule>
    <cfRule type="cellIs" dxfId="584" priority="502" stopIfTrue="1" operator="lessThan">
      <formula>-0.03</formula>
    </cfRule>
  </conditionalFormatting>
  <conditionalFormatting sqref="AE27">
    <cfRule type="cellIs" dxfId="583" priority="455" operator="greaterThan">
      <formula>0.03</formula>
    </cfRule>
    <cfRule type="cellIs" dxfId="582" priority="456" stopIfTrue="1" operator="lessThan">
      <formula>-0.03</formula>
    </cfRule>
  </conditionalFormatting>
  <conditionalFormatting sqref="AF27">
    <cfRule type="cellIs" dxfId="581" priority="453" operator="greaterThan">
      <formula>0.03</formula>
    </cfRule>
    <cfRule type="cellIs" dxfId="580" priority="454" stopIfTrue="1" operator="lessThan">
      <formula>-0.03</formula>
    </cfRule>
  </conditionalFormatting>
  <conditionalFormatting sqref="AG27">
    <cfRule type="cellIs" dxfId="579" priority="451" operator="greaterThan">
      <formula>0.03</formula>
    </cfRule>
    <cfRule type="cellIs" dxfId="578" priority="452" stopIfTrue="1" operator="lessThan">
      <formula>-0.03</formula>
    </cfRule>
  </conditionalFormatting>
  <conditionalFormatting sqref="AE30:AF30">
    <cfRule type="cellIs" dxfId="577" priority="449" operator="greaterThan">
      <formula>0.03</formula>
    </cfRule>
    <cfRule type="cellIs" dxfId="576" priority="450" stopIfTrue="1" operator="lessThan">
      <formula>-0.03</formula>
    </cfRule>
  </conditionalFormatting>
  <conditionalFormatting sqref="AE31">
    <cfRule type="cellIs" dxfId="575" priority="435" operator="greaterThan">
      <formula>0.03</formula>
    </cfRule>
    <cfRule type="cellIs" dxfId="574" priority="436" stopIfTrue="1" operator="lessThan">
      <formula>-0.03</formula>
    </cfRule>
  </conditionalFormatting>
  <conditionalFormatting sqref="AF31">
    <cfRule type="cellIs" dxfId="573" priority="433" operator="greaterThan">
      <formula>0.03</formula>
    </cfRule>
    <cfRule type="cellIs" dxfId="572" priority="434" stopIfTrue="1" operator="lessThan">
      <formula>-0.03</formula>
    </cfRule>
  </conditionalFormatting>
  <conditionalFormatting sqref="AG31">
    <cfRule type="cellIs" dxfId="571" priority="431" operator="greaterThan">
      <formula>0.03</formula>
    </cfRule>
    <cfRule type="cellIs" dxfId="570" priority="432" stopIfTrue="1" operator="lessThan">
      <formula>-0.03</formula>
    </cfRule>
  </conditionalFormatting>
  <conditionalFormatting sqref="AE34:AF34">
    <cfRule type="cellIs" dxfId="569" priority="423" operator="greaterThan">
      <formula>0.03</formula>
    </cfRule>
    <cfRule type="cellIs" dxfId="568" priority="424" stopIfTrue="1" operator="lessThan">
      <formula>-0.03</formula>
    </cfRule>
  </conditionalFormatting>
  <conditionalFormatting sqref="AE35">
    <cfRule type="cellIs" dxfId="567" priority="429" operator="greaterThan">
      <formula>0.03</formula>
    </cfRule>
    <cfRule type="cellIs" dxfId="566" priority="430" stopIfTrue="1" operator="lessThan">
      <formula>-0.03</formula>
    </cfRule>
  </conditionalFormatting>
  <conditionalFormatting sqref="AF35">
    <cfRule type="cellIs" dxfId="565" priority="427" operator="greaterThan">
      <formula>0.03</formula>
    </cfRule>
    <cfRule type="cellIs" dxfId="564" priority="428" stopIfTrue="1" operator="lessThan">
      <formula>-0.03</formula>
    </cfRule>
  </conditionalFormatting>
  <conditionalFormatting sqref="AG35">
    <cfRule type="cellIs" dxfId="563" priority="425" operator="greaterThan">
      <formula>0.03</formula>
    </cfRule>
    <cfRule type="cellIs" dxfId="562" priority="426" stopIfTrue="1" operator="lessThan">
      <formula>-0.03</formula>
    </cfRule>
  </conditionalFormatting>
  <conditionalFormatting sqref="AE38:AF38">
    <cfRule type="cellIs" dxfId="561" priority="421" operator="greaterThan">
      <formula>0.03</formula>
    </cfRule>
    <cfRule type="cellIs" dxfId="560" priority="422" stopIfTrue="1" operator="lessThan">
      <formula>-0.03</formula>
    </cfRule>
  </conditionalFormatting>
  <conditionalFormatting sqref="AE39">
    <cfRule type="cellIs" dxfId="559" priority="397" operator="greaterThan">
      <formula>0.03</formula>
    </cfRule>
    <cfRule type="cellIs" dxfId="558" priority="398" stopIfTrue="1" operator="lessThan">
      <formula>-0.03</formula>
    </cfRule>
  </conditionalFormatting>
  <conditionalFormatting sqref="AF39">
    <cfRule type="cellIs" dxfId="557" priority="395" operator="greaterThan">
      <formula>0.03</formula>
    </cfRule>
    <cfRule type="cellIs" dxfId="556" priority="396" stopIfTrue="1" operator="lessThan">
      <formula>-0.03</formula>
    </cfRule>
  </conditionalFormatting>
  <conditionalFormatting sqref="AG39">
    <cfRule type="cellIs" dxfId="555" priority="393" operator="greaterThan">
      <formula>0.03</formula>
    </cfRule>
    <cfRule type="cellIs" dxfId="554" priority="394" stopIfTrue="1" operator="lessThan">
      <formula>-0.03</formula>
    </cfRule>
  </conditionalFormatting>
  <conditionalFormatting sqref="AE42:AF42">
    <cfRule type="cellIs" dxfId="553" priority="385" operator="greaterThan">
      <formula>0.03</formula>
    </cfRule>
    <cfRule type="cellIs" dxfId="552" priority="386" stopIfTrue="1" operator="lessThan">
      <formula>-0.03</formula>
    </cfRule>
  </conditionalFormatting>
  <conditionalFormatting sqref="AE43">
    <cfRule type="cellIs" dxfId="551" priority="391" operator="greaterThan">
      <formula>0.03</formula>
    </cfRule>
    <cfRule type="cellIs" dxfId="550" priority="392" stopIfTrue="1" operator="lessThan">
      <formula>-0.03</formula>
    </cfRule>
  </conditionalFormatting>
  <conditionalFormatting sqref="AF43">
    <cfRule type="cellIs" dxfId="549" priority="389" operator="greaterThan">
      <formula>0.03</formula>
    </cfRule>
    <cfRule type="cellIs" dxfId="548" priority="390" stopIfTrue="1" operator="lessThan">
      <formula>-0.03</formula>
    </cfRule>
  </conditionalFormatting>
  <conditionalFormatting sqref="AG43">
    <cfRule type="cellIs" dxfId="547" priority="387" operator="greaterThan">
      <formula>0.03</formula>
    </cfRule>
    <cfRule type="cellIs" dxfId="546" priority="388" stopIfTrue="1" operator="lessThan">
      <formula>-0.03</formula>
    </cfRule>
  </conditionalFormatting>
  <conditionalFormatting sqref="AE46:AF46">
    <cfRule type="cellIs" dxfId="545" priority="383" operator="greaterThan">
      <formula>0.03</formula>
    </cfRule>
    <cfRule type="cellIs" dxfId="544" priority="384" stopIfTrue="1" operator="lessThan">
      <formula>-0.03</formula>
    </cfRule>
  </conditionalFormatting>
  <conditionalFormatting sqref="AE47">
    <cfRule type="cellIs" dxfId="543" priority="359" operator="greaterThan">
      <formula>0.03</formula>
    </cfRule>
    <cfRule type="cellIs" dxfId="542" priority="360" stopIfTrue="1" operator="lessThan">
      <formula>-0.03</formula>
    </cfRule>
  </conditionalFormatting>
  <conditionalFormatting sqref="AF47">
    <cfRule type="cellIs" dxfId="541" priority="357" operator="greaterThan">
      <formula>0.03</formula>
    </cfRule>
    <cfRule type="cellIs" dxfId="540" priority="358" stopIfTrue="1" operator="lessThan">
      <formula>-0.03</formula>
    </cfRule>
  </conditionalFormatting>
  <conditionalFormatting sqref="AG47">
    <cfRule type="cellIs" dxfId="539" priority="355" operator="greaterThan">
      <formula>0.03</formula>
    </cfRule>
    <cfRule type="cellIs" dxfId="538" priority="356" stopIfTrue="1" operator="lessThan">
      <formula>-0.03</formula>
    </cfRule>
  </conditionalFormatting>
  <conditionalFormatting sqref="AE50:AF50">
    <cfRule type="cellIs" dxfId="537" priority="335" operator="greaterThan">
      <formula>0.03</formula>
    </cfRule>
    <cfRule type="cellIs" dxfId="536" priority="336" stopIfTrue="1" operator="lessThan">
      <formula>-0.03</formula>
    </cfRule>
  </conditionalFormatting>
  <conditionalFormatting sqref="AE51">
    <cfRule type="cellIs" dxfId="535" priority="353" operator="greaterThan">
      <formula>0.03</formula>
    </cfRule>
    <cfRule type="cellIs" dxfId="534" priority="354" stopIfTrue="1" operator="lessThan">
      <formula>-0.03</formula>
    </cfRule>
  </conditionalFormatting>
  <conditionalFormatting sqref="AF51">
    <cfRule type="cellIs" dxfId="533" priority="351" operator="greaterThan">
      <formula>0.03</formula>
    </cfRule>
    <cfRule type="cellIs" dxfId="532" priority="352" stopIfTrue="1" operator="lessThan">
      <formula>-0.03</formula>
    </cfRule>
  </conditionalFormatting>
  <conditionalFormatting sqref="AG51">
    <cfRule type="cellIs" dxfId="531" priority="349" operator="greaterThan">
      <formula>0.03</formula>
    </cfRule>
    <cfRule type="cellIs" dxfId="530" priority="350" stopIfTrue="1" operator="lessThan">
      <formula>-0.03</formula>
    </cfRule>
  </conditionalFormatting>
  <conditionalFormatting sqref="AE54:AF54">
    <cfRule type="cellIs" dxfId="529" priority="333" operator="greaterThan">
      <formula>0.03</formula>
    </cfRule>
    <cfRule type="cellIs" dxfId="528" priority="334" stopIfTrue="1" operator="lessThan">
      <formula>-0.03</formula>
    </cfRule>
  </conditionalFormatting>
  <conditionalFormatting sqref="AE55">
    <cfRule type="cellIs" dxfId="527" priority="347" operator="greaterThan">
      <formula>0.03</formula>
    </cfRule>
    <cfRule type="cellIs" dxfId="526" priority="348" stopIfTrue="1" operator="lessThan">
      <formula>-0.03</formula>
    </cfRule>
  </conditionalFormatting>
  <conditionalFormatting sqref="AF55">
    <cfRule type="cellIs" dxfId="525" priority="345" operator="greaterThan">
      <formula>0.03</formula>
    </cfRule>
    <cfRule type="cellIs" dxfId="524" priority="346" stopIfTrue="1" operator="lessThan">
      <formula>-0.03</formula>
    </cfRule>
  </conditionalFormatting>
  <conditionalFormatting sqref="AG55">
    <cfRule type="cellIs" dxfId="523" priority="343" operator="greaterThan">
      <formula>0.03</formula>
    </cfRule>
    <cfRule type="cellIs" dxfId="522" priority="344" stopIfTrue="1" operator="lessThan">
      <formula>-0.03</formula>
    </cfRule>
  </conditionalFormatting>
  <conditionalFormatting sqref="AE58:AF58">
    <cfRule type="cellIs" dxfId="521" priority="331" operator="greaterThan">
      <formula>0.03</formula>
    </cfRule>
    <cfRule type="cellIs" dxfId="520" priority="332" stopIfTrue="1" operator="lessThan">
      <formula>-0.03</formula>
    </cfRule>
  </conditionalFormatting>
  <conditionalFormatting sqref="AE59">
    <cfRule type="cellIs" dxfId="519" priority="341" operator="greaterThan">
      <formula>0.03</formula>
    </cfRule>
    <cfRule type="cellIs" dxfId="518" priority="342" stopIfTrue="1" operator="lessThan">
      <formula>-0.03</formula>
    </cfRule>
  </conditionalFormatting>
  <conditionalFormatting sqref="AF59">
    <cfRule type="cellIs" dxfId="517" priority="339" operator="greaterThan">
      <formula>0.03</formula>
    </cfRule>
    <cfRule type="cellIs" dxfId="516" priority="340" stopIfTrue="1" operator="lessThan">
      <formula>-0.03</formula>
    </cfRule>
  </conditionalFormatting>
  <conditionalFormatting sqref="AG59">
    <cfRule type="cellIs" dxfId="515" priority="337" operator="greaterThan">
      <formula>0.03</formula>
    </cfRule>
    <cfRule type="cellIs" dxfId="514" priority="338" stopIfTrue="1" operator="lessThan">
      <formula>-0.03</formula>
    </cfRule>
  </conditionalFormatting>
  <conditionalFormatting sqref="AE62:AF62">
    <cfRule type="cellIs" dxfId="513" priority="329" operator="greaterThan">
      <formula>0.03</formula>
    </cfRule>
    <cfRule type="cellIs" dxfId="512" priority="330" stopIfTrue="1" operator="lessThan">
      <formula>-0.03</formula>
    </cfRule>
  </conditionalFormatting>
  <conditionalFormatting sqref="AE63">
    <cfRule type="cellIs" dxfId="511" priority="285" operator="greaterThan">
      <formula>0.03</formula>
    </cfRule>
    <cfRule type="cellIs" dxfId="510" priority="286" stopIfTrue="1" operator="lessThan">
      <formula>-0.03</formula>
    </cfRule>
  </conditionalFormatting>
  <conditionalFormatting sqref="AF63">
    <cfRule type="cellIs" dxfId="509" priority="283" operator="greaterThan">
      <formula>0.03</formula>
    </cfRule>
    <cfRule type="cellIs" dxfId="508" priority="284" stopIfTrue="1" operator="lessThan">
      <formula>-0.03</formula>
    </cfRule>
  </conditionalFormatting>
  <conditionalFormatting sqref="AG63">
    <cfRule type="cellIs" dxfId="507" priority="281" operator="greaterThan">
      <formula>0.03</formula>
    </cfRule>
    <cfRule type="cellIs" dxfId="506" priority="282" stopIfTrue="1" operator="lessThan">
      <formula>-0.03</formula>
    </cfRule>
  </conditionalFormatting>
  <conditionalFormatting sqref="AE66:AF66">
    <cfRule type="cellIs" dxfId="505" priority="261" operator="greaterThan">
      <formula>0.03</formula>
    </cfRule>
    <cfRule type="cellIs" dxfId="504" priority="262" stopIfTrue="1" operator="lessThan">
      <formula>-0.03</formula>
    </cfRule>
  </conditionalFormatting>
  <conditionalFormatting sqref="AE67">
    <cfRule type="cellIs" dxfId="503" priority="279" operator="greaterThan">
      <formula>0.03</formula>
    </cfRule>
    <cfRule type="cellIs" dxfId="502" priority="280" stopIfTrue="1" operator="lessThan">
      <formula>-0.03</formula>
    </cfRule>
  </conditionalFormatting>
  <conditionalFormatting sqref="AF67">
    <cfRule type="cellIs" dxfId="501" priority="277" operator="greaterThan">
      <formula>0.03</formula>
    </cfRule>
    <cfRule type="cellIs" dxfId="500" priority="278" stopIfTrue="1" operator="lessThan">
      <formula>-0.03</formula>
    </cfRule>
  </conditionalFormatting>
  <conditionalFormatting sqref="AG67">
    <cfRule type="cellIs" dxfId="499" priority="275" operator="greaterThan">
      <formula>0.03</formula>
    </cfRule>
    <cfRule type="cellIs" dxfId="498" priority="276" stopIfTrue="1" operator="lessThan">
      <formula>-0.03</formula>
    </cfRule>
  </conditionalFormatting>
  <conditionalFormatting sqref="AE70:AF70">
    <cfRule type="cellIs" dxfId="497" priority="259" operator="greaterThan">
      <formula>0.03</formula>
    </cfRule>
    <cfRule type="cellIs" dxfId="496" priority="260" stopIfTrue="1" operator="lessThan">
      <formula>-0.03</formula>
    </cfRule>
  </conditionalFormatting>
  <conditionalFormatting sqref="AE71">
    <cfRule type="cellIs" dxfId="495" priority="273" operator="greaterThan">
      <formula>0.03</formula>
    </cfRule>
    <cfRule type="cellIs" dxfId="494" priority="274" stopIfTrue="1" operator="lessThan">
      <formula>-0.03</formula>
    </cfRule>
  </conditionalFormatting>
  <conditionalFormatting sqref="AF71">
    <cfRule type="cellIs" dxfId="493" priority="271" operator="greaterThan">
      <formula>0.03</formula>
    </cfRule>
    <cfRule type="cellIs" dxfId="492" priority="272" stopIfTrue="1" operator="lessThan">
      <formula>-0.03</formula>
    </cfRule>
  </conditionalFormatting>
  <conditionalFormatting sqref="AG71">
    <cfRule type="cellIs" dxfId="491" priority="269" operator="greaterThan">
      <formula>0.03</formula>
    </cfRule>
    <cfRule type="cellIs" dxfId="490" priority="270" stopIfTrue="1" operator="lessThan">
      <formula>-0.03</formula>
    </cfRule>
  </conditionalFormatting>
  <conditionalFormatting sqref="AE74:AF74">
    <cfRule type="cellIs" dxfId="489" priority="257" operator="greaterThan">
      <formula>0.03</formula>
    </cfRule>
    <cfRule type="cellIs" dxfId="488" priority="258" stopIfTrue="1" operator="lessThan">
      <formula>-0.03</formula>
    </cfRule>
  </conditionalFormatting>
  <conditionalFormatting sqref="AE75">
    <cfRule type="cellIs" dxfId="487" priority="267" operator="greaterThan">
      <formula>0.03</formula>
    </cfRule>
    <cfRule type="cellIs" dxfId="486" priority="268" stopIfTrue="1" operator="lessThan">
      <formula>-0.03</formula>
    </cfRule>
  </conditionalFormatting>
  <conditionalFormatting sqref="AF75">
    <cfRule type="cellIs" dxfId="485" priority="265" operator="greaterThan">
      <formula>0.03</formula>
    </cfRule>
    <cfRule type="cellIs" dxfId="484" priority="266" stopIfTrue="1" operator="lessThan">
      <formula>-0.03</formula>
    </cfRule>
  </conditionalFormatting>
  <conditionalFormatting sqref="AG75">
    <cfRule type="cellIs" dxfId="483" priority="263" operator="greaterThan">
      <formula>0.03</formula>
    </cfRule>
    <cfRule type="cellIs" dxfId="482" priority="264" stopIfTrue="1" operator="lessThan">
      <formula>-0.03</formula>
    </cfRule>
  </conditionalFormatting>
  <conditionalFormatting sqref="AE78:AF78">
    <cfRule type="cellIs" dxfId="481" priority="255" operator="greaterThan">
      <formula>0.03</formula>
    </cfRule>
    <cfRule type="cellIs" dxfId="480" priority="256" stopIfTrue="1" operator="lessThan">
      <formula>-0.03</formula>
    </cfRule>
  </conditionalFormatting>
  <conditionalFormatting sqref="AE79">
    <cfRule type="cellIs" dxfId="479" priority="137" operator="greaterThan">
      <formula>0.03</formula>
    </cfRule>
    <cfRule type="cellIs" dxfId="478" priority="138" stopIfTrue="1" operator="lessThan">
      <formula>-0.03</formula>
    </cfRule>
  </conditionalFormatting>
  <conditionalFormatting sqref="AF79">
    <cfRule type="cellIs" dxfId="477" priority="135" operator="greaterThan">
      <formula>0.03</formula>
    </cfRule>
    <cfRule type="cellIs" dxfId="476" priority="136" stopIfTrue="1" operator="lessThan">
      <formula>-0.03</formula>
    </cfRule>
  </conditionalFormatting>
  <conditionalFormatting sqref="AG79">
    <cfRule type="cellIs" dxfId="475" priority="133" operator="greaterThan">
      <formula>0.03</formula>
    </cfRule>
    <cfRule type="cellIs" dxfId="474" priority="134" stopIfTrue="1" operator="lessThan">
      <formula>-0.03</formula>
    </cfRule>
  </conditionalFormatting>
  <conditionalFormatting sqref="AE82:AF82">
    <cfRule type="cellIs" dxfId="473" priority="119" operator="greaterThan">
      <formula>0.03</formula>
    </cfRule>
    <cfRule type="cellIs" dxfId="472" priority="120" stopIfTrue="1" operator="lessThan">
      <formula>-0.03</formula>
    </cfRule>
  </conditionalFormatting>
  <conditionalFormatting sqref="AE83">
    <cfRule type="cellIs" dxfId="471" priority="131" operator="greaterThan">
      <formula>0.03</formula>
    </cfRule>
    <cfRule type="cellIs" dxfId="470" priority="132" stopIfTrue="1" operator="lessThan">
      <formula>-0.03</formula>
    </cfRule>
  </conditionalFormatting>
  <conditionalFormatting sqref="AF83">
    <cfRule type="cellIs" dxfId="469" priority="129" operator="greaterThan">
      <formula>0.03</formula>
    </cfRule>
    <cfRule type="cellIs" dxfId="468" priority="130" stopIfTrue="1" operator="lessThan">
      <formula>-0.03</formula>
    </cfRule>
  </conditionalFormatting>
  <conditionalFormatting sqref="AG83">
    <cfRule type="cellIs" dxfId="467" priority="127" operator="greaterThan">
      <formula>0.03</formula>
    </cfRule>
    <cfRule type="cellIs" dxfId="466" priority="128" stopIfTrue="1" operator="lessThan">
      <formula>-0.03</formula>
    </cfRule>
  </conditionalFormatting>
  <conditionalFormatting sqref="AE86:AF86">
    <cfRule type="cellIs" dxfId="465" priority="117" operator="greaterThan">
      <formula>0.03</formula>
    </cfRule>
    <cfRule type="cellIs" dxfId="464" priority="118" stopIfTrue="1" operator="lessThan">
      <formula>-0.03</formula>
    </cfRule>
  </conditionalFormatting>
  <conditionalFormatting sqref="AE87">
    <cfRule type="cellIs" dxfId="463" priority="125" operator="greaterThan">
      <formula>0.03</formula>
    </cfRule>
    <cfRule type="cellIs" dxfId="462" priority="126" stopIfTrue="1" operator="lessThan">
      <formula>-0.03</formula>
    </cfRule>
  </conditionalFormatting>
  <conditionalFormatting sqref="AF87">
    <cfRule type="cellIs" dxfId="461" priority="123" operator="greaterThan">
      <formula>0.03</formula>
    </cfRule>
    <cfRule type="cellIs" dxfId="460" priority="124" stopIfTrue="1" operator="lessThan">
      <formula>-0.03</formula>
    </cfRule>
  </conditionalFormatting>
  <conditionalFormatting sqref="AG87">
    <cfRule type="cellIs" dxfId="459" priority="121" operator="greaterThan">
      <formula>0.03</formula>
    </cfRule>
    <cfRule type="cellIs" dxfId="458" priority="122" stopIfTrue="1" operator="lessThan">
      <formula>-0.03</formula>
    </cfRule>
  </conditionalFormatting>
  <conditionalFormatting sqref="AE90:AF90">
    <cfRule type="cellIs" dxfId="457" priority="115" operator="greaterThan">
      <formula>0.03</formula>
    </cfRule>
    <cfRule type="cellIs" dxfId="456" priority="116" stopIfTrue="1" operator="lessThan">
      <formula>-0.03</formula>
    </cfRule>
  </conditionalFormatting>
  <conditionalFormatting sqref="AE91">
    <cfRule type="cellIs" dxfId="455" priority="211" operator="greaterThan">
      <formula>0.03</formula>
    </cfRule>
    <cfRule type="cellIs" dxfId="454" priority="212" stopIfTrue="1" operator="lessThan">
      <formula>-0.03</formula>
    </cfRule>
  </conditionalFormatting>
  <conditionalFormatting sqref="AF91">
    <cfRule type="cellIs" dxfId="453" priority="209" operator="greaterThan">
      <formula>0.03</formula>
    </cfRule>
    <cfRule type="cellIs" dxfId="452" priority="210" stopIfTrue="1" operator="lessThan">
      <formula>-0.03</formula>
    </cfRule>
  </conditionalFormatting>
  <conditionalFormatting sqref="AG91">
    <cfRule type="cellIs" dxfId="451" priority="207" operator="greaterThan">
      <formula>0.03</formula>
    </cfRule>
    <cfRule type="cellIs" dxfId="450" priority="208" stopIfTrue="1" operator="lessThan">
      <formula>-0.03</formula>
    </cfRule>
  </conditionalFormatting>
  <conditionalFormatting sqref="AE94:AF94">
    <cfRule type="cellIs" dxfId="449" priority="187" operator="greaterThan">
      <formula>0.03</formula>
    </cfRule>
    <cfRule type="cellIs" dxfId="448" priority="188" stopIfTrue="1" operator="lessThan">
      <formula>-0.03</formula>
    </cfRule>
  </conditionalFormatting>
  <conditionalFormatting sqref="AE95">
    <cfRule type="cellIs" dxfId="447" priority="205" operator="greaterThan">
      <formula>0.03</formula>
    </cfRule>
    <cfRule type="cellIs" dxfId="446" priority="206" stopIfTrue="1" operator="lessThan">
      <formula>-0.03</formula>
    </cfRule>
  </conditionalFormatting>
  <conditionalFormatting sqref="AF95">
    <cfRule type="cellIs" dxfId="445" priority="203" operator="greaterThan">
      <formula>0.03</formula>
    </cfRule>
    <cfRule type="cellIs" dxfId="444" priority="204" stopIfTrue="1" operator="lessThan">
      <formula>-0.03</formula>
    </cfRule>
  </conditionalFormatting>
  <conditionalFormatting sqref="AG95">
    <cfRule type="cellIs" dxfId="443" priority="201" operator="greaterThan">
      <formula>0.03</formula>
    </cfRule>
    <cfRule type="cellIs" dxfId="442" priority="202" stopIfTrue="1" operator="lessThan">
      <formula>-0.03</formula>
    </cfRule>
  </conditionalFormatting>
  <conditionalFormatting sqref="AE98:AF98">
    <cfRule type="cellIs" dxfId="441" priority="185" operator="greaterThan">
      <formula>0.03</formula>
    </cfRule>
    <cfRule type="cellIs" dxfId="440" priority="186" stopIfTrue="1" operator="lessThan">
      <formula>-0.03</formula>
    </cfRule>
  </conditionalFormatting>
  <conditionalFormatting sqref="AE99">
    <cfRule type="cellIs" dxfId="439" priority="199" operator="greaterThan">
      <formula>0.03</formula>
    </cfRule>
    <cfRule type="cellIs" dxfId="438" priority="200" stopIfTrue="1" operator="lessThan">
      <formula>-0.03</formula>
    </cfRule>
  </conditionalFormatting>
  <conditionalFormatting sqref="AF99">
    <cfRule type="cellIs" dxfId="437" priority="197" operator="greaterThan">
      <formula>0.03</formula>
    </cfRule>
    <cfRule type="cellIs" dxfId="436" priority="198" stopIfTrue="1" operator="lessThan">
      <formula>-0.03</formula>
    </cfRule>
  </conditionalFormatting>
  <conditionalFormatting sqref="AG99">
    <cfRule type="cellIs" dxfId="435" priority="195" operator="greaterThan">
      <formula>0.03</formula>
    </cfRule>
    <cfRule type="cellIs" dxfId="434" priority="196" stopIfTrue="1" operator="lessThan">
      <formula>-0.03</formula>
    </cfRule>
  </conditionalFormatting>
  <conditionalFormatting sqref="AE102:AF102">
    <cfRule type="cellIs" dxfId="433" priority="183" operator="greaterThan">
      <formula>0.03</formula>
    </cfRule>
    <cfRule type="cellIs" dxfId="432" priority="184" stopIfTrue="1" operator="lessThan">
      <formula>-0.03</formula>
    </cfRule>
  </conditionalFormatting>
  <conditionalFormatting sqref="AE103">
    <cfRule type="cellIs" dxfId="431" priority="193" operator="greaterThan">
      <formula>0.03</formula>
    </cfRule>
    <cfRule type="cellIs" dxfId="430" priority="194" stopIfTrue="1" operator="lessThan">
      <formula>-0.03</formula>
    </cfRule>
  </conditionalFormatting>
  <conditionalFormatting sqref="AF103">
    <cfRule type="cellIs" dxfId="429" priority="191" operator="greaterThan">
      <formula>0.03</formula>
    </cfRule>
    <cfRule type="cellIs" dxfId="428" priority="192" stopIfTrue="1" operator="lessThan">
      <formula>-0.03</formula>
    </cfRule>
  </conditionalFormatting>
  <conditionalFormatting sqref="AG103">
    <cfRule type="cellIs" dxfId="427" priority="189" operator="greaterThan">
      <formula>0.03</formula>
    </cfRule>
    <cfRule type="cellIs" dxfId="426" priority="190" stopIfTrue="1" operator="lessThan">
      <formula>-0.03</formula>
    </cfRule>
  </conditionalFormatting>
  <conditionalFormatting sqref="AE106:AF106">
    <cfRule type="cellIs" dxfId="425" priority="181" operator="greaterThan">
      <formula>0.03</formula>
    </cfRule>
    <cfRule type="cellIs" dxfId="424" priority="182" stopIfTrue="1" operator="lessThan">
      <formula>-0.03</formula>
    </cfRule>
  </conditionalFormatting>
  <conditionalFormatting sqref="AE107">
    <cfRule type="cellIs" dxfId="423" priority="81" operator="greaterThan">
      <formula>0.03</formula>
    </cfRule>
    <cfRule type="cellIs" dxfId="422" priority="82" stopIfTrue="1" operator="lessThan">
      <formula>-0.03</formula>
    </cfRule>
  </conditionalFormatting>
  <conditionalFormatting sqref="AF107">
    <cfRule type="cellIs" dxfId="421" priority="79" operator="greaterThan">
      <formula>0.03</formula>
    </cfRule>
    <cfRule type="cellIs" dxfId="420" priority="80" stopIfTrue="1" operator="lessThan">
      <formula>-0.03</formula>
    </cfRule>
  </conditionalFormatting>
  <conditionalFormatting sqref="AG107">
    <cfRule type="cellIs" dxfId="419" priority="77" operator="greaterThan">
      <formula>0.03</formula>
    </cfRule>
    <cfRule type="cellIs" dxfId="418" priority="78" stopIfTrue="1" operator="lessThan">
      <formula>-0.03</formula>
    </cfRule>
  </conditionalFormatting>
  <conditionalFormatting sqref="AE110:AF110">
    <cfRule type="cellIs" dxfId="417" priority="57" operator="greaterThan">
      <formula>0.03</formula>
    </cfRule>
    <cfRule type="cellIs" dxfId="416" priority="58" stopIfTrue="1" operator="lessThan">
      <formula>-0.03</formula>
    </cfRule>
  </conditionalFormatting>
  <conditionalFormatting sqref="AE111">
    <cfRule type="cellIs" dxfId="415" priority="75" operator="greaterThan">
      <formula>0.03</formula>
    </cfRule>
    <cfRule type="cellIs" dxfId="414" priority="76" stopIfTrue="1" operator="lessThan">
      <formula>-0.03</formula>
    </cfRule>
  </conditionalFormatting>
  <conditionalFormatting sqref="AF111">
    <cfRule type="cellIs" dxfId="413" priority="73" operator="greaterThan">
      <formula>0.03</formula>
    </cfRule>
    <cfRule type="cellIs" dxfId="412" priority="74" stopIfTrue="1" operator="lessThan">
      <formula>-0.03</formula>
    </cfRule>
  </conditionalFormatting>
  <conditionalFormatting sqref="AG111">
    <cfRule type="cellIs" dxfId="411" priority="71" operator="greaterThan">
      <formula>0.03</formula>
    </cfRule>
    <cfRule type="cellIs" dxfId="410" priority="72" stopIfTrue="1" operator="lessThan">
      <formula>-0.03</formula>
    </cfRule>
  </conditionalFormatting>
  <conditionalFormatting sqref="AE114:AF114">
    <cfRule type="cellIs" dxfId="409" priority="55" operator="greaterThan">
      <formula>0.03</formula>
    </cfRule>
    <cfRule type="cellIs" dxfId="408" priority="56" stopIfTrue="1" operator="lessThan">
      <formula>-0.03</formula>
    </cfRule>
  </conditionalFormatting>
  <conditionalFormatting sqref="AE115">
    <cfRule type="cellIs" dxfId="407" priority="69" operator="greaterThan">
      <formula>0.03</formula>
    </cfRule>
    <cfRule type="cellIs" dxfId="406" priority="70" stopIfTrue="1" operator="lessThan">
      <formula>-0.03</formula>
    </cfRule>
  </conditionalFormatting>
  <conditionalFormatting sqref="AF115">
    <cfRule type="cellIs" dxfId="405" priority="67" operator="greaterThan">
      <formula>0.03</formula>
    </cfRule>
    <cfRule type="cellIs" dxfId="404" priority="68" stopIfTrue="1" operator="lessThan">
      <formula>-0.03</formula>
    </cfRule>
  </conditionalFormatting>
  <conditionalFormatting sqref="AG115">
    <cfRule type="cellIs" dxfId="403" priority="65" operator="greaterThan">
      <formula>0.03</formula>
    </cfRule>
    <cfRule type="cellIs" dxfId="402" priority="66" stopIfTrue="1" operator="lessThan">
      <formula>-0.03</formula>
    </cfRule>
  </conditionalFormatting>
  <conditionalFormatting sqref="AE118:AF118">
    <cfRule type="cellIs" dxfId="401" priority="53" operator="greaterThan">
      <formula>0.03</formula>
    </cfRule>
    <cfRule type="cellIs" dxfId="400" priority="54" stopIfTrue="1" operator="lessThan">
      <formula>-0.03</formula>
    </cfRule>
  </conditionalFormatting>
  <conditionalFormatting sqref="AE119">
    <cfRule type="cellIs" dxfId="399" priority="63" operator="greaterThan">
      <formula>0.03</formula>
    </cfRule>
    <cfRule type="cellIs" dxfId="398" priority="64" stopIfTrue="1" operator="lessThan">
      <formula>-0.03</formula>
    </cfRule>
  </conditionalFormatting>
  <conditionalFormatting sqref="AF119">
    <cfRule type="cellIs" dxfId="397" priority="61" operator="greaterThan">
      <formula>0.03</formula>
    </cfRule>
    <cfRule type="cellIs" dxfId="396" priority="62" stopIfTrue="1" operator="lessThan">
      <formula>-0.03</formula>
    </cfRule>
  </conditionalFormatting>
  <conditionalFormatting sqref="AG119">
    <cfRule type="cellIs" dxfId="395" priority="59" operator="greaterThan">
      <formula>0.03</formula>
    </cfRule>
    <cfRule type="cellIs" dxfId="394" priority="60" stopIfTrue="1" operator="lessThan">
      <formula>-0.03</formula>
    </cfRule>
  </conditionalFormatting>
  <conditionalFormatting sqref="AE122:AF122">
    <cfRule type="cellIs" dxfId="393" priority="51" operator="greaterThan">
      <formula>0.03</formula>
    </cfRule>
    <cfRule type="cellIs" dxfId="392" priority="52" stopIfTrue="1" operator="lessThan">
      <formula>-0.03</formula>
    </cfRule>
  </conditionalFormatting>
  <conditionalFormatting sqref="AB124:AG124">
    <cfRule type="cellIs" dxfId="391" priority="545" operator="greaterThan">
      <formula>0.03</formula>
    </cfRule>
    <cfRule type="cellIs" dxfId="390" priority="546" stopIfTrue="1" operator="lessThan">
      <formula>-0.03</formula>
    </cfRule>
  </conditionalFormatting>
  <conditionalFormatting sqref="AB126:AG126">
    <cfRule type="cellIs" dxfId="389" priority="549" operator="greaterThan">
      <formula>0.03</formula>
    </cfRule>
    <cfRule type="cellIs" dxfId="388" priority="550" stopIfTrue="1" operator="lessThan">
      <formula>-0.03</formula>
    </cfRule>
  </conditionalFormatting>
  <conditionalFormatting sqref="AB129:AG129">
    <cfRule type="cellIs" dxfId="387" priority="547" operator="greaterThan">
      <formula>0.03</formula>
    </cfRule>
    <cfRule type="cellIs" dxfId="386" priority="548" stopIfTrue="1" operator="lessThan">
      <formula>-0.03</formula>
    </cfRule>
  </conditionalFormatting>
  <conditionalFormatting sqref="AB130:AG130">
    <cfRule type="cellIs" dxfId="385" priority="49" operator="greaterThan">
      <formula>0.03</formula>
    </cfRule>
    <cfRule type="cellIs" dxfId="384" priority="50" stopIfTrue="1" operator="lessThan">
      <formula>-0.03</formula>
    </cfRule>
  </conditionalFormatting>
  <conditionalFormatting sqref="AB131:AG131">
    <cfRule type="cellIs" dxfId="383" priority="555" operator="greaterThan">
      <formula>0.03</formula>
    </cfRule>
    <cfRule type="cellIs" dxfId="382" priority="556" stopIfTrue="1" operator="lessThan">
      <formula>-0.03</formula>
    </cfRule>
  </conditionalFormatting>
  <conditionalFormatting sqref="AB3:AD14">
    <cfRule type="cellIs" dxfId="381" priority="629" operator="greaterThan">
      <formula>0.03</formula>
    </cfRule>
    <cfRule type="cellIs" dxfId="380" priority="630" stopIfTrue="1" operator="lessThan">
      <formula>-0.03</formula>
    </cfRule>
  </conditionalFormatting>
  <conditionalFormatting sqref="AB15:AD26">
    <cfRule type="cellIs" dxfId="379" priority="531" operator="greaterThan">
      <formula>0.03</formula>
    </cfRule>
    <cfRule type="cellIs" dxfId="378" priority="532" stopIfTrue="1" operator="lessThan">
      <formula>-0.03</formula>
    </cfRule>
  </conditionalFormatting>
  <conditionalFormatting sqref="AB27:AD30">
    <cfRule type="cellIs" dxfId="377" priority="457" operator="greaterThan">
      <formula>0.03</formula>
    </cfRule>
    <cfRule type="cellIs" dxfId="376" priority="458" stopIfTrue="1" operator="lessThan">
      <formula>-0.03</formula>
    </cfRule>
  </conditionalFormatting>
  <conditionalFormatting sqref="AB31:AD38">
    <cfRule type="cellIs" dxfId="375" priority="437" operator="greaterThan">
      <formula>0.03</formula>
    </cfRule>
    <cfRule type="cellIs" dxfId="374" priority="438" stopIfTrue="1" operator="lessThan">
      <formula>-0.03</formula>
    </cfRule>
  </conditionalFormatting>
  <conditionalFormatting sqref="AB39:AD46">
    <cfRule type="cellIs" dxfId="373" priority="399" operator="greaterThan">
      <formula>0.03</formula>
    </cfRule>
    <cfRule type="cellIs" dxfId="372" priority="400" stopIfTrue="1" operator="lessThan">
      <formula>-0.03</formula>
    </cfRule>
  </conditionalFormatting>
  <conditionalFormatting sqref="AB47:AD62">
    <cfRule type="cellIs" dxfId="371" priority="361" operator="greaterThan">
      <formula>0.03</formula>
    </cfRule>
    <cfRule type="cellIs" dxfId="370" priority="362" stopIfTrue="1" operator="lessThan">
      <formula>-0.03</formula>
    </cfRule>
  </conditionalFormatting>
  <conditionalFormatting sqref="AB63:AD78">
    <cfRule type="cellIs" dxfId="369" priority="287" operator="greaterThan">
      <formula>0.03</formula>
    </cfRule>
    <cfRule type="cellIs" dxfId="368" priority="288" stopIfTrue="1" operator="lessThan">
      <formula>-0.03</formula>
    </cfRule>
  </conditionalFormatting>
  <conditionalFormatting sqref="AB79:AD90">
    <cfRule type="cellIs" dxfId="367" priority="139" operator="greaterThan">
      <formula>0.03</formula>
    </cfRule>
    <cfRule type="cellIs" dxfId="366" priority="140" stopIfTrue="1" operator="lessThan">
      <formula>-0.03</formula>
    </cfRule>
  </conditionalFormatting>
  <conditionalFormatting sqref="AB91:AD106">
    <cfRule type="cellIs" dxfId="365" priority="213" operator="greaterThan">
      <formula>0.03</formula>
    </cfRule>
    <cfRule type="cellIs" dxfId="364" priority="214" stopIfTrue="1" operator="lessThan">
      <formula>-0.03</formula>
    </cfRule>
  </conditionalFormatting>
  <conditionalFormatting sqref="AB107:AD122">
    <cfRule type="cellIs" dxfId="363" priority="83" operator="greaterThan">
      <formula>0.03</formula>
    </cfRule>
    <cfRule type="cellIs" dxfId="362" priority="84" stopIfTrue="1" operator="lessThan">
      <formula>-0.03</formula>
    </cfRule>
  </conditionalFormatting>
  <conditionalFormatting sqref="AB123:AG123 AB125:AG125">
    <cfRule type="cellIs" dxfId="361" priority="551" operator="greaterThan">
      <formula>0.03</formula>
    </cfRule>
    <cfRule type="cellIs" dxfId="360" priority="552" stopIfTrue="1" operator="lessThan">
      <formula>-0.03</formula>
    </cfRule>
  </conditionalFormatting>
  <conditionalFormatting sqref="AB127:AG128">
    <cfRule type="cellIs" dxfId="359" priority="553" operator="greaterThan">
      <formula>0.03</formula>
    </cfRule>
    <cfRule type="cellIs" dxfId="358" priority="554" stopIfTrue="1" operator="lessThan">
      <formula>-0.03</formula>
    </cfRule>
  </conditionalFormatting>
  <conditionalFormatting sqref="AH47:AH90">
    <cfRule type="cellIs" dxfId="357" priority="25" operator="greaterThan">
      <formula>0.005</formula>
    </cfRule>
    <cfRule type="cellIs" dxfId="356" priority="26" operator="lessThan">
      <formula>-0.005</formula>
    </cfRule>
  </conditionalFormatting>
  <conditionalFormatting sqref="AJ47:AL78">
    <cfRule type="cellIs" dxfId="355" priority="17" operator="lessThan">
      <formula>-0.1</formula>
    </cfRule>
    <cfRule type="cellIs" dxfId="354" priority="18" operator="lessThan">
      <formula>-0.05</formula>
    </cfRule>
    <cfRule type="cellIs" dxfId="353" priority="19" operator="lessThan">
      <formula>0</formula>
    </cfRule>
    <cfRule type="cellIs" dxfId="352" priority="20" operator="greaterThan">
      <formula>0.1</formula>
    </cfRule>
    <cfRule type="cellIs" dxfId="351" priority="21" operator="greaterThan">
      <formula>0.05</formula>
    </cfRule>
    <cfRule type="cellIs" dxfId="350" priority="22" operator="greaterThan">
      <formula>0</formula>
    </cfRule>
    <cfRule type="cellIs" dxfId="349" priority="23" operator="greaterThan">
      <formula>0.05</formula>
    </cfRule>
    <cfRule type="cellIs" dxfId="348" priority="24" operator="greaterThan">
      <formula>0</formula>
    </cfRule>
  </conditionalFormatting>
  <conditionalFormatting sqref="AI47:AI78">
    <cfRule type="cellIs" dxfId="347" priority="15" operator="greaterThan">
      <formula>0</formula>
    </cfRule>
    <cfRule type="cellIs" dxfId="346" priority="16" operator="lessThan">
      <formula>0</formula>
    </cfRule>
  </conditionalFormatting>
  <conditionalFormatting sqref="AJ79:AL90">
    <cfRule type="cellIs" dxfId="345" priority="7" operator="lessThan">
      <formula>-0.1</formula>
    </cfRule>
    <cfRule type="cellIs" dxfId="344" priority="8" operator="lessThan">
      <formula>-0.05</formula>
    </cfRule>
    <cfRule type="cellIs" dxfId="343" priority="9" operator="lessThan">
      <formula>0</formula>
    </cfRule>
    <cfRule type="cellIs" dxfId="342" priority="10" operator="greaterThan">
      <formula>0.1</formula>
    </cfRule>
    <cfRule type="cellIs" dxfId="341" priority="11" operator="greaterThan">
      <formula>0.05</formula>
    </cfRule>
    <cfRule type="cellIs" dxfId="340" priority="12" operator="greaterThan">
      <formula>0</formula>
    </cfRule>
    <cfRule type="cellIs" dxfId="339" priority="13" operator="greaterThan">
      <formula>0.05</formula>
    </cfRule>
    <cfRule type="cellIs" dxfId="338" priority="14" operator="greaterThan">
      <formula>0</formula>
    </cfRule>
  </conditionalFormatting>
  <conditionalFormatting sqref="AI79:AI90">
    <cfRule type="cellIs" dxfId="337" priority="5" operator="greaterThan">
      <formula>0</formula>
    </cfRule>
    <cfRule type="cellIs" dxfId="336" priority="6" operator="lessThan">
      <formula>0</formula>
    </cfRule>
  </conditionalFormatting>
  <conditionalFormatting sqref="AH125:AH130">
    <cfRule type="cellIs" dxfId="3" priority="3" operator="greaterThan">
      <formula>0.005</formula>
    </cfRule>
    <cfRule type="cellIs" dxfId="2" priority="4" operator="lessThan">
      <formula>-0.005</formula>
    </cfRule>
  </conditionalFormatting>
  <conditionalFormatting sqref="AH131">
    <cfRule type="cellIs" dxfId="1" priority="1" operator="greaterThan">
      <formula>0.005</formula>
    </cfRule>
    <cfRule type="cellIs" dxfId="0" priority="2" operator="lessThan">
      <formula>-0.005</formula>
    </cfRule>
  </conditionalFormatting>
  <pageMargins left="0.75" right="0.75" top="1" bottom="1" header="0.5" footer="0.5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AG156"/>
  <sheetViews>
    <sheetView topLeftCell="A69" zoomScale="85" zoomScaleNormal="85" workbookViewId="0">
      <selection activeCell="P104" sqref="P103:P104"/>
    </sheetView>
  </sheetViews>
  <sheetFormatPr defaultColWidth="10.75" defaultRowHeight="12" x14ac:dyDescent="0.2"/>
  <cols>
    <col min="1" max="1" width="8.25" style="2" customWidth="1"/>
    <col min="2" max="2" width="14.75" style="2" customWidth="1"/>
    <col min="3" max="3" width="7.75" style="2" customWidth="1"/>
    <col min="4" max="4" width="9.75" style="2" customWidth="1"/>
    <col min="5" max="7" width="6.75" style="2" customWidth="1"/>
    <col min="8" max="10" width="8.75" style="2" customWidth="1"/>
    <col min="11" max="11" width="11.875" style="2" customWidth="1"/>
    <col min="12" max="12" width="13.125" style="3" customWidth="1"/>
    <col min="13" max="13" width="2.75" style="2" customWidth="1"/>
    <col min="14" max="14" width="9.75" style="2" customWidth="1"/>
    <col min="15" max="17" width="6.75" style="2" customWidth="1"/>
    <col min="18" max="20" width="8.75" style="2" customWidth="1"/>
    <col min="21" max="21" width="11.875" style="2" customWidth="1"/>
    <col min="22" max="22" width="11.875" style="3" customWidth="1"/>
    <col min="23" max="24" width="5.625" style="2" customWidth="1"/>
    <col min="25" max="25" width="9.875" style="2" customWidth="1"/>
    <col min="26" max="26" width="10" style="2" customWidth="1"/>
    <col min="27" max="27" width="2.75" style="2" customWidth="1"/>
    <col min="28" max="33" width="8.75" style="2" customWidth="1"/>
    <col min="34" max="16384" width="10.75" style="2"/>
  </cols>
  <sheetData>
    <row r="1" spans="1:33" ht="12.75" customHeight="1" x14ac:dyDescent="0.2">
      <c r="D1" s="142" t="s">
        <v>95</v>
      </c>
      <c r="E1" s="143"/>
      <c r="F1" s="143"/>
      <c r="G1" s="143"/>
      <c r="H1" s="143"/>
      <c r="I1" s="143"/>
      <c r="J1" s="143"/>
      <c r="K1" s="143"/>
      <c r="L1" s="144"/>
      <c r="N1" s="142" t="s">
        <v>96</v>
      </c>
      <c r="O1" s="143"/>
      <c r="P1" s="143"/>
      <c r="Q1" s="143"/>
      <c r="R1" s="143"/>
      <c r="S1" s="143"/>
      <c r="T1" s="143"/>
      <c r="U1" s="143"/>
      <c r="V1" s="144"/>
      <c r="W1" s="30"/>
      <c r="X1" s="30"/>
      <c r="Y1" s="30"/>
      <c r="Z1" s="32"/>
      <c r="AA1" s="33"/>
      <c r="AB1" s="142" t="s">
        <v>97</v>
      </c>
      <c r="AC1" s="143"/>
      <c r="AD1" s="144"/>
      <c r="AE1" s="142" t="s">
        <v>98</v>
      </c>
      <c r="AF1" s="143"/>
      <c r="AG1" s="144"/>
    </row>
    <row r="2" spans="1:33" ht="12.75" customHeight="1" x14ac:dyDescent="0.2">
      <c r="A2" s="4"/>
      <c r="B2" s="5"/>
      <c r="C2" s="6" t="s">
        <v>99</v>
      </c>
      <c r="D2" s="7" t="s">
        <v>59</v>
      </c>
      <c r="E2" s="8" t="s">
        <v>60</v>
      </c>
      <c r="F2" s="8" t="s">
        <v>61</v>
      </c>
      <c r="G2" s="8" t="s">
        <v>62</v>
      </c>
      <c r="H2" s="8" t="s">
        <v>100</v>
      </c>
      <c r="I2" s="8" t="s">
        <v>101</v>
      </c>
      <c r="J2" s="8" t="s">
        <v>102</v>
      </c>
      <c r="K2" s="18" t="s">
        <v>103</v>
      </c>
      <c r="L2" s="19" t="s">
        <v>104</v>
      </c>
      <c r="M2" s="20"/>
      <c r="N2" s="7" t="s">
        <v>59</v>
      </c>
      <c r="O2" s="8" t="s">
        <v>60</v>
      </c>
      <c r="P2" s="8" t="s">
        <v>61</v>
      </c>
      <c r="Q2" s="8" t="s">
        <v>62</v>
      </c>
      <c r="R2" s="8" t="s">
        <v>100</v>
      </c>
      <c r="S2" s="8" t="s">
        <v>101</v>
      </c>
      <c r="T2" s="8" t="s">
        <v>102</v>
      </c>
      <c r="U2" s="18" t="s">
        <v>103</v>
      </c>
      <c r="V2" s="19" t="s">
        <v>104</v>
      </c>
      <c r="W2" s="31" t="s">
        <v>105</v>
      </c>
      <c r="X2" s="18" t="s">
        <v>106</v>
      </c>
      <c r="Y2" s="18" t="s">
        <v>107</v>
      </c>
      <c r="Z2" s="34" t="s">
        <v>108</v>
      </c>
      <c r="AA2" s="34"/>
      <c r="AB2" s="7" t="s">
        <v>9</v>
      </c>
      <c r="AC2" s="8" t="s">
        <v>10</v>
      </c>
      <c r="AD2" s="19" t="s">
        <v>11</v>
      </c>
      <c r="AE2" s="7" t="s">
        <v>9</v>
      </c>
      <c r="AF2" s="8" t="s">
        <v>10</v>
      </c>
      <c r="AG2" s="19" t="s">
        <v>11</v>
      </c>
    </row>
    <row r="3" spans="1:33" x14ac:dyDescent="0.2">
      <c r="A3" s="9" t="s">
        <v>19</v>
      </c>
      <c r="B3" s="9" t="s">
        <v>64</v>
      </c>
      <c r="C3" s="9">
        <v>22</v>
      </c>
      <c r="D3" s="10"/>
      <c r="E3" s="11"/>
      <c r="F3" s="11"/>
      <c r="G3" s="11"/>
      <c r="H3" s="11"/>
      <c r="I3" s="11"/>
      <c r="J3" s="11"/>
      <c r="K3" s="11"/>
      <c r="L3" s="21"/>
      <c r="N3" s="10"/>
      <c r="O3" s="11"/>
      <c r="P3" s="11"/>
      <c r="Q3" s="11"/>
      <c r="R3" s="11"/>
      <c r="S3" s="11"/>
      <c r="T3" s="11"/>
      <c r="U3" s="11"/>
      <c r="V3" s="21"/>
      <c r="W3" s="11"/>
      <c r="X3" s="11"/>
      <c r="Y3" s="11"/>
      <c r="Z3" s="21"/>
      <c r="AA3" s="35"/>
      <c r="AB3" s="36"/>
      <c r="AC3" s="37"/>
      <c r="AD3" s="38"/>
      <c r="AE3" s="36"/>
      <c r="AF3" s="37"/>
      <c r="AG3" s="38"/>
    </row>
    <row r="4" spans="1:33" x14ac:dyDescent="0.2">
      <c r="A4" s="12" t="s">
        <v>109</v>
      </c>
      <c r="B4" s="12"/>
      <c r="C4" s="12">
        <v>27</v>
      </c>
      <c r="D4" s="13"/>
      <c r="E4" s="14"/>
      <c r="F4" s="14"/>
      <c r="G4" s="14"/>
      <c r="H4" s="14"/>
      <c r="I4" s="14"/>
      <c r="J4" s="14"/>
      <c r="K4" s="14"/>
      <c r="L4" s="22"/>
      <c r="N4" s="13"/>
      <c r="O4" s="14"/>
      <c r="P4" s="14"/>
      <c r="Q4" s="14"/>
      <c r="R4" s="14"/>
      <c r="S4" s="14"/>
      <c r="T4" s="14"/>
      <c r="U4" s="14"/>
      <c r="V4" s="22"/>
      <c r="W4" s="14"/>
      <c r="X4" s="14"/>
      <c r="Y4" s="14"/>
      <c r="Z4" s="22"/>
      <c r="AA4" s="39"/>
      <c r="AB4" s="40"/>
      <c r="AC4" s="41"/>
      <c r="AD4" s="42"/>
      <c r="AE4" s="40"/>
      <c r="AF4" s="41"/>
      <c r="AG4" s="42"/>
    </row>
    <row r="5" spans="1:33" x14ac:dyDescent="0.2">
      <c r="A5" s="12"/>
      <c r="B5" s="12"/>
      <c r="C5" s="12">
        <v>32</v>
      </c>
      <c r="D5" s="13"/>
      <c r="E5" s="14"/>
      <c r="F5" s="14"/>
      <c r="G5" s="14"/>
      <c r="H5" s="14"/>
      <c r="I5" s="14"/>
      <c r="J5" s="14"/>
      <c r="K5" s="14"/>
      <c r="L5" s="22"/>
      <c r="N5" s="13"/>
      <c r="O5" s="14"/>
      <c r="P5" s="14"/>
      <c r="Q5" s="14"/>
      <c r="R5" s="14"/>
      <c r="S5" s="14"/>
      <c r="T5" s="14"/>
      <c r="U5" s="14"/>
      <c r="V5" s="22"/>
      <c r="W5" s="14"/>
      <c r="X5" s="14"/>
      <c r="Y5" s="14"/>
      <c r="Z5" s="22"/>
      <c r="AA5" s="39"/>
      <c r="AB5" s="40"/>
      <c r="AC5" s="41"/>
      <c r="AD5" s="42"/>
      <c r="AE5" s="40"/>
      <c r="AF5" s="41"/>
      <c r="AG5" s="42"/>
    </row>
    <row r="6" spans="1:33" ht="12.75" customHeight="1" x14ac:dyDescent="0.2">
      <c r="A6" s="12"/>
      <c r="B6" s="15"/>
      <c r="C6" s="15">
        <v>37</v>
      </c>
      <c r="D6" s="16"/>
      <c r="E6" s="17"/>
      <c r="F6" s="17"/>
      <c r="G6" s="17"/>
      <c r="H6" s="17"/>
      <c r="I6" s="17"/>
      <c r="J6" s="17"/>
      <c r="K6" s="17"/>
      <c r="L6" s="23"/>
      <c r="N6" s="16"/>
      <c r="O6" s="17"/>
      <c r="P6" s="17"/>
      <c r="Q6" s="17"/>
      <c r="R6" s="17"/>
      <c r="S6" s="17"/>
      <c r="T6" s="17"/>
      <c r="U6" s="17"/>
      <c r="V6" s="23"/>
      <c r="W6" s="14"/>
      <c r="X6" s="14"/>
      <c r="Y6" s="14"/>
      <c r="Z6" s="22"/>
      <c r="AA6" s="39"/>
      <c r="AB6" s="43"/>
      <c r="AC6" s="44"/>
      <c r="AD6" s="45"/>
      <c r="AE6" s="43"/>
      <c r="AF6" s="44"/>
      <c r="AG6" s="45"/>
    </row>
    <row r="7" spans="1:33" x14ac:dyDescent="0.2">
      <c r="A7" s="12"/>
      <c r="B7" s="9" t="s">
        <v>66</v>
      </c>
      <c r="C7" s="9">
        <v>22</v>
      </c>
      <c r="D7" s="10"/>
      <c r="E7" s="11"/>
      <c r="F7" s="11"/>
      <c r="G7" s="11"/>
      <c r="H7" s="11"/>
      <c r="I7" s="11"/>
      <c r="J7" s="11"/>
      <c r="K7" s="11"/>
      <c r="L7" s="21"/>
      <c r="N7" s="10"/>
      <c r="O7" s="11"/>
      <c r="P7" s="11"/>
      <c r="Q7" s="11"/>
      <c r="R7" s="11"/>
      <c r="S7" s="11"/>
      <c r="T7" s="11"/>
      <c r="U7" s="11"/>
      <c r="V7" s="21"/>
      <c r="W7" s="14"/>
      <c r="X7" s="14"/>
      <c r="Y7" s="14"/>
      <c r="Z7" s="22"/>
      <c r="AA7" s="39"/>
      <c r="AB7" s="36"/>
      <c r="AC7" s="37"/>
      <c r="AD7" s="37"/>
      <c r="AE7" s="46"/>
      <c r="AF7" s="47"/>
      <c r="AG7" s="49"/>
    </row>
    <row r="8" spans="1:33" x14ac:dyDescent="0.2">
      <c r="A8" s="12"/>
      <c r="B8" s="12"/>
      <c r="C8" s="12">
        <v>27</v>
      </c>
      <c r="D8" s="13"/>
      <c r="E8" s="14"/>
      <c r="F8" s="14"/>
      <c r="G8" s="14"/>
      <c r="H8" s="14"/>
      <c r="I8" s="14"/>
      <c r="J8" s="14"/>
      <c r="K8" s="14"/>
      <c r="L8" s="22"/>
      <c r="N8" s="13"/>
      <c r="O8" s="14"/>
      <c r="P8" s="14"/>
      <c r="Q8" s="14"/>
      <c r="R8" s="14"/>
      <c r="S8" s="14"/>
      <c r="T8" s="14"/>
      <c r="U8" s="14"/>
      <c r="V8" s="22"/>
      <c r="W8" s="14"/>
      <c r="X8" s="14"/>
      <c r="Y8" s="14"/>
      <c r="Z8" s="22"/>
      <c r="AA8" s="39"/>
      <c r="AB8" s="40"/>
      <c r="AC8" s="41"/>
      <c r="AD8" s="41"/>
      <c r="AE8" s="40"/>
      <c r="AF8" s="41"/>
      <c r="AG8" s="42"/>
    </row>
    <row r="9" spans="1:33" x14ac:dyDescent="0.2">
      <c r="A9" s="12"/>
      <c r="B9" s="12"/>
      <c r="C9" s="12">
        <v>32</v>
      </c>
      <c r="D9" s="13"/>
      <c r="E9" s="14"/>
      <c r="F9" s="14"/>
      <c r="G9" s="14"/>
      <c r="H9" s="14"/>
      <c r="I9" s="14"/>
      <c r="J9" s="14"/>
      <c r="K9" s="14"/>
      <c r="L9" s="22"/>
      <c r="N9" s="13"/>
      <c r="O9" s="14"/>
      <c r="P9" s="14"/>
      <c r="Q9" s="14"/>
      <c r="R9" s="14"/>
      <c r="S9" s="14"/>
      <c r="T9" s="14"/>
      <c r="U9" s="14"/>
      <c r="V9" s="22"/>
      <c r="W9" s="14"/>
      <c r="X9" s="14"/>
      <c r="Y9" s="14"/>
      <c r="Z9" s="22"/>
      <c r="AA9" s="39"/>
      <c r="AB9" s="40"/>
      <c r="AC9" s="41"/>
      <c r="AD9" s="41"/>
      <c r="AE9" s="40"/>
      <c r="AF9" s="41"/>
      <c r="AG9" s="42"/>
    </row>
    <row r="10" spans="1:33" ht="12.75" customHeight="1" x14ac:dyDescent="0.2">
      <c r="A10" s="12"/>
      <c r="B10" s="15"/>
      <c r="C10" s="15">
        <v>37</v>
      </c>
      <c r="D10" s="16"/>
      <c r="E10" s="17"/>
      <c r="F10" s="17"/>
      <c r="G10" s="17"/>
      <c r="H10" s="17"/>
      <c r="I10" s="17"/>
      <c r="J10" s="17"/>
      <c r="K10" s="17"/>
      <c r="L10" s="23"/>
      <c r="N10" s="16"/>
      <c r="O10" s="17"/>
      <c r="P10" s="17"/>
      <c r="Q10" s="17"/>
      <c r="R10" s="17"/>
      <c r="S10" s="17"/>
      <c r="T10" s="17"/>
      <c r="U10" s="17"/>
      <c r="V10" s="23"/>
      <c r="W10" s="14"/>
      <c r="X10" s="14"/>
      <c r="Y10" s="14"/>
      <c r="Z10" s="22"/>
      <c r="AA10" s="39"/>
      <c r="AB10" s="43"/>
      <c r="AC10" s="44"/>
      <c r="AD10" s="44"/>
      <c r="AE10" s="43"/>
      <c r="AF10" s="44"/>
      <c r="AG10" s="45"/>
    </row>
    <row r="11" spans="1:33" x14ac:dyDescent="0.2">
      <c r="A11" s="12"/>
      <c r="B11" s="9" t="s">
        <v>67</v>
      </c>
      <c r="C11" s="9">
        <v>22</v>
      </c>
      <c r="D11" s="10"/>
      <c r="E11" s="11"/>
      <c r="F11" s="11"/>
      <c r="G11" s="11"/>
      <c r="H11" s="11"/>
      <c r="I11" s="11"/>
      <c r="J11" s="11"/>
      <c r="K11" s="11"/>
      <c r="L11" s="21"/>
      <c r="N11" s="10"/>
      <c r="O11" s="11"/>
      <c r="P11" s="11"/>
      <c r="Q11" s="11"/>
      <c r="R11" s="11"/>
      <c r="S11" s="11"/>
      <c r="T11" s="11"/>
      <c r="U11" s="11"/>
      <c r="V11" s="21"/>
      <c r="W11" s="14"/>
      <c r="X11" s="14"/>
      <c r="Y11" s="14"/>
      <c r="Z11" s="22"/>
      <c r="AA11" s="39"/>
      <c r="AB11" s="36"/>
      <c r="AC11" s="37"/>
      <c r="AD11" s="37"/>
      <c r="AE11" s="46"/>
      <c r="AF11" s="47"/>
      <c r="AG11" s="49"/>
    </row>
    <row r="12" spans="1:33" x14ac:dyDescent="0.2">
      <c r="A12" s="12"/>
      <c r="B12" s="12"/>
      <c r="C12" s="12">
        <v>27</v>
      </c>
      <c r="D12" s="13"/>
      <c r="E12" s="14"/>
      <c r="F12" s="14"/>
      <c r="G12" s="14"/>
      <c r="H12" s="14"/>
      <c r="I12" s="14"/>
      <c r="J12" s="14"/>
      <c r="K12" s="14"/>
      <c r="L12" s="22"/>
      <c r="N12" s="13"/>
      <c r="O12" s="14"/>
      <c r="P12" s="14"/>
      <c r="Q12" s="14"/>
      <c r="R12" s="14"/>
      <c r="S12" s="14"/>
      <c r="T12" s="14"/>
      <c r="U12" s="14"/>
      <c r="V12" s="22"/>
      <c r="W12" s="14"/>
      <c r="X12" s="14"/>
      <c r="Y12" s="14"/>
      <c r="Z12" s="22"/>
      <c r="AA12" s="39"/>
      <c r="AB12" s="40"/>
      <c r="AC12" s="41"/>
      <c r="AD12" s="41"/>
      <c r="AE12" s="40"/>
      <c r="AF12" s="41"/>
      <c r="AG12" s="42"/>
    </row>
    <row r="13" spans="1:33" x14ac:dyDescent="0.2">
      <c r="A13" s="12"/>
      <c r="B13" s="12"/>
      <c r="C13" s="12">
        <v>32</v>
      </c>
      <c r="D13" s="13"/>
      <c r="E13" s="14"/>
      <c r="F13" s="14"/>
      <c r="G13" s="14"/>
      <c r="H13" s="14"/>
      <c r="I13" s="14"/>
      <c r="J13" s="14"/>
      <c r="K13" s="14"/>
      <c r="L13" s="22"/>
      <c r="N13" s="13"/>
      <c r="O13" s="14"/>
      <c r="P13" s="14"/>
      <c r="Q13" s="14"/>
      <c r="R13" s="14"/>
      <c r="S13" s="14"/>
      <c r="T13" s="14"/>
      <c r="U13" s="14"/>
      <c r="V13" s="22"/>
      <c r="W13" s="14"/>
      <c r="X13" s="14"/>
      <c r="Y13" s="14"/>
      <c r="Z13" s="22"/>
      <c r="AA13" s="39"/>
      <c r="AB13" s="40"/>
      <c r="AC13" s="41"/>
      <c r="AD13" s="41"/>
      <c r="AE13" s="40"/>
      <c r="AF13" s="41"/>
      <c r="AG13" s="42"/>
    </row>
    <row r="14" spans="1:33" ht="12.75" customHeight="1" x14ac:dyDescent="0.2">
      <c r="A14" s="12"/>
      <c r="B14" s="15"/>
      <c r="C14" s="15">
        <v>37</v>
      </c>
      <c r="D14" s="16"/>
      <c r="E14" s="17"/>
      <c r="F14" s="17"/>
      <c r="G14" s="17"/>
      <c r="H14" s="17"/>
      <c r="I14" s="17"/>
      <c r="J14" s="17"/>
      <c r="K14" s="17"/>
      <c r="L14" s="23"/>
      <c r="N14" s="16"/>
      <c r="O14" s="17"/>
      <c r="P14" s="17"/>
      <c r="Q14" s="17"/>
      <c r="R14" s="17"/>
      <c r="S14" s="17"/>
      <c r="T14" s="17"/>
      <c r="U14" s="17"/>
      <c r="V14" s="23"/>
      <c r="W14" s="14"/>
      <c r="X14" s="14"/>
      <c r="Y14" s="14"/>
      <c r="Z14" s="22"/>
      <c r="AA14" s="39"/>
      <c r="AB14" s="43"/>
      <c r="AC14" s="44"/>
      <c r="AD14" s="44"/>
      <c r="AE14" s="43"/>
      <c r="AF14" s="44"/>
      <c r="AG14" s="45"/>
    </row>
    <row r="15" spans="1:33" x14ac:dyDescent="0.2">
      <c r="A15" s="9" t="s">
        <v>21</v>
      </c>
      <c r="B15" s="9" t="s">
        <v>110</v>
      </c>
      <c r="C15" s="9">
        <v>22</v>
      </c>
      <c r="D15" s="10"/>
      <c r="E15" s="11"/>
      <c r="F15" s="11"/>
      <c r="G15" s="11"/>
      <c r="H15" s="11"/>
      <c r="I15" s="11"/>
      <c r="J15" s="11"/>
      <c r="K15" s="11"/>
      <c r="L15" s="21"/>
      <c r="N15" s="10"/>
      <c r="O15" s="11"/>
      <c r="P15" s="11"/>
      <c r="Q15" s="11"/>
      <c r="R15" s="11"/>
      <c r="S15" s="11"/>
      <c r="T15" s="11"/>
      <c r="U15" s="11"/>
      <c r="V15" s="21"/>
      <c r="W15" s="11"/>
      <c r="X15" s="11"/>
      <c r="Y15" s="11"/>
      <c r="Z15" s="21"/>
      <c r="AA15" s="35"/>
      <c r="AB15" s="36"/>
      <c r="AC15" s="37"/>
      <c r="AD15" s="38"/>
      <c r="AE15" s="36"/>
      <c r="AF15" s="37"/>
      <c r="AG15" s="38"/>
    </row>
    <row r="16" spans="1:33" x14ac:dyDescent="0.2">
      <c r="A16" s="12" t="s">
        <v>109</v>
      </c>
      <c r="B16" s="12"/>
      <c r="C16" s="12">
        <v>27</v>
      </c>
      <c r="D16" s="13"/>
      <c r="E16" s="14"/>
      <c r="F16" s="14"/>
      <c r="G16" s="14"/>
      <c r="H16" s="14"/>
      <c r="I16" s="14"/>
      <c r="J16" s="14"/>
      <c r="K16" s="14"/>
      <c r="L16" s="22"/>
      <c r="N16" s="13"/>
      <c r="O16" s="14"/>
      <c r="P16" s="14"/>
      <c r="Q16" s="14"/>
      <c r="R16" s="14"/>
      <c r="S16" s="14"/>
      <c r="T16" s="14"/>
      <c r="U16" s="14"/>
      <c r="V16" s="22"/>
      <c r="W16" s="14"/>
      <c r="X16" s="14"/>
      <c r="Y16" s="14"/>
      <c r="Z16" s="22"/>
      <c r="AA16" s="39"/>
      <c r="AB16" s="40"/>
      <c r="AC16" s="41"/>
      <c r="AD16" s="42"/>
      <c r="AE16" s="40"/>
      <c r="AF16" s="41"/>
      <c r="AG16" s="42"/>
    </row>
    <row r="17" spans="1:33" x14ac:dyDescent="0.2">
      <c r="A17" s="12"/>
      <c r="B17" s="12"/>
      <c r="C17" s="12">
        <v>32</v>
      </c>
      <c r="D17" s="13"/>
      <c r="E17" s="14"/>
      <c r="F17" s="14"/>
      <c r="G17" s="14"/>
      <c r="H17" s="14"/>
      <c r="I17" s="14"/>
      <c r="J17" s="14"/>
      <c r="K17" s="14"/>
      <c r="L17" s="22"/>
      <c r="N17" s="13"/>
      <c r="O17" s="14"/>
      <c r="P17" s="14"/>
      <c r="Q17" s="14"/>
      <c r="R17" s="14"/>
      <c r="S17" s="14"/>
      <c r="T17" s="14"/>
      <c r="U17" s="14"/>
      <c r="V17" s="22"/>
      <c r="W17" s="14"/>
      <c r="X17" s="14"/>
      <c r="Y17" s="14"/>
      <c r="Z17" s="22"/>
      <c r="AA17" s="39"/>
      <c r="AB17" s="40"/>
      <c r="AC17" s="41"/>
      <c r="AD17" s="42"/>
      <c r="AE17" s="40"/>
      <c r="AF17" s="41"/>
      <c r="AG17" s="42"/>
    </row>
    <row r="18" spans="1:33" ht="12.75" customHeight="1" x14ac:dyDescent="0.2">
      <c r="A18" s="12"/>
      <c r="B18" s="15"/>
      <c r="C18" s="15">
        <v>37</v>
      </c>
      <c r="D18" s="16"/>
      <c r="E18" s="17"/>
      <c r="F18" s="17"/>
      <c r="G18" s="17"/>
      <c r="H18" s="17"/>
      <c r="I18" s="17"/>
      <c r="J18" s="17"/>
      <c r="K18" s="17"/>
      <c r="L18" s="23"/>
      <c r="N18" s="16"/>
      <c r="O18" s="17"/>
      <c r="P18" s="17"/>
      <c r="Q18" s="17"/>
      <c r="R18" s="17"/>
      <c r="S18" s="17"/>
      <c r="T18" s="17"/>
      <c r="U18" s="17"/>
      <c r="V18" s="23"/>
      <c r="W18" s="14"/>
      <c r="X18" s="14"/>
      <c r="Y18" s="14"/>
      <c r="Z18" s="22"/>
      <c r="AA18" s="39"/>
      <c r="AB18" s="43"/>
      <c r="AC18" s="44"/>
      <c r="AD18" s="45"/>
      <c r="AE18" s="43"/>
      <c r="AF18" s="44"/>
      <c r="AG18" s="45"/>
    </row>
    <row r="19" spans="1:33" x14ac:dyDescent="0.2">
      <c r="A19" s="12"/>
      <c r="B19" s="12" t="s">
        <v>70</v>
      </c>
      <c r="C19" s="9">
        <v>22</v>
      </c>
      <c r="D19" s="10"/>
      <c r="E19" s="11"/>
      <c r="F19" s="11"/>
      <c r="G19" s="11"/>
      <c r="H19" s="11"/>
      <c r="I19" s="11"/>
      <c r="J19" s="11"/>
      <c r="K19" s="11"/>
      <c r="L19" s="21"/>
      <c r="N19" s="10"/>
      <c r="O19" s="11"/>
      <c r="P19" s="11"/>
      <c r="Q19" s="11"/>
      <c r="R19" s="11"/>
      <c r="S19" s="11"/>
      <c r="T19" s="11"/>
      <c r="U19" s="11"/>
      <c r="V19" s="21"/>
      <c r="W19" s="14"/>
      <c r="X19" s="14"/>
      <c r="Y19" s="14"/>
      <c r="Z19" s="22"/>
      <c r="AA19" s="39"/>
      <c r="AB19" s="36"/>
      <c r="AC19" s="37"/>
      <c r="AD19" s="37"/>
      <c r="AE19" s="46"/>
      <c r="AF19" s="47"/>
      <c r="AG19" s="49"/>
    </row>
    <row r="20" spans="1:33" x14ac:dyDescent="0.2">
      <c r="A20" s="12"/>
      <c r="B20" s="12"/>
      <c r="C20" s="12">
        <v>27</v>
      </c>
      <c r="D20" s="13"/>
      <c r="E20" s="14"/>
      <c r="F20" s="14"/>
      <c r="G20" s="14"/>
      <c r="H20" s="14"/>
      <c r="I20" s="14"/>
      <c r="J20" s="14"/>
      <c r="K20" s="14"/>
      <c r="L20" s="22"/>
      <c r="N20" s="13"/>
      <c r="O20" s="14"/>
      <c r="P20" s="14"/>
      <c r="Q20" s="14"/>
      <c r="R20" s="14"/>
      <c r="S20" s="14"/>
      <c r="T20" s="14"/>
      <c r="U20" s="14"/>
      <c r="V20" s="22"/>
      <c r="W20" s="14"/>
      <c r="X20" s="14"/>
      <c r="Y20" s="14"/>
      <c r="Z20" s="22"/>
      <c r="AA20" s="39"/>
      <c r="AB20" s="40"/>
      <c r="AC20" s="41"/>
      <c r="AD20" s="41"/>
      <c r="AE20" s="40"/>
      <c r="AF20" s="41"/>
      <c r="AG20" s="42"/>
    </row>
    <row r="21" spans="1:33" x14ac:dyDescent="0.2">
      <c r="A21" s="12"/>
      <c r="B21" s="12"/>
      <c r="C21" s="12">
        <v>32</v>
      </c>
      <c r="D21" s="13"/>
      <c r="E21" s="14"/>
      <c r="F21" s="14"/>
      <c r="G21" s="14"/>
      <c r="H21" s="14"/>
      <c r="I21" s="14"/>
      <c r="J21" s="14"/>
      <c r="K21" s="14"/>
      <c r="L21" s="22"/>
      <c r="N21" s="13"/>
      <c r="O21" s="14"/>
      <c r="P21" s="14"/>
      <c r="Q21" s="14"/>
      <c r="R21" s="14"/>
      <c r="S21" s="14"/>
      <c r="T21" s="14"/>
      <c r="U21" s="14"/>
      <c r="V21" s="22"/>
      <c r="W21" s="14"/>
      <c r="X21" s="14"/>
      <c r="Y21" s="14"/>
      <c r="Z21" s="22"/>
      <c r="AA21" s="39"/>
      <c r="AB21" s="40"/>
      <c r="AC21" s="41"/>
      <c r="AD21" s="41"/>
      <c r="AE21" s="40"/>
      <c r="AF21" s="41"/>
      <c r="AG21" s="42"/>
    </row>
    <row r="22" spans="1:33" ht="12.75" customHeight="1" x14ac:dyDescent="0.2">
      <c r="A22" s="12"/>
      <c r="B22" s="15"/>
      <c r="C22" s="15">
        <v>37</v>
      </c>
      <c r="D22" s="16"/>
      <c r="E22" s="17"/>
      <c r="F22" s="17"/>
      <c r="G22" s="17"/>
      <c r="H22" s="17"/>
      <c r="I22" s="17"/>
      <c r="J22" s="17"/>
      <c r="K22" s="17"/>
      <c r="L22" s="23"/>
      <c r="N22" s="16"/>
      <c r="O22" s="17"/>
      <c r="P22" s="17"/>
      <c r="Q22" s="17"/>
      <c r="R22" s="17"/>
      <c r="S22" s="17"/>
      <c r="T22" s="17"/>
      <c r="U22" s="17"/>
      <c r="V22" s="23"/>
      <c r="W22" s="14"/>
      <c r="X22" s="14"/>
      <c r="Y22" s="14"/>
      <c r="Z22" s="22"/>
      <c r="AA22" s="39"/>
      <c r="AB22" s="43"/>
      <c r="AC22" s="44"/>
      <c r="AD22" s="44"/>
      <c r="AE22" s="43"/>
      <c r="AF22" s="44"/>
      <c r="AG22" s="45"/>
    </row>
    <row r="23" spans="1:33" x14ac:dyDescent="0.2">
      <c r="A23" s="12"/>
      <c r="B23" s="12" t="s">
        <v>71</v>
      </c>
      <c r="C23" s="9">
        <v>22</v>
      </c>
      <c r="D23" s="10"/>
      <c r="E23" s="11"/>
      <c r="F23" s="11"/>
      <c r="G23" s="11"/>
      <c r="H23" s="11"/>
      <c r="I23" s="11"/>
      <c r="J23" s="11"/>
      <c r="K23" s="11"/>
      <c r="L23" s="21"/>
      <c r="N23" s="10"/>
      <c r="O23" s="11"/>
      <c r="P23" s="11"/>
      <c r="Q23" s="11"/>
      <c r="R23" s="11"/>
      <c r="S23" s="11"/>
      <c r="T23" s="11"/>
      <c r="U23" s="11"/>
      <c r="V23" s="21"/>
      <c r="W23" s="14"/>
      <c r="X23" s="14"/>
      <c r="Y23" s="14"/>
      <c r="Z23" s="22"/>
      <c r="AA23" s="39"/>
      <c r="AB23" s="36"/>
      <c r="AC23" s="37"/>
      <c r="AD23" s="37"/>
      <c r="AE23" s="46"/>
      <c r="AF23" s="47"/>
      <c r="AG23" s="49"/>
    </row>
    <row r="24" spans="1:33" x14ac:dyDescent="0.2">
      <c r="A24" s="12"/>
      <c r="B24" s="12"/>
      <c r="C24" s="12">
        <v>27</v>
      </c>
      <c r="D24" s="13"/>
      <c r="E24" s="14"/>
      <c r="F24" s="14"/>
      <c r="G24" s="14"/>
      <c r="H24" s="14"/>
      <c r="I24" s="14"/>
      <c r="J24" s="14"/>
      <c r="K24" s="14"/>
      <c r="L24" s="22"/>
      <c r="N24" s="13"/>
      <c r="O24" s="14"/>
      <c r="P24" s="14"/>
      <c r="Q24" s="14"/>
      <c r="R24" s="14"/>
      <c r="S24" s="14"/>
      <c r="T24" s="14"/>
      <c r="U24" s="14"/>
      <c r="V24" s="22"/>
      <c r="W24" s="14"/>
      <c r="X24" s="14"/>
      <c r="Y24" s="14"/>
      <c r="Z24" s="22"/>
      <c r="AA24" s="39"/>
      <c r="AB24" s="40"/>
      <c r="AC24" s="41"/>
      <c r="AD24" s="41"/>
      <c r="AE24" s="40"/>
      <c r="AF24" s="41"/>
      <c r="AG24" s="42"/>
    </row>
    <row r="25" spans="1:33" x14ac:dyDescent="0.2">
      <c r="A25" s="12"/>
      <c r="B25" s="12"/>
      <c r="C25" s="12">
        <v>32</v>
      </c>
      <c r="D25" s="13"/>
      <c r="E25" s="14"/>
      <c r="F25" s="14"/>
      <c r="G25" s="14"/>
      <c r="H25" s="14"/>
      <c r="I25" s="14"/>
      <c r="J25" s="14"/>
      <c r="K25" s="14"/>
      <c r="L25" s="22"/>
      <c r="N25" s="13"/>
      <c r="O25" s="14"/>
      <c r="P25" s="14"/>
      <c r="Q25" s="14"/>
      <c r="R25" s="14"/>
      <c r="S25" s="14"/>
      <c r="T25" s="14"/>
      <c r="U25" s="14"/>
      <c r="V25" s="22"/>
      <c r="W25" s="14"/>
      <c r="X25" s="14"/>
      <c r="Y25" s="14"/>
      <c r="Z25" s="22"/>
      <c r="AA25" s="39"/>
      <c r="AB25" s="40"/>
      <c r="AC25" s="41"/>
      <c r="AD25" s="41"/>
      <c r="AE25" s="40"/>
      <c r="AF25" s="41"/>
      <c r="AG25" s="42"/>
    </row>
    <row r="26" spans="1:33" ht="12.75" customHeight="1" x14ac:dyDescent="0.2">
      <c r="A26" s="12"/>
      <c r="B26" s="15"/>
      <c r="C26" s="15">
        <v>37</v>
      </c>
      <c r="D26" s="16"/>
      <c r="E26" s="17"/>
      <c r="F26" s="17"/>
      <c r="G26" s="17"/>
      <c r="H26" s="17"/>
      <c r="I26" s="17"/>
      <c r="J26" s="17"/>
      <c r="K26" s="17"/>
      <c r="L26" s="23"/>
      <c r="N26" s="16"/>
      <c r="O26" s="17"/>
      <c r="P26" s="17"/>
      <c r="Q26" s="17"/>
      <c r="R26" s="17"/>
      <c r="S26" s="17"/>
      <c r="T26" s="17"/>
      <c r="U26" s="17"/>
      <c r="V26" s="23"/>
      <c r="W26" s="14"/>
      <c r="X26" s="14"/>
      <c r="Y26" s="14"/>
      <c r="Z26" s="22"/>
      <c r="AA26" s="39"/>
      <c r="AB26" s="43"/>
      <c r="AC26" s="44"/>
      <c r="AD26" s="44"/>
      <c r="AE26" s="43"/>
      <c r="AF26" s="44"/>
      <c r="AG26" s="45"/>
    </row>
    <row r="27" spans="1:33" x14ac:dyDescent="0.2">
      <c r="A27" s="9" t="s">
        <v>22</v>
      </c>
      <c r="B27" s="9" t="s">
        <v>72</v>
      </c>
      <c r="C27" s="9">
        <v>22</v>
      </c>
      <c r="D27" s="10">
        <f>Reference!B385</f>
        <v>11212.4496</v>
      </c>
      <c r="E27" s="11">
        <f>Reference!C385</f>
        <v>40.722099999999998</v>
      </c>
      <c r="F27" s="11">
        <f>Reference!D385</f>
        <v>44.453200000000002</v>
      </c>
      <c r="G27" s="11">
        <f>Reference!E385</f>
        <v>45.0657</v>
      </c>
      <c r="H27" s="11">
        <f>Reference!F385</f>
        <v>86338</v>
      </c>
      <c r="I27" s="11">
        <f>Reference!G385</f>
        <v>72.706999999999994</v>
      </c>
      <c r="J27" s="11">
        <f t="shared" ref="J27:J58" si="0">H27/3600</f>
        <v>23.982777777777777</v>
      </c>
      <c r="K27" s="24">
        <f>Reference!H385</f>
        <v>3865508</v>
      </c>
      <c r="L27" s="25">
        <f>Reference!I385</f>
        <v>703304</v>
      </c>
      <c r="N27" s="10">
        <f>Test!B385</f>
        <v>0</v>
      </c>
      <c r="O27" s="11">
        <f>Test!C385</f>
        <v>0</v>
      </c>
      <c r="P27" s="11">
        <f>Test!D385</f>
        <v>0</v>
      </c>
      <c r="Q27" s="11">
        <f>Test!E385</f>
        <v>0</v>
      </c>
      <c r="R27" s="11">
        <f>Test!F385</f>
        <v>0</v>
      </c>
      <c r="S27" s="11">
        <f>Test!G385</f>
        <v>0</v>
      </c>
      <c r="T27" s="11">
        <f t="shared" ref="T27:T58" si="1">R27/3600</f>
        <v>0</v>
      </c>
      <c r="U27" s="24">
        <f>Test!H385</f>
        <v>0</v>
      </c>
      <c r="V27" s="25">
        <f>Test!I385</f>
        <v>0</v>
      </c>
      <c r="W27" s="11">
        <f t="shared" ref="W27:W58" si="2">R27/H27</f>
        <v>0</v>
      </c>
      <c r="X27" s="11">
        <f t="shared" ref="X27:X58" si="3">S27/I27</f>
        <v>0</v>
      </c>
      <c r="Y27" s="11">
        <f>U27/K27</f>
        <v>0</v>
      </c>
      <c r="Z27" s="21">
        <f>V27/L27</f>
        <v>0</v>
      </c>
      <c r="AA27" s="35"/>
      <c r="AB27" s="36" t="e">
        <f>bdrate($D27:$D30,E27:E30,$N27:$N30,O27:O30)</f>
        <v>#VALUE!</v>
      </c>
      <c r="AC27" s="37" t="e">
        <f>bdrate($D27:$D30,F27:F30,$N27:$N30,P27:P30)</f>
        <v>#VALUE!</v>
      </c>
      <c r="AD27" s="38" t="e">
        <f>bdrate($D27:$D30,G27:G30,$N27:$N30,Q27:Q30)</f>
        <v>#VALUE!</v>
      </c>
      <c r="AE27" s="36" t="e">
        <f>bdrateOld($D27:$D30,E27:E30,$N27:$N30,O27:O30)</f>
        <v>#VALUE!</v>
      </c>
      <c r="AF27" s="37" t="e">
        <f>bdrateOld($D27:$D30,F27:F30,$N27:$N30,P27:P30)</f>
        <v>#VALUE!</v>
      </c>
      <c r="AG27" s="38" t="e">
        <f>bdrateOld($D27:$D30,G27:G30,$N27:$N30,Q27:Q30)</f>
        <v>#VALUE!</v>
      </c>
    </row>
    <row r="28" spans="1:33" x14ac:dyDescent="0.2">
      <c r="A28" s="12" t="s">
        <v>111</v>
      </c>
      <c r="B28" s="12"/>
      <c r="C28" s="12">
        <v>27</v>
      </c>
      <c r="D28" s="13">
        <f>Reference!B386</f>
        <v>3206.8847999999998</v>
      </c>
      <c r="E28" s="14">
        <f>Reference!C386</f>
        <v>38.919899999999998</v>
      </c>
      <c r="F28" s="14">
        <f>Reference!D386</f>
        <v>43.130200000000002</v>
      </c>
      <c r="G28" s="14">
        <f>Reference!E386</f>
        <v>43.506900000000002</v>
      </c>
      <c r="H28" s="14">
        <f>Reference!F386</f>
        <v>40205</v>
      </c>
      <c r="I28" s="14">
        <f>Reference!G386</f>
        <v>60.902999999999999</v>
      </c>
      <c r="J28" s="14">
        <f t="shared" si="0"/>
        <v>11.168055555555556</v>
      </c>
      <c r="K28" s="26">
        <f>Reference!H386</f>
        <v>3849372</v>
      </c>
      <c r="L28" s="27">
        <f>Reference!I386</f>
        <v>736568</v>
      </c>
      <c r="N28" s="13">
        <f>Test!B386</f>
        <v>0</v>
      </c>
      <c r="O28" s="14">
        <f>Test!C386</f>
        <v>0</v>
      </c>
      <c r="P28" s="14">
        <f>Test!D386</f>
        <v>0</v>
      </c>
      <c r="Q28" s="14">
        <f>Test!E386</f>
        <v>0</v>
      </c>
      <c r="R28" s="14">
        <f>Test!F386</f>
        <v>0</v>
      </c>
      <c r="S28" s="14">
        <f>Test!G386</f>
        <v>0</v>
      </c>
      <c r="T28" s="14">
        <f t="shared" si="1"/>
        <v>0</v>
      </c>
      <c r="U28" s="26">
        <f>Test!H386</f>
        <v>0</v>
      </c>
      <c r="V28" s="27">
        <f>Test!I386</f>
        <v>0</v>
      </c>
      <c r="W28" s="14">
        <f t="shared" si="2"/>
        <v>0</v>
      </c>
      <c r="X28" s="14">
        <f t="shared" si="3"/>
        <v>0</v>
      </c>
      <c r="Y28" s="14">
        <f t="shared" ref="Y28:Z91" si="4">U28/K28</f>
        <v>0</v>
      </c>
      <c r="Z28" s="22">
        <f t="shared" si="4"/>
        <v>0</v>
      </c>
      <c r="AA28" s="39"/>
      <c r="AB28" s="40"/>
      <c r="AC28" s="41"/>
      <c r="AD28" s="42"/>
      <c r="AE28" s="40"/>
      <c r="AF28" s="41"/>
      <c r="AG28" s="42"/>
    </row>
    <row r="29" spans="1:33" x14ac:dyDescent="0.2">
      <c r="A29" s="12"/>
      <c r="B29" s="12"/>
      <c r="C29" s="12">
        <v>32</v>
      </c>
      <c r="D29" s="13">
        <f>Reference!B387</f>
        <v>1414.4176</v>
      </c>
      <c r="E29" s="14">
        <f>Reference!C387</f>
        <v>36.9758</v>
      </c>
      <c r="F29" s="14">
        <f>Reference!D387</f>
        <v>42.031300000000002</v>
      </c>
      <c r="G29" s="14">
        <f>Reference!E387</f>
        <v>42.099299999999999</v>
      </c>
      <c r="H29" s="14">
        <f>Reference!F387</f>
        <v>27017</v>
      </c>
      <c r="I29" s="14">
        <f>Reference!G387</f>
        <v>52.027999999999999</v>
      </c>
      <c r="J29" s="14">
        <f t="shared" si="0"/>
        <v>7.5047222222222221</v>
      </c>
      <c r="K29" s="26">
        <f>Reference!H387</f>
        <v>4074788</v>
      </c>
      <c r="L29" s="27">
        <f>Reference!I387</f>
        <v>715828</v>
      </c>
      <c r="N29" s="13">
        <f>Test!B387</f>
        <v>0</v>
      </c>
      <c r="O29" s="14">
        <f>Test!C387</f>
        <v>0</v>
      </c>
      <c r="P29" s="14">
        <f>Test!D387</f>
        <v>0</v>
      </c>
      <c r="Q29" s="14">
        <f>Test!E387</f>
        <v>0</v>
      </c>
      <c r="R29" s="14">
        <f>Test!F387</f>
        <v>0</v>
      </c>
      <c r="S29" s="14">
        <f>Test!G387</f>
        <v>0</v>
      </c>
      <c r="T29" s="14">
        <f t="shared" si="1"/>
        <v>0</v>
      </c>
      <c r="U29" s="26">
        <f>Test!H387</f>
        <v>0</v>
      </c>
      <c r="V29" s="27">
        <f>Test!I387</f>
        <v>0</v>
      </c>
      <c r="W29" s="14">
        <f t="shared" si="2"/>
        <v>0</v>
      </c>
      <c r="X29" s="14">
        <f t="shared" si="3"/>
        <v>0</v>
      </c>
      <c r="Y29" s="14">
        <f t="shared" si="4"/>
        <v>0</v>
      </c>
      <c r="Z29" s="22">
        <f t="shared" si="4"/>
        <v>0</v>
      </c>
      <c r="AA29" s="39"/>
      <c r="AB29" s="40"/>
      <c r="AC29" s="41"/>
      <c r="AD29" s="42"/>
      <c r="AE29" s="40"/>
      <c r="AF29" s="41"/>
      <c r="AG29" s="42"/>
    </row>
    <row r="30" spans="1:33" ht="12.75" customHeight="1" x14ac:dyDescent="0.2">
      <c r="A30" s="12"/>
      <c r="B30" s="15"/>
      <c r="C30" s="15">
        <v>37</v>
      </c>
      <c r="D30" s="16">
        <f>Reference!B388</f>
        <v>678.25120000000004</v>
      </c>
      <c r="E30" s="17">
        <f>Reference!C388</f>
        <v>34.865400000000001</v>
      </c>
      <c r="F30" s="17">
        <f>Reference!D388</f>
        <v>40.904800000000002</v>
      </c>
      <c r="G30" s="17">
        <f>Reference!E388</f>
        <v>41.043100000000003</v>
      </c>
      <c r="H30" s="17">
        <f>Reference!F388</f>
        <v>14902</v>
      </c>
      <c r="I30" s="17">
        <f>Reference!G388</f>
        <v>28.727</v>
      </c>
      <c r="J30" s="17">
        <f t="shared" si="0"/>
        <v>4.139444444444444</v>
      </c>
      <c r="K30" s="28">
        <f>Reference!H388</f>
        <v>3012804</v>
      </c>
      <c r="L30" s="29">
        <f>Reference!I388</f>
        <v>567868</v>
      </c>
      <c r="N30" s="16">
        <f>Test!B388</f>
        <v>0</v>
      </c>
      <c r="O30" s="17">
        <f>Test!C388</f>
        <v>0</v>
      </c>
      <c r="P30" s="17">
        <f>Test!D388</f>
        <v>0</v>
      </c>
      <c r="Q30" s="17">
        <f>Test!E388</f>
        <v>0</v>
      </c>
      <c r="R30" s="17">
        <f>Test!F388</f>
        <v>0</v>
      </c>
      <c r="S30" s="17">
        <f>Test!G388</f>
        <v>0</v>
      </c>
      <c r="T30" s="17">
        <f t="shared" si="1"/>
        <v>0</v>
      </c>
      <c r="U30" s="28">
        <f>Test!H388</f>
        <v>0</v>
      </c>
      <c r="V30" s="29">
        <f>Test!I388</f>
        <v>0</v>
      </c>
      <c r="W30" s="14">
        <f t="shared" si="2"/>
        <v>0</v>
      </c>
      <c r="X30" s="14">
        <f t="shared" si="3"/>
        <v>0</v>
      </c>
      <c r="Y30" s="14">
        <f t="shared" si="4"/>
        <v>0</v>
      </c>
      <c r="Z30" s="22">
        <f t="shared" si="4"/>
        <v>0</v>
      </c>
      <c r="AA30" s="39"/>
      <c r="AB30" s="43"/>
      <c r="AC30" s="44"/>
      <c r="AD30" s="45"/>
      <c r="AE30" s="43"/>
      <c r="AF30" s="44"/>
      <c r="AG30" s="45"/>
    </row>
    <row r="31" spans="1:33" x14ac:dyDescent="0.2">
      <c r="A31" s="12"/>
      <c r="B31" s="9" t="s">
        <v>73</v>
      </c>
      <c r="C31" s="9">
        <v>22</v>
      </c>
      <c r="D31" s="10">
        <f>Reference!B389</f>
        <v>7979.1840000000002</v>
      </c>
      <c r="E31" s="11">
        <f>Reference!C389</f>
        <v>44.949300000000001</v>
      </c>
      <c r="F31" s="11">
        <f>Reference!D389</f>
        <v>48.161999999999999</v>
      </c>
      <c r="G31" s="11">
        <f>Reference!E389</f>
        <v>48.693899999999999</v>
      </c>
      <c r="H31" s="11">
        <f>Reference!F389</f>
        <v>50302</v>
      </c>
      <c r="I31" s="11">
        <f>Reference!G389</f>
        <v>65.921999999999997</v>
      </c>
      <c r="J31" s="11">
        <f t="shared" si="0"/>
        <v>13.972777777777777</v>
      </c>
      <c r="K31" s="24">
        <f>Reference!H389</f>
        <v>3789320</v>
      </c>
      <c r="L31" s="25">
        <f>Reference!I389</f>
        <v>684976</v>
      </c>
      <c r="N31" s="10">
        <f>Test!B389</f>
        <v>0</v>
      </c>
      <c r="O31" s="11">
        <f>Test!C389</f>
        <v>0</v>
      </c>
      <c r="P31" s="11">
        <f>Test!D389</f>
        <v>0</v>
      </c>
      <c r="Q31" s="11">
        <f>Test!E389</f>
        <v>0</v>
      </c>
      <c r="R31" s="11">
        <f>Test!F389</f>
        <v>0</v>
      </c>
      <c r="S31" s="11">
        <f>Test!G389</f>
        <v>0</v>
      </c>
      <c r="T31" s="11">
        <f t="shared" si="1"/>
        <v>0</v>
      </c>
      <c r="U31" s="24">
        <f>Test!H389</f>
        <v>0</v>
      </c>
      <c r="V31" s="25">
        <f>Test!I389</f>
        <v>0</v>
      </c>
      <c r="W31" s="14">
        <f t="shared" si="2"/>
        <v>0</v>
      </c>
      <c r="X31" s="14">
        <f t="shared" si="3"/>
        <v>0</v>
      </c>
      <c r="Y31" s="14">
        <f t="shared" si="4"/>
        <v>0</v>
      </c>
      <c r="Z31" s="22">
        <f t="shared" si="4"/>
        <v>0</v>
      </c>
      <c r="AA31" s="39"/>
      <c r="AB31" s="36" t="e">
        <f>bdrate($D31:$D34,E31:E34,$N31:$N34,O31:O34)</f>
        <v>#VALUE!</v>
      </c>
      <c r="AC31" s="37" t="e">
        <f>bdrate($D31:$D34,F31:F34,$N31:$N34,P31:P34)</f>
        <v>#VALUE!</v>
      </c>
      <c r="AD31" s="37" t="e">
        <f>bdrate($D31:$D34,G31:G34,$N31:$N34,Q31:Q34)</f>
        <v>#VALUE!</v>
      </c>
      <c r="AE31" s="46" t="e">
        <f>bdrateOld($D31:$D34,E31:E34,$N31:$N34,O31:O34)</f>
        <v>#VALUE!</v>
      </c>
      <c r="AF31" s="47" t="e">
        <f>bdrateOld($D31:$D34,F31:F34,$N31:$N34,P31:P34)</f>
        <v>#VALUE!</v>
      </c>
      <c r="AG31" s="49" t="e">
        <f>bdrateOld($D31:$D34,G31:G34,$N31:$N34,Q31:Q34)</f>
        <v>#VALUE!</v>
      </c>
    </row>
    <row r="32" spans="1:33" x14ac:dyDescent="0.2">
      <c r="A32" s="12"/>
      <c r="B32" s="12"/>
      <c r="C32" s="12">
        <v>27</v>
      </c>
      <c r="D32" s="13">
        <f>Reference!B390</f>
        <v>3822.3407999999999</v>
      </c>
      <c r="E32" s="14">
        <f>Reference!C390</f>
        <v>41.624899999999997</v>
      </c>
      <c r="F32" s="14">
        <f>Reference!D390</f>
        <v>45.458100000000002</v>
      </c>
      <c r="G32" s="14">
        <f>Reference!E390</f>
        <v>45.4741</v>
      </c>
      <c r="H32" s="14">
        <f>Reference!F390</f>
        <v>36800</v>
      </c>
      <c r="I32" s="14">
        <f>Reference!G390</f>
        <v>53.811</v>
      </c>
      <c r="J32" s="14">
        <f t="shared" si="0"/>
        <v>10.222222222222221</v>
      </c>
      <c r="K32" s="26">
        <f>Reference!H390</f>
        <v>3792632</v>
      </c>
      <c r="L32" s="27">
        <f>Reference!I390</f>
        <v>710168</v>
      </c>
      <c r="N32" s="13">
        <f>Test!B390</f>
        <v>0</v>
      </c>
      <c r="O32" s="14">
        <f>Test!C390</f>
        <v>0</v>
      </c>
      <c r="P32" s="14">
        <f>Test!D390</f>
        <v>0</v>
      </c>
      <c r="Q32" s="14">
        <f>Test!E390</f>
        <v>0</v>
      </c>
      <c r="R32" s="14">
        <f>Test!F390</f>
        <v>0</v>
      </c>
      <c r="S32" s="14">
        <f>Test!G390</f>
        <v>0</v>
      </c>
      <c r="T32" s="14">
        <f t="shared" si="1"/>
        <v>0</v>
      </c>
      <c r="U32" s="26">
        <f>Test!H390</f>
        <v>0</v>
      </c>
      <c r="V32" s="27">
        <f>Test!I390</f>
        <v>0</v>
      </c>
      <c r="W32" s="14">
        <f t="shared" si="2"/>
        <v>0</v>
      </c>
      <c r="X32" s="14">
        <f t="shared" si="3"/>
        <v>0</v>
      </c>
      <c r="Y32" s="14">
        <f t="shared" si="4"/>
        <v>0</v>
      </c>
      <c r="Z32" s="22">
        <f t="shared" si="4"/>
        <v>0</v>
      </c>
      <c r="AA32" s="39"/>
      <c r="AB32" s="40"/>
      <c r="AC32" s="41"/>
      <c r="AD32" s="41"/>
      <c r="AE32" s="40"/>
      <c r="AF32" s="41"/>
      <c r="AG32" s="42"/>
    </row>
    <row r="33" spans="1:33" x14ac:dyDescent="0.2">
      <c r="A33" s="12"/>
      <c r="B33" s="12"/>
      <c r="C33" s="12">
        <v>32</v>
      </c>
      <c r="D33" s="13">
        <f>Reference!B391</f>
        <v>1971.1664000000001</v>
      </c>
      <c r="E33" s="14">
        <f>Reference!C391</f>
        <v>38.382100000000001</v>
      </c>
      <c r="F33" s="14">
        <f>Reference!D391</f>
        <v>43.747300000000003</v>
      </c>
      <c r="G33" s="14">
        <f>Reference!E391</f>
        <v>43.535800000000002</v>
      </c>
      <c r="H33" s="14">
        <f>Reference!F391</f>
        <v>25740</v>
      </c>
      <c r="I33" s="14">
        <f>Reference!G391</f>
        <v>38.475999999999999</v>
      </c>
      <c r="J33" s="14">
        <f t="shared" si="0"/>
        <v>7.15</v>
      </c>
      <c r="K33" s="26">
        <f>Reference!H391</f>
        <v>3717276</v>
      </c>
      <c r="L33" s="27">
        <f>Reference!I391</f>
        <v>694504</v>
      </c>
      <c r="N33" s="13">
        <f>Test!B391</f>
        <v>0</v>
      </c>
      <c r="O33" s="14">
        <f>Test!C391</f>
        <v>0</v>
      </c>
      <c r="P33" s="14">
        <f>Test!D391</f>
        <v>0</v>
      </c>
      <c r="Q33" s="14">
        <f>Test!E391</f>
        <v>0</v>
      </c>
      <c r="R33" s="14">
        <f>Test!F391</f>
        <v>0</v>
      </c>
      <c r="S33" s="14">
        <f>Test!G391</f>
        <v>0</v>
      </c>
      <c r="T33" s="14">
        <f t="shared" si="1"/>
        <v>0</v>
      </c>
      <c r="U33" s="26">
        <f>Test!H391</f>
        <v>0</v>
      </c>
      <c r="V33" s="27">
        <f>Test!I391</f>
        <v>0</v>
      </c>
      <c r="W33" s="14">
        <f t="shared" si="2"/>
        <v>0</v>
      </c>
      <c r="X33" s="14">
        <f t="shared" si="3"/>
        <v>0</v>
      </c>
      <c r="Y33" s="14">
        <f t="shared" si="4"/>
        <v>0</v>
      </c>
      <c r="Z33" s="22">
        <f t="shared" si="4"/>
        <v>0</v>
      </c>
      <c r="AA33" s="39"/>
      <c r="AB33" s="40"/>
      <c r="AC33" s="41"/>
      <c r="AD33" s="41"/>
      <c r="AE33" s="40"/>
      <c r="AF33" s="41"/>
      <c r="AG33" s="42"/>
    </row>
    <row r="34" spans="1:33" ht="12.75" customHeight="1" x14ac:dyDescent="0.2">
      <c r="A34" s="12"/>
      <c r="B34" s="15"/>
      <c r="C34" s="15">
        <v>37</v>
      </c>
      <c r="D34" s="16">
        <f>Reference!B392</f>
        <v>1071.568</v>
      </c>
      <c r="E34" s="17">
        <f>Reference!C392</f>
        <v>35.648600000000002</v>
      </c>
      <c r="F34" s="17">
        <f>Reference!D392</f>
        <v>42.323900000000002</v>
      </c>
      <c r="G34" s="17">
        <f>Reference!E392</f>
        <v>42.050600000000003</v>
      </c>
      <c r="H34" s="17">
        <f>Reference!F392</f>
        <v>16841</v>
      </c>
      <c r="I34" s="17">
        <f>Reference!G392</f>
        <v>22.835999999999999</v>
      </c>
      <c r="J34" s="17">
        <f t="shared" si="0"/>
        <v>4.6780555555555559</v>
      </c>
      <c r="K34" s="28">
        <f>Reference!H392</f>
        <v>3561148</v>
      </c>
      <c r="L34" s="29">
        <f>Reference!I392</f>
        <v>677140</v>
      </c>
      <c r="N34" s="16">
        <f>Test!B392</f>
        <v>0</v>
      </c>
      <c r="O34" s="17">
        <f>Test!C392</f>
        <v>0</v>
      </c>
      <c r="P34" s="17">
        <f>Test!D392</f>
        <v>0</v>
      </c>
      <c r="Q34" s="17">
        <f>Test!E392</f>
        <v>0</v>
      </c>
      <c r="R34" s="17">
        <f>Test!F392</f>
        <v>0</v>
      </c>
      <c r="S34" s="17">
        <f>Test!G392</f>
        <v>0</v>
      </c>
      <c r="T34" s="17">
        <f t="shared" si="1"/>
        <v>0</v>
      </c>
      <c r="U34" s="28">
        <f>Test!H392</f>
        <v>0</v>
      </c>
      <c r="V34" s="29">
        <f>Test!I392</f>
        <v>0</v>
      </c>
      <c r="W34" s="14">
        <f t="shared" si="2"/>
        <v>0</v>
      </c>
      <c r="X34" s="14">
        <f t="shared" si="3"/>
        <v>0</v>
      </c>
      <c r="Y34" s="14">
        <f t="shared" si="4"/>
        <v>0</v>
      </c>
      <c r="Z34" s="22">
        <f t="shared" si="4"/>
        <v>0</v>
      </c>
      <c r="AA34" s="39"/>
      <c r="AB34" s="43"/>
      <c r="AC34" s="44"/>
      <c r="AD34" s="44"/>
      <c r="AE34" s="43"/>
      <c r="AF34" s="44"/>
      <c r="AG34" s="45"/>
    </row>
    <row r="35" spans="1:33" x14ac:dyDescent="0.2">
      <c r="A35" s="12"/>
      <c r="B35" s="9" t="s">
        <v>74</v>
      </c>
      <c r="C35" s="9">
        <v>22</v>
      </c>
      <c r="D35" s="10">
        <f>Reference!B393</f>
        <v>12524.910400000001</v>
      </c>
      <c r="E35" s="11">
        <f>Reference!C393</f>
        <v>38.719099999999997</v>
      </c>
      <c r="F35" s="11">
        <f>Reference!D393</f>
        <v>40.174999999999997</v>
      </c>
      <c r="G35" s="11">
        <f>Reference!E393</f>
        <v>43.826900000000002</v>
      </c>
      <c r="H35" s="11">
        <f>Reference!F393</f>
        <v>60205</v>
      </c>
      <c r="I35" s="11">
        <f>Reference!G393</f>
        <v>54.628</v>
      </c>
      <c r="J35" s="11">
        <f t="shared" si="0"/>
        <v>16.723611111111111</v>
      </c>
      <c r="K35" s="24">
        <f>Reference!H393</f>
        <v>3785552</v>
      </c>
      <c r="L35" s="25">
        <f>Reference!I393</f>
        <v>732008</v>
      </c>
      <c r="N35" s="10">
        <f>Test!B393</f>
        <v>0</v>
      </c>
      <c r="O35" s="11">
        <f>Test!C393</f>
        <v>0</v>
      </c>
      <c r="P35" s="11">
        <f>Test!D393</f>
        <v>0</v>
      </c>
      <c r="Q35" s="11">
        <f>Test!E393</f>
        <v>0</v>
      </c>
      <c r="R35" s="11">
        <f>Test!F393</f>
        <v>0</v>
      </c>
      <c r="S35" s="11">
        <f>Test!G393</f>
        <v>0</v>
      </c>
      <c r="T35" s="11">
        <f t="shared" si="1"/>
        <v>0</v>
      </c>
      <c r="U35" s="24">
        <f>Test!H393</f>
        <v>0</v>
      </c>
      <c r="V35" s="25">
        <f>Test!I393</f>
        <v>0</v>
      </c>
      <c r="W35" s="14">
        <f t="shared" si="2"/>
        <v>0</v>
      </c>
      <c r="X35" s="14">
        <f t="shared" si="3"/>
        <v>0</v>
      </c>
      <c r="Y35" s="14">
        <f t="shared" si="4"/>
        <v>0</v>
      </c>
      <c r="Z35" s="22">
        <f t="shared" si="4"/>
        <v>0</v>
      </c>
      <c r="AA35" s="39"/>
      <c r="AB35" s="36" t="e">
        <f>bdrate($D35:$D38,E35:E38,$N35:$N38,O35:O38)</f>
        <v>#VALUE!</v>
      </c>
      <c r="AC35" s="37" t="e">
        <f>bdrate($D35:$D38,F35:F38,$N35:$N38,P35:P38)</f>
        <v>#VALUE!</v>
      </c>
      <c r="AD35" s="37" t="e">
        <f>bdrate($D35:$D38,G35:G38,$N35:$N38,Q35:Q38)</f>
        <v>#VALUE!</v>
      </c>
      <c r="AE35" s="46" t="e">
        <f>bdrateOld($D35:$D38,E35:E38,$N35:$N38,O35:O38)</f>
        <v>#VALUE!</v>
      </c>
      <c r="AF35" s="47" t="e">
        <f>bdrateOld($D35:$D38,F35:F38,$N35:$N38,P35:P38)</f>
        <v>#VALUE!</v>
      </c>
      <c r="AG35" s="49" t="e">
        <f>bdrateOld($D35:$D38,G35:G38,$N35:$N38,Q35:Q38)</f>
        <v>#VALUE!</v>
      </c>
    </row>
    <row r="36" spans="1:33" x14ac:dyDescent="0.2">
      <c r="A36" s="12"/>
      <c r="B36" s="12"/>
      <c r="C36" s="12">
        <v>27</v>
      </c>
      <c r="D36" s="13">
        <f>Reference!B394</f>
        <v>3318.5295999999998</v>
      </c>
      <c r="E36" s="14">
        <f>Reference!C394</f>
        <v>36.855200000000004</v>
      </c>
      <c r="F36" s="14">
        <f>Reference!D394</f>
        <v>39.250799999999998</v>
      </c>
      <c r="G36" s="14">
        <f>Reference!E394</f>
        <v>41.819000000000003</v>
      </c>
      <c r="H36" s="14">
        <f>Reference!F394</f>
        <v>33407</v>
      </c>
      <c r="I36" s="14">
        <f>Reference!G394</f>
        <v>36.853000000000002</v>
      </c>
      <c r="J36" s="14">
        <f t="shared" si="0"/>
        <v>9.2797222222222224</v>
      </c>
      <c r="K36" s="26">
        <f>Reference!H394</f>
        <v>3765008</v>
      </c>
      <c r="L36" s="27">
        <f>Reference!I394</f>
        <v>706720</v>
      </c>
      <c r="N36" s="13">
        <f>Test!B394</f>
        <v>0</v>
      </c>
      <c r="O36" s="14">
        <f>Test!C394</f>
        <v>0</v>
      </c>
      <c r="P36" s="14">
        <f>Test!D394</f>
        <v>0</v>
      </c>
      <c r="Q36" s="14">
        <f>Test!E394</f>
        <v>0</v>
      </c>
      <c r="R36" s="14">
        <f>Test!F394</f>
        <v>0</v>
      </c>
      <c r="S36" s="14">
        <f>Test!G394</f>
        <v>0</v>
      </c>
      <c r="T36" s="14">
        <f t="shared" si="1"/>
        <v>0</v>
      </c>
      <c r="U36" s="26">
        <f>Test!H394</f>
        <v>0</v>
      </c>
      <c r="V36" s="27">
        <f>Test!I394</f>
        <v>0</v>
      </c>
      <c r="W36" s="14">
        <f t="shared" si="2"/>
        <v>0</v>
      </c>
      <c r="X36" s="14">
        <f t="shared" si="3"/>
        <v>0</v>
      </c>
      <c r="Y36" s="14">
        <f t="shared" si="4"/>
        <v>0</v>
      </c>
      <c r="Z36" s="22">
        <f t="shared" si="4"/>
        <v>0</v>
      </c>
      <c r="AA36" s="39"/>
      <c r="AB36" s="40"/>
      <c r="AC36" s="41"/>
      <c r="AD36" s="41"/>
      <c r="AE36" s="40"/>
      <c r="AF36" s="41"/>
      <c r="AG36" s="42"/>
    </row>
    <row r="37" spans="1:33" x14ac:dyDescent="0.2">
      <c r="A37" s="12"/>
      <c r="B37" s="12"/>
      <c r="C37" s="12">
        <v>32</v>
      </c>
      <c r="D37" s="13">
        <f>Reference!B395</f>
        <v>1495.576</v>
      </c>
      <c r="E37" s="14">
        <f>Reference!C395</f>
        <v>34.866900000000001</v>
      </c>
      <c r="F37" s="14">
        <f>Reference!D395</f>
        <v>38.414999999999999</v>
      </c>
      <c r="G37" s="14">
        <f>Reference!E395</f>
        <v>40.100700000000003</v>
      </c>
      <c r="H37" s="14">
        <f>Reference!F395</f>
        <v>23603</v>
      </c>
      <c r="I37" s="14">
        <f>Reference!G395</f>
        <v>31.248999999999999</v>
      </c>
      <c r="J37" s="14">
        <f t="shared" si="0"/>
        <v>6.5563888888888888</v>
      </c>
      <c r="K37" s="26">
        <f>Reference!H395</f>
        <v>3752128</v>
      </c>
      <c r="L37" s="27">
        <f>Reference!I395</f>
        <v>686924</v>
      </c>
      <c r="N37" s="13">
        <f>Test!B395</f>
        <v>0</v>
      </c>
      <c r="O37" s="14">
        <f>Test!C395</f>
        <v>0</v>
      </c>
      <c r="P37" s="14">
        <f>Test!D395</f>
        <v>0</v>
      </c>
      <c r="Q37" s="14">
        <f>Test!E395</f>
        <v>0</v>
      </c>
      <c r="R37" s="14">
        <f>Test!F395</f>
        <v>0</v>
      </c>
      <c r="S37" s="14">
        <f>Test!G395</f>
        <v>0</v>
      </c>
      <c r="T37" s="14">
        <f t="shared" si="1"/>
        <v>0</v>
      </c>
      <c r="U37" s="26">
        <f>Test!H395</f>
        <v>0</v>
      </c>
      <c r="V37" s="27">
        <f>Test!I395</f>
        <v>0</v>
      </c>
      <c r="W37" s="14">
        <f t="shared" si="2"/>
        <v>0</v>
      </c>
      <c r="X37" s="14">
        <f t="shared" si="3"/>
        <v>0</v>
      </c>
      <c r="Y37" s="14">
        <f t="shared" si="4"/>
        <v>0</v>
      </c>
      <c r="Z37" s="22">
        <f t="shared" si="4"/>
        <v>0</v>
      </c>
      <c r="AA37" s="39"/>
      <c r="AB37" s="40"/>
      <c r="AC37" s="41"/>
      <c r="AD37" s="41"/>
      <c r="AE37" s="40"/>
      <c r="AF37" s="41"/>
      <c r="AG37" s="42"/>
    </row>
    <row r="38" spans="1:33" ht="12.75" customHeight="1" x14ac:dyDescent="0.2">
      <c r="A38" s="12"/>
      <c r="B38" s="15"/>
      <c r="C38" s="15">
        <v>37</v>
      </c>
      <c r="D38" s="16">
        <f>Reference!B396</f>
        <v>732.38080000000002</v>
      </c>
      <c r="E38" s="17">
        <f>Reference!C396</f>
        <v>32.702800000000003</v>
      </c>
      <c r="F38" s="17">
        <f>Reference!D396</f>
        <v>37.386000000000003</v>
      </c>
      <c r="G38" s="17">
        <f>Reference!E396</f>
        <v>38.4773</v>
      </c>
      <c r="H38" s="17">
        <f>Reference!F396</f>
        <v>17431</v>
      </c>
      <c r="I38" s="17">
        <f>Reference!G396</f>
        <v>24.593</v>
      </c>
      <c r="J38" s="17">
        <f t="shared" si="0"/>
        <v>4.8419444444444446</v>
      </c>
      <c r="K38" s="28">
        <f>Reference!H396</f>
        <v>3744192</v>
      </c>
      <c r="L38" s="29">
        <f>Reference!I396</f>
        <v>646760</v>
      </c>
      <c r="N38" s="16">
        <f>Test!B396</f>
        <v>0</v>
      </c>
      <c r="O38" s="17">
        <f>Test!C396</f>
        <v>0</v>
      </c>
      <c r="P38" s="17">
        <f>Test!D396</f>
        <v>0</v>
      </c>
      <c r="Q38" s="17">
        <f>Test!E396</f>
        <v>0</v>
      </c>
      <c r="R38" s="17">
        <f>Test!F396</f>
        <v>0</v>
      </c>
      <c r="S38" s="17">
        <f>Test!G396</f>
        <v>0</v>
      </c>
      <c r="T38" s="17">
        <f t="shared" si="1"/>
        <v>0</v>
      </c>
      <c r="U38" s="28">
        <f>Test!H396</f>
        <v>0</v>
      </c>
      <c r="V38" s="29">
        <f>Test!I396</f>
        <v>0</v>
      </c>
      <c r="W38" s="14">
        <f t="shared" si="2"/>
        <v>0</v>
      </c>
      <c r="X38" s="14">
        <f t="shared" si="3"/>
        <v>0</v>
      </c>
      <c r="Y38" s="14">
        <f t="shared" si="4"/>
        <v>0</v>
      </c>
      <c r="Z38" s="22">
        <f t="shared" si="4"/>
        <v>0</v>
      </c>
      <c r="AA38" s="39"/>
      <c r="AB38" s="43"/>
      <c r="AC38" s="44"/>
      <c r="AD38" s="44"/>
      <c r="AE38" s="43"/>
      <c r="AF38" s="44"/>
      <c r="AG38" s="45"/>
    </row>
    <row r="39" spans="1:33" x14ac:dyDescent="0.2">
      <c r="A39" s="12"/>
      <c r="B39" s="9" t="s">
        <v>79</v>
      </c>
      <c r="C39" s="9">
        <v>22</v>
      </c>
      <c r="D39" s="10">
        <f>Reference!B397</f>
        <v>15164.4144</v>
      </c>
      <c r="E39" s="11">
        <f>Reference!C397</f>
        <v>39.676600000000001</v>
      </c>
      <c r="F39" s="11">
        <f>Reference!D397</f>
        <v>44.317599999999999</v>
      </c>
      <c r="G39" s="11">
        <f>Reference!E397</f>
        <v>45.719099999999997</v>
      </c>
      <c r="H39" s="11">
        <f>Reference!F397</f>
        <v>131733</v>
      </c>
      <c r="I39" s="11">
        <f>Reference!G397</f>
        <v>92.171999999999997</v>
      </c>
      <c r="J39" s="11">
        <f t="shared" si="0"/>
        <v>36.592500000000001</v>
      </c>
      <c r="K39" s="24">
        <f>Reference!H397</f>
        <v>4085692</v>
      </c>
      <c r="L39" s="25">
        <f>Reference!I397</f>
        <v>684752</v>
      </c>
      <c r="N39" s="10">
        <f>Test!B397</f>
        <v>0</v>
      </c>
      <c r="O39" s="11">
        <f>Test!C397</f>
        <v>0</v>
      </c>
      <c r="P39" s="11">
        <f>Test!D397</f>
        <v>0</v>
      </c>
      <c r="Q39" s="11">
        <f>Test!E397</f>
        <v>0</v>
      </c>
      <c r="R39" s="11">
        <f>Test!F397</f>
        <v>0</v>
      </c>
      <c r="S39" s="11">
        <f>Test!G397</f>
        <v>0</v>
      </c>
      <c r="T39" s="11">
        <f t="shared" si="1"/>
        <v>0</v>
      </c>
      <c r="U39" s="24">
        <f>Test!H397</f>
        <v>0</v>
      </c>
      <c r="V39" s="25">
        <f>Test!I397</f>
        <v>0</v>
      </c>
      <c r="W39" s="14">
        <f t="shared" si="2"/>
        <v>0</v>
      </c>
      <c r="X39" s="14">
        <f t="shared" si="3"/>
        <v>0</v>
      </c>
      <c r="Y39" s="14">
        <f t="shared" si="4"/>
        <v>0</v>
      </c>
      <c r="Z39" s="22">
        <f t="shared" si="4"/>
        <v>0</v>
      </c>
      <c r="AA39" s="39"/>
      <c r="AB39" s="36" t="e">
        <f>bdrate($D39:$D42,E39:E42,$N39:$N42,O39:O42)</f>
        <v>#VALUE!</v>
      </c>
      <c r="AC39" s="37" t="e">
        <f>bdrate($D39:$D42,F39:F42,$N39:$N42,P39:P42)</f>
        <v>#VALUE!</v>
      </c>
      <c r="AD39" s="37" t="e">
        <f>bdrate($D39:$D42,G39:G42,$N39:$N42,Q39:Q42)</f>
        <v>#VALUE!</v>
      </c>
      <c r="AE39" s="46" t="e">
        <f>bdrateOld($D39:$D42,E39:E42,$N39:$N42,O39:O42)</f>
        <v>#VALUE!</v>
      </c>
      <c r="AF39" s="47" t="e">
        <f>bdrateOld($D39:$D42,F39:F42,$N39:$N42,P39:P42)</f>
        <v>#VALUE!</v>
      </c>
      <c r="AG39" s="49" t="e">
        <f>bdrateOld($D39:$D42,G39:G42,$N39:$N42,Q39:Q42)</f>
        <v>#VALUE!</v>
      </c>
    </row>
    <row r="40" spans="1:33" x14ac:dyDescent="0.2">
      <c r="A40" s="12"/>
      <c r="B40" s="12"/>
      <c r="C40" s="12">
        <v>27</v>
      </c>
      <c r="D40" s="13">
        <f>Reference!B398</f>
        <v>4439.0047999999997</v>
      </c>
      <c r="E40" s="14">
        <f>Reference!C398</f>
        <v>37.834899999999998</v>
      </c>
      <c r="F40" s="14">
        <f>Reference!D398</f>
        <v>42.661200000000001</v>
      </c>
      <c r="G40" s="14">
        <f>Reference!E398</f>
        <v>43.028599999999997</v>
      </c>
      <c r="H40" s="14">
        <f>Reference!F398</f>
        <v>71816</v>
      </c>
      <c r="I40" s="14">
        <f>Reference!G398</f>
        <v>77.052000000000007</v>
      </c>
      <c r="J40" s="14">
        <f t="shared" si="0"/>
        <v>19.948888888888888</v>
      </c>
      <c r="K40" s="26">
        <f>Reference!H398</f>
        <v>3966492</v>
      </c>
      <c r="L40" s="27">
        <f>Reference!I398</f>
        <v>720864</v>
      </c>
      <c r="N40" s="13">
        <f>Test!B398</f>
        <v>0</v>
      </c>
      <c r="O40" s="14">
        <f>Test!C398</f>
        <v>0</v>
      </c>
      <c r="P40" s="14">
        <f>Test!D398</f>
        <v>0</v>
      </c>
      <c r="Q40" s="14">
        <f>Test!E398</f>
        <v>0</v>
      </c>
      <c r="R40" s="14">
        <f>Test!F398</f>
        <v>0</v>
      </c>
      <c r="S40" s="14">
        <f>Test!G398</f>
        <v>0</v>
      </c>
      <c r="T40" s="14">
        <f t="shared" si="1"/>
        <v>0</v>
      </c>
      <c r="U40" s="26">
        <f>Test!H398</f>
        <v>0</v>
      </c>
      <c r="V40" s="27">
        <f>Test!I398</f>
        <v>0</v>
      </c>
      <c r="W40" s="14">
        <f t="shared" si="2"/>
        <v>0</v>
      </c>
      <c r="X40" s="14">
        <f t="shared" si="3"/>
        <v>0</v>
      </c>
      <c r="Y40" s="14">
        <f t="shared" si="4"/>
        <v>0</v>
      </c>
      <c r="Z40" s="22">
        <f t="shared" si="4"/>
        <v>0</v>
      </c>
      <c r="AA40" s="39"/>
      <c r="AB40" s="40"/>
      <c r="AC40" s="41"/>
      <c r="AD40" s="41"/>
      <c r="AE40" s="40"/>
      <c r="AF40" s="41"/>
      <c r="AG40" s="42"/>
    </row>
    <row r="41" spans="1:33" x14ac:dyDescent="0.2">
      <c r="A41" s="12"/>
      <c r="B41" s="12"/>
      <c r="C41" s="12">
        <v>32</v>
      </c>
      <c r="D41" s="13">
        <f>Reference!B399</f>
        <v>2088.1120000000001</v>
      </c>
      <c r="E41" s="14">
        <f>Reference!C399</f>
        <v>36.032400000000003</v>
      </c>
      <c r="F41" s="14">
        <f>Reference!D399</f>
        <v>41.471800000000002</v>
      </c>
      <c r="G41" s="14">
        <f>Reference!E399</f>
        <v>41.326500000000003</v>
      </c>
      <c r="H41" s="14">
        <f>Reference!F399</f>
        <v>49106</v>
      </c>
      <c r="I41" s="14">
        <f>Reference!G399</f>
        <v>69.316000000000003</v>
      </c>
      <c r="J41" s="14">
        <f t="shared" si="0"/>
        <v>13.640555555555556</v>
      </c>
      <c r="K41" s="26">
        <f>Reference!H399</f>
        <v>3891284</v>
      </c>
      <c r="L41" s="27">
        <f>Reference!I399</f>
        <v>670024</v>
      </c>
      <c r="N41" s="13">
        <f>Test!B399</f>
        <v>0</v>
      </c>
      <c r="O41" s="14">
        <f>Test!C399</f>
        <v>0</v>
      </c>
      <c r="P41" s="14">
        <f>Test!D399</f>
        <v>0</v>
      </c>
      <c r="Q41" s="14">
        <f>Test!E399</f>
        <v>0</v>
      </c>
      <c r="R41" s="14">
        <f>Test!F399</f>
        <v>0</v>
      </c>
      <c r="S41" s="14">
        <f>Test!G399</f>
        <v>0</v>
      </c>
      <c r="T41" s="14">
        <f t="shared" si="1"/>
        <v>0</v>
      </c>
      <c r="U41" s="26">
        <f>Test!H399</f>
        <v>0</v>
      </c>
      <c r="V41" s="27">
        <f>Test!I399</f>
        <v>0</v>
      </c>
      <c r="W41" s="14">
        <f t="shared" si="2"/>
        <v>0</v>
      </c>
      <c r="X41" s="14">
        <f t="shared" si="3"/>
        <v>0</v>
      </c>
      <c r="Y41" s="14">
        <f t="shared" si="4"/>
        <v>0</v>
      </c>
      <c r="Z41" s="22">
        <f t="shared" si="4"/>
        <v>0</v>
      </c>
      <c r="AA41" s="39"/>
      <c r="AB41" s="40"/>
      <c r="AC41" s="41"/>
      <c r="AD41" s="41"/>
      <c r="AE41" s="40"/>
      <c r="AF41" s="41"/>
      <c r="AG41" s="42"/>
    </row>
    <row r="42" spans="1:33" ht="12.75" customHeight="1" x14ac:dyDescent="0.2">
      <c r="A42" s="12"/>
      <c r="B42" s="15"/>
      <c r="C42" s="15">
        <v>37</v>
      </c>
      <c r="D42" s="16">
        <f>Reference!B400</f>
        <v>1074.3119999999999</v>
      </c>
      <c r="E42" s="17">
        <f>Reference!C400</f>
        <v>34.079000000000001</v>
      </c>
      <c r="F42" s="17">
        <f>Reference!D400</f>
        <v>40.190399999999997</v>
      </c>
      <c r="G42" s="17">
        <f>Reference!E400</f>
        <v>39.461399999999998</v>
      </c>
      <c r="H42" s="17">
        <f>Reference!F400</f>
        <v>35367</v>
      </c>
      <c r="I42" s="17">
        <f>Reference!G400</f>
        <v>58.713000000000001</v>
      </c>
      <c r="J42" s="17">
        <f t="shared" si="0"/>
        <v>9.8241666666666667</v>
      </c>
      <c r="K42" s="28">
        <f>Reference!H400</f>
        <v>3977764</v>
      </c>
      <c r="L42" s="29">
        <f>Reference!I400</f>
        <v>668524</v>
      </c>
      <c r="N42" s="16">
        <f>Test!B400</f>
        <v>0</v>
      </c>
      <c r="O42" s="17">
        <f>Test!C400</f>
        <v>0</v>
      </c>
      <c r="P42" s="17">
        <f>Test!D400</f>
        <v>0</v>
      </c>
      <c r="Q42" s="17">
        <f>Test!E400</f>
        <v>0</v>
      </c>
      <c r="R42" s="17">
        <f>Test!F400</f>
        <v>0</v>
      </c>
      <c r="S42" s="17">
        <f>Test!G400</f>
        <v>0</v>
      </c>
      <c r="T42" s="17">
        <f t="shared" si="1"/>
        <v>0</v>
      </c>
      <c r="U42" s="28">
        <f>Test!H400</f>
        <v>0</v>
      </c>
      <c r="V42" s="29">
        <f>Test!I400</f>
        <v>0</v>
      </c>
      <c r="W42" s="14">
        <f t="shared" si="2"/>
        <v>0</v>
      </c>
      <c r="X42" s="14">
        <f t="shared" si="3"/>
        <v>0</v>
      </c>
      <c r="Y42" s="14">
        <f t="shared" si="4"/>
        <v>0</v>
      </c>
      <c r="Z42" s="22">
        <f t="shared" si="4"/>
        <v>0</v>
      </c>
      <c r="AA42" s="39"/>
      <c r="AB42" s="43"/>
      <c r="AC42" s="44"/>
      <c r="AD42" s="44"/>
      <c r="AE42" s="43"/>
      <c r="AF42" s="44"/>
      <c r="AG42" s="45"/>
    </row>
    <row r="43" spans="1:33" x14ac:dyDescent="0.2">
      <c r="A43" s="12"/>
      <c r="B43" s="9" t="s">
        <v>80</v>
      </c>
      <c r="C43" s="9">
        <v>22</v>
      </c>
      <c r="D43" s="10">
        <f>Reference!B401</f>
        <v>38549.491199999997</v>
      </c>
      <c r="E43" s="11">
        <f>Reference!C401</f>
        <v>38.566099999999999</v>
      </c>
      <c r="F43" s="11">
        <f>Reference!D401</f>
        <v>42.884399999999999</v>
      </c>
      <c r="G43" s="11">
        <f>Reference!E401</f>
        <v>45.314399999999999</v>
      </c>
      <c r="H43" s="11">
        <f>Reference!F401</f>
        <v>157808</v>
      </c>
      <c r="I43" s="11">
        <f>Reference!G401</f>
        <v>118.80200000000001</v>
      </c>
      <c r="J43" s="11">
        <f t="shared" si="0"/>
        <v>43.835555555555558</v>
      </c>
      <c r="K43" s="24">
        <f>Reference!H401</f>
        <v>3950740</v>
      </c>
      <c r="L43" s="25">
        <f>Reference!I401</f>
        <v>763992</v>
      </c>
      <c r="N43" s="10">
        <f>Test!B401</f>
        <v>0</v>
      </c>
      <c r="O43" s="11">
        <f>Test!C401</f>
        <v>0</v>
      </c>
      <c r="P43" s="11">
        <f>Test!D401</f>
        <v>0</v>
      </c>
      <c r="Q43" s="11">
        <f>Test!E401</f>
        <v>0</v>
      </c>
      <c r="R43" s="11">
        <f>Test!F401</f>
        <v>0</v>
      </c>
      <c r="S43" s="11">
        <f>Test!G401</f>
        <v>0</v>
      </c>
      <c r="T43" s="11">
        <f t="shared" si="1"/>
        <v>0</v>
      </c>
      <c r="U43" s="24">
        <f>Test!H401</f>
        <v>0</v>
      </c>
      <c r="V43" s="25">
        <f>Test!I401</f>
        <v>0</v>
      </c>
      <c r="W43" s="14">
        <f t="shared" si="2"/>
        <v>0</v>
      </c>
      <c r="X43" s="14">
        <f t="shared" si="3"/>
        <v>0</v>
      </c>
      <c r="Y43" s="14">
        <f t="shared" si="4"/>
        <v>0</v>
      </c>
      <c r="Z43" s="22">
        <f t="shared" si="4"/>
        <v>0</v>
      </c>
      <c r="AA43" s="39"/>
      <c r="AB43" s="36" t="e">
        <f>bdrate($D43:$D46,E43:E46,$N43:$N46,O43:O46)</f>
        <v>#VALUE!</v>
      </c>
      <c r="AC43" s="37" t="e">
        <f>bdrate($D43:$D46,F43:F46,$N43:$N46,P43:P46)</f>
        <v>#VALUE!</v>
      </c>
      <c r="AD43" s="37" t="e">
        <f>bdrate($D43:$D46,G43:G46,$N43:$N46,Q43:Q46)</f>
        <v>#VALUE!</v>
      </c>
      <c r="AE43" s="46" t="e">
        <f>bdrateOld($D43:$D46,E43:E46,$N43:$N46,O43:O46)</f>
        <v>#VALUE!</v>
      </c>
      <c r="AF43" s="47" t="e">
        <f>bdrateOld($D43:$D46,F43:F46,$N43:$N46,P43:P46)</f>
        <v>#VALUE!</v>
      </c>
      <c r="AG43" s="49" t="e">
        <f>bdrateOld($D43:$D46,G43:G46,$N43:$N46,Q43:Q46)</f>
        <v>#VALUE!</v>
      </c>
    </row>
    <row r="44" spans="1:33" x14ac:dyDescent="0.2">
      <c r="A44" s="12"/>
      <c r="B44" s="12"/>
      <c r="C44" s="12">
        <v>27</v>
      </c>
      <c r="D44" s="13">
        <f>Reference!B402</f>
        <v>4208.0128000000004</v>
      </c>
      <c r="E44" s="14">
        <f>Reference!C402</f>
        <v>35.861800000000002</v>
      </c>
      <c r="F44" s="14">
        <f>Reference!D402</f>
        <v>41.806800000000003</v>
      </c>
      <c r="G44" s="14">
        <f>Reference!E402</f>
        <v>44.291899999999998</v>
      </c>
      <c r="H44" s="14">
        <f>Reference!F402</f>
        <v>63070</v>
      </c>
      <c r="I44" s="14">
        <f>Reference!G402</f>
        <v>68.248999999999995</v>
      </c>
      <c r="J44" s="14">
        <f t="shared" si="0"/>
        <v>17.519444444444446</v>
      </c>
      <c r="K44" s="26">
        <f>Reference!H402</f>
        <v>3904900</v>
      </c>
      <c r="L44" s="27">
        <f>Reference!I402</f>
        <v>747624</v>
      </c>
      <c r="N44" s="13">
        <f>Test!B402</f>
        <v>0</v>
      </c>
      <c r="O44" s="14">
        <f>Test!C402</f>
        <v>0</v>
      </c>
      <c r="P44" s="14">
        <f>Test!D402</f>
        <v>0</v>
      </c>
      <c r="Q44" s="14">
        <f>Test!E402</f>
        <v>0</v>
      </c>
      <c r="R44" s="14">
        <f>Test!F402</f>
        <v>0</v>
      </c>
      <c r="S44" s="14">
        <f>Test!G402</f>
        <v>0</v>
      </c>
      <c r="T44" s="14">
        <f t="shared" si="1"/>
        <v>0</v>
      </c>
      <c r="U44" s="26">
        <f>Test!H402</f>
        <v>0</v>
      </c>
      <c r="V44" s="27">
        <f>Test!I402</f>
        <v>0</v>
      </c>
      <c r="W44" s="14">
        <f t="shared" si="2"/>
        <v>0</v>
      </c>
      <c r="X44" s="14">
        <f t="shared" si="3"/>
        <v>0</v>
      </c>
      <c r="Y44" s="14">
        <f t="shared" si="4"/>
        <v>0</v>
      </c>
      <c r="Z44" s="22">
        <f t="shared" si="4"/>
        <v>0</v>
      </c>
      <c r="AA44" s="39"/>
      <c r="AB44" s="40"/>
      <c r="AC44" s="41"/>
      <c r="AD44" s="41"/>
      <c r="AE44" s="40"/>
      <c r="AF44" s="41"/>
      <c r="AG44" s="42"/>
    </row>
    <row r="45" spans="1:33" x14ac:dyDescent="0.2">
      <c r="A45" s="12"/>
      <c r="B45" s="12"/>
      <c r="C45" s="12">
        <v>32</v>
      </c>
      <c r="D45" s="13">
        <f>Reference!B403</f>
        <v>1337.4159999999999</v>
      </c>
      <c r="E45" s="14">
        <f>Reference!C403</f>
        <v>34.343899999999998</v>
      </c>
      <c r="F45" s="14">
        <f>Reference!D403</f>
        <v>40.652500000000003</v>
      </c>
      <c r="G45" s="14">
        <f>Reference!E403</f>
        <v>43.132100000000001</v>
      </c>
      <c r="H45" s="14">
        <f>Reference!F403</f>
        <v>37714</v>
      </c>
      <c r="I45" s="14">
        <f>Reference!G403</f>
        <v>58.356999999999999</v>
      </c>
      <c r="J45" s="14">
        <f t="shared" si="0"/>
        <v>10.476111111111111</v>
      </c>
      <c r="K45" s="26">
        <f>Reference!H403</f>
        <v>3977272</v>
      </c>
      <c r="L45" s="27">
        <f>Reference!I403</f>
        <v>697676</v>
      </c>
      <c r="N45" s="13">
        <f>Test!B403</f>
        <v>0</v>
      </c>
      <c r="O45" s="14">
        <f>Test!C403</f>
        <v>0</v>
      </c>
      <c r="P45" s="14">
        <f>Test!D403</f>
        <v>0</v>
      </c>
      <c r="Q45" s="14">
        <f>Test!E403</f>
        <v>0</v>
      </c>
      <c r="R45" s="14">
        <f>Test!F403</f>
        <v>0</v>
      </c>
      <c r="S45" s="14">
        <f>Test!G403</f>
        <v>0</v>
      </c>
      <c r="T45" s="14">
        <f t="shared" si="1"/>
        <v>0</v>
      </c>
      <c r="U45" s="26">
        <f>Test!H403</f>
        <v>0</v>
      </c>
      <c r="V45" s="27">
        <f>Test!I403</f>
        <v>0</v>
      </c>
      <c r="W45" s="14">
        <f t="shared" si="2"/>
        <v>0</v>
      </c>
      <c r="X45" s="14">
        <f t="shared" si="3"/>
        <v>0</v>
      </c>
      <c r="Y45" s="14">
        <f t="shared" si="4"/>
        <v>0</v>
      </c>
      <c r="Z45" s="22">
        <f t="shared" si="4"/>
        <v>0</v>
      </c>
      <c r="AA45" s="39"/>
      <c r="AB45" s="40"/>
      <c r="AC45" s="41"/>
      <c r="AD45" s="41"/>
      <c r="AE45" s="40"/>
      <c r="AF45" s="41"/>
      <c r="AG45" s="42"/>
    </row>
    <row r="46" spans="1:33" ht="12.75" customHeight="1" x14ac:dyDescent="0.2">
      <c r="A46" s="15"/>
      <c r="B46" s="15"/>
      <c r="C46" s="15">
        <v>37</v>
      </c>
      <c r="D46" s="16">
        <f>Reference!B404</f>
        <v>534.39679999999998</v>
      </c>
      <c r="E46" s="17">
        <f>Reference!C404</f>
        <v>32.634799999999998</v>
      </c>
      <c r="F46" s="17">
        <f>Reference!D404</f>
        <v>39.632199999999997</v>
      </c>
      <c r="G46" s="17">
        <f>Reference!E404</f>
        <v>42.1081</v>
      </c>
      <c r="H46" s="17">
        <f>Reference!F404</f>
        <v>26647</v>
      </c>
      <c r="I46" s="17">
        <f>Reference!G404</f>
        <v>48.737000000000002</v>
      </c>
      <c r="J46" s="17">
        <f t="shared" si="0"/>
        <v>7.4019444444444442</v>
      </c>
      <c r="K46" s="28">
        <f>Reference!H404</f>
        <v>3904100</v>
      </c>
      <c r="L46" s="29">
        <f>Reference!I404</f>
        <v>696184</v>
      </c>
      <c r="N46" s="16">
        <f>Test!B404</f>
        <v>0</v>
      </c>
      <c r="O46" s="17">
        <f>Test!C404</f>
        <v>0</v>
      </c>
      <c r="P46" s="17">
        <f>Test!D404</f>
        <v>0</v>
      </c>
      <c r="Q46" s="17">
        <f>Test!E404</f>
        <v>0</v>
      </c>
      <c r="R46" s="17">
        <f>Test!F404</f>
        <v>0</v>
      </c>
      <c r="S46" s="17">
        <f>Test!G404</f>
        <v>0</v>
      </c>
      <c r="T46" s="17">
        <f t="shared" si="1"/>
        <v>0</v>
      </c>
      <c r="U46" s="28">
        <f>Test!H404</f>
        <v>0</v>
      </c>
      <c r="V46" s="29">
        <f>Test!I404</f>
        <v>0</v>
      </c>
      <c r="W46" s="14">
        <f t="shared" si="2"/>
        <v>0</v>
      </c>
      <c r="X46" s="14">
        <f t="shared" si="3"/>
        <v>0</v>
      </c>
      <c r="Y46" s="14">
        <f t="shared" si="4"/>
        <v>0</v>
      </c>
      <c r="Z46" s="22">
        <f t="shared" si="4"/>
        <v>0</v>
      </c>
      <c r="AA46" s="39"/>
      <c r="AB46" s="43"/>
      <c r="AC46" s="44"/>
      <c r="AD46" s="44"/>
      <c r="AE46" s="43"/>
      <c r="AF46" s="44"/>
      <c r="AG46" s="45"/>
    </row>
    <row r="47" spans="1:33" x14ac:dyDescent="0.2">
      <c r="A47" s="9" t="s">
        <v>23</v>
      </c>
      <c r="B47" s="9" t="s">
        <v>81</v>
      </c>
      <c r="C47" s="9">
        <v>22</v>
      </c>
      <c r="D47" s="10">
        <f>Reference!B405</f>
        <v>2530.2896000000001</v>
      </c>
      <c r="E47" s="11">
        <f>Reference!C405</f>
        <v>41.512500000000003</v>
      </c>
      <c r="F47" s="11">
        <f>Reference!D405</f>
        <v>43.857399999999998</v>
      </c>
      <c r="G47" s="11">
        <f>Reference!E405</f>
        <v>44.912500000000001</v>
      </c>
      <c r="H47" s="11">
        <f>Reference!F405</f>
        <v>17026</v>
      </c>
      <c r="I47" s="11">
        <f>Reference!G405</f>
        <v>16.305</v>
      </c>
      <c r="J47" s="11">
        <f t="shared" si="0"/>
        <v>4.7294444444444448</v>
      </c>
      <c r="K47" s="24">
        <f>Reference!H405</f>
        <v>1540712</v>
      </c>
      <c r="L47" s="25">
        <f>Reference!I405</f>
        <v>437168</v>
      </c>
      <c r="N47" s="10">
        <f>Test!B405</f>
        <v>0</v>
      </c>
      <c r="O47" s="11">
        <f>Test!C405</f>
        <v>0</v>
      </c>
      <c r="P47" s="11">
        <f>Test!D405</f>
        <v>0</v>
      </c>
      <c r="Q47" s="11">
        <f>Test!E405</f>
        <v>0</v>
      </c>
      <c r="R47" s="11">
        <f>Test!F405</f>
        <v>0</v>
      </c>
      <c r="S47" s="11">
        <f>Test!G405</f>
        <v>0</v>
      </c>
      <c r="T47" s="11">
        <f t="shared" si="1"/>
        <v>0</v>
      </c>
      <c r="U47" s="24">
        <f>Test!H405</f>
        <v>0</v>
      </c>
      <c r="V47" s="25">
        <f>Test!I405</f>
        <v>0</v>
      </c>
      <c r="W47" s="11">
        <f t="shared" si="2"/>
        <v>0</v>
      </c>
      <c r="X47" s="11">
        <f t="shared" si="3"/>
        <v>0</v>
      </c>
      <c r="Y47" s="11">
        <f t="shared" si="4"/>
        <v>0</v>
      </c>
      <c r="Z47" s="21">
        <f t="shared" si="4"/>
        <v>0</v>
      </c>
      <c r="AA47" s="35"/>
      <c r="AB47" s="36" t="e">
        <f>bdrate($D47:$D50,E47:E50,$N47:$N50,O47:O50)</f>
        <v>#VALUE!</v>
      </c>
      <c r="AC47" s="37" t="e">
        <f>bdrate($D47:$D50,F47:F50,$N47:$N50,P47:P50)</f>
        <v>#VALUE!</v>
      </c>
      <c r="AD47" s="38" t="e">
        <f>bdrate($D47:$D50,G47:G50,$N47:$N50,Q47:Q50)</f>
        <v>#VALUE!</v>
      </c>
      <c r="AE47" s="36" t="e">
        <f>bdrateOld($D47:$D50,E47:E50,$N47:$N50,O47:O50)</f>
        <v>#VALUE!</v>
      </c>
      <c r="AF47" s="37" t="e">
        <f>bdrateOld($D47:$D50,F47:F50,$N47:$N50,P47:P50)</f>
        <v>#VALUE!</v>
      </c>
      <c r="AG47" s="38" t="e">
        <f>bdrateOld($D47:$D50,G47:G50,$N47:$N50,Q47:Q50)</f>
        <v>#VALUE!</v>
      </c>
    </row>
    <row r="48" spans="1:33" x14ac:dyDescent="0.2">
      <c r="A48" s="12" t="s">
        <v>112</v>
      </c>
      <c r="B48" s="12"/>
      <c r="C48" s="12">
        <v>27</v>
      </c>
      <c r="D48" s="13">
        <f>Reference!B406</f>
        <v>1095.6016</v>
      </c>
      <c r="E48" s="14">
        <f>Reference!C406</f>
        <v>38.391300000000001</v>
      </c>
      <c r="F48" s="14">
        <f>Reference!D406</f>
        <v>41.204000000000001</v>
      </c>
      <c r="G48" s="14">
        <f>Reference!E406</f>
        <v>41.704700000000003</v>
      </c>
      <c r="H48" s="14">
        <f>Reference!F406</f>
        <v>12474</v>
      </c>
      <c r="I48" s="14">
        <f>Reference!G406</f>
        <v>13.573</v>
      </c>
      <c r="J48" s="14">
        <f t="shared" si="0"/>
        <v>3.4649999999999999</v>
      </c>
      <c r="K48" s="26">
        <f>Reference!H406</f>
        <v>1534016</v>
      </c>
      <c r="L48" s="27">
        <f>Reference!I406</f>
        <v>430748</v>
      </c>
      <c r="N48" s="13">
        <f>Test!B406</f>
        <v>0</v>
      </c>
      <c r="O48" s="14">
        <f>Test!C406</f>
        <v>0</v>
      </c>
      <c r="P48" s="14">
        <f>Test!D406</f>
        <v>0</v>
      </c>
      <c r="Q48" s="14">
        <f>Test!E406</f>
        <v>0</v>
      </c>
      <c r="R48" s="14">
        <f>Test!F406</f>
        <v>0</v>
      </c>
      <c r="S48" s="14">
        <f>Test!G406</f>
        <v>0</v>
      </c>
      <c r="T48" s="14">
        <f t="shared" si="1"/>
        <v>0</v>
      </c>
      <c r="U48" s="26">
        <f>Test!H406</f>
        <v>0</v>
      </c>
      <c r="V48" s="27">
        <f>Test!I406</f>
        <v>0</v>
      </c>
      <c r="W48" s="14">
        <f t="shared" si="2"/>
        <v>0</v>
      </c>
      <c r="X48" s="14">
        <f t="shared" si="3"/>
        <v>0</v>
      </c>
      <c r="Y48" s="14">
        <f t="shared" si="4"/>
        <v>0</v>
      </c>
      <c r="Z48" s="22">
        <f t="shared" si="4"/>
        <v>0</v>
      </c>
      <c r="AA48" s="39"/>
      <c r="AB48" s="40"/>
      <c r="AC48" s="41"/>
      <c r="AD48" s="42"/>
      <c r="AE48" s="40"/>
      <c r="AF48" s="41"/>
      <c r="AG48" s="42"/>
    </row>
    <row r="49" spans="1:33" x14ac:dyDescent="0.2">
      <c r="A49" s="12"/>
      <c r="B49" s="12"/>
      <c r="C49" s="12">
        <v>32</v>
      </c>
      <c r="D49" s="13">
        <f>Reference!B407</f>
        <v>533.40160000000003</v>
      </c>
      <c r="E49" s="14">
        <f>Reference!C407</f>
        <v>35.422899999999998</v>
      </c>
      <c r="F49" s="14">
        <f>Reference!D407</f>
        <v>39.404000000000003</v>
      </c>
      <c r="G49" s="14">
        <f>Reference!E407</f>
        <v>39.6479</v>
      </c>
      <c r="H49" s="14">
        <f>Reference!F407</f>
        <v>9661</v>
      </c>
      <c r="I49" s="14">
        <f>Reference!G407</f>
        <v>10.731999999999999</v>
      </c>
      <c r="J49" s="14">
        <f t="shared" si="0"/>
        <v>2.6836111111111109</v>
      </c>
      <c r="K49" s="26">
        <f>Reference!H407</f>
        <v>1531696</v>
      </c>
      <c r="L49" s="27">
        <f>Reference!I407</f>
        <v>425076</v>
      </c>
      <c r="N49" s="13">
        <f>Test!B407</f>
        <v>0</v>
      </c>
      <c r="O49" s="14">
        <f>Test!C407</f>
        <v>0</v>
      </c>
      <c r="P49" s="14">
        <f>Test!D407</f>
        <v>0</v>
      </c>
      <c r="Q49" s="14">
        <f>Test!E407</f>
        <v>0</v>
      </c>
      <c r="R49" s="14">
        <f>Test!F407</f>
        <v>0</v>
      </c>
      <c r="S49" s="14">
        <f>Test!G407</f>
        <v>0</v>
      </c>
      <c r="T49" s="14">
        <f t="shared" si="1"/>
        <v>0</v>
      </c>
      <c r="U49" s="26">
        <f>Test!H407</f>
        <v>0</v>
      </c>
      <c r="V49" s="27">
        <f>Test!I407</f>
        <v>0</v>
      </c>
      <c r="W49" s="14">
        <f t="shared" si="2"/>
        <v>0</v>
      </c>
      <c r="X49" s="14">
        <f t="shared" si="3"/>
        <v>0</v>
      </c>
      <c r="Y49" s="14">
        <f t="shared" si="4"/>
        <v>0</v>
      </c>
      <c r="Z49" s="22">
        <f t="shared" si="4"/>
        <v>0</v>
      </c>
      <c r="AA49" s="39"/>
      <c r="AB49" s="40"/>
      <c r="AC49" s="41"/>
      <c r="AD49" s="42"/>
      <c r="AE49" s="40"/>
      <c r="AF49" s="41"/>
      <c r="AG49" s="42"/>
    </row>
    <row r="50" spans="1:33" ht="12.75" customHeight="1" x14ac:dyDescent="0.2">
      <c r="A50" s="12"/>
      <c r="B50" s="15"/>
      <c r="C50" s="15">
        <v>37</v>
      </c>
      <c r="D50" s="16">
        <f>Reference!B408</f>
        <v>274.75040000000001</v>
      </c>
      <c r="E50" s="17">
        <f>Reference!C408</f>
        <v>32.865099999999998</v>
      </c>
      <c r="F50" s="17">
        <f>Reference!D408</f>
        <v>37.623399999999997</v>
      </c>
      <c r="G50" s="17">
        <f>Reference!E408</f>
        <v>37.504399999999997</v>
      </c>
      <c r="H50" s="17">
        <f>Reference!F408</f>
        <v>7540</v>
      </c>
      <c r="I50" s="17">
        <f>Reference!G408</f>
        <v>9.2260000000000009</v>
      </c>
      <c r="J50" s="17">
        <f t="shared" si="0"/>
        <v>2.0944444444444446</v>
      </c>
      <c r="K50" s="28">
        <f>Reference!H408</f>
        <v>1526608</v>
      </c>
      <c r="L50" s="29">
        <f>Reference!I408</f>
        <v>420612</v>
      </c>
      <c r="N50" s="16">
        <f>Test!B408</f>
        <v>0</v>
      </c>
      <c r="O50" s="17">
        <f>Test!C408</f>
        <v>0</v>
      </c>
      <c r="P50" s="17">
        <f>Test!D408</f>
        <v>0</v>
      </c>
      <c r="Q50" s="17">
        <f>Test!E408</f>
        <v>0</v>
      </c>
      <c r="R50" s="17">
        <f>Test!F408</f>
        <v>0</v>
      </c>
      <c r="S50" s="17">
        <f>Test!G408</f>
        <v>0</v>
      </c>
      <c r="T50" s="17">
        <f t="shared" si="1"/>
        <v>0</v>
      </c>
      <c r="U50" s="28">
        <f>Test!H408</f>
        <v>0</v>
      </c>
      <c r="V50" s="29">
        <f>Test!I408</f>
        <v>0</v>
      </c>
      <c r="W50" s="14">
        <f t="shared" si="2"/>
        <v>0</v>
      </c>
      <c r="X50" s="14">
        <f t="shared" si="3"/>
        <v>0</v>
      </c>
      <c r="Y50" s="14">
        <f t="shared" si="4"/>
        <v>0</v>
      </c>
      <c r="Z50" s="22">
        <f t="shared" si="4"/>
        <v>0</v>
      </c>
      <c r="AA50" s="39"/>
      <c r="AB50" s="43"/>
      <c r="AC50" s="44"/>
      <c r="AD50" s="45"/>
      <c r="AE50" s="43"/>
      <c r="AF50" s="44"/>
      <c r="AG50" s="45"/>
    </row>
    <row r="51" spans="1:33" x14ac:dyDescent="0.2">
      <c r="A51" s="12"/>
      <c r="B51" s="9" t="s">
        <v>82</v>
      </c>
      <c r="C51" s="9">
        <v>22</v>
      </c>
      <c r="D51" s="10">
        <f>Reference!B409</f>
        <v>3209.4528</v>
      </c>
      <c r="E51" s="11">
        <f>Reference!C409</f>
        <v>40.142200000000003</v>
      </c>
      <c r="F51" s="11">
        <f>Reference!D409</f>
        <v>43.426299999999998</v>
      </c>
      <c r="G51" s="11">
        <f>Reference!E409</f>
        <v>44.503399999999999</v>
      </c>
      <c r="H51" s="11">
        <f>Reference!F409</f>
        <v>20871</v>
      </c>
      <c r="I51" s="11">
        <f>Reference!G409</f>
        <v>18.623000000000001</v>
      </c>
      <c r="J51" s="11">
        <f t="shared" si="0"/>
        <v>5.7975000000000003</v>
      </c>
      <c r="K51" s="24">
        <f>Reference!H409</f>
        <v>1539380</v>
      </c>
      <c r="L51" s="25">
        <f>Reference!I409</f>
        <v>451956</v>
      </c>
      <c r="N51" s="10">
        <f>Test!B409</f>
        <v>0</v>
      </c>
      <c r="O51" s="11">
        <f>Test!C409</f>
        <v>0</v>
      </c>
      <c r="P51" s="11">
        <f>Test!D409</f>
        <v>0</v>
      </c>
      <c r="Q51" s="11">
        <f>Test!E409</f>
        <v>0</v>
      </c>
      <c r="R51" s="11">
        <f>Test!F409</f>
        <v>0</v>
      </c>
      <c r="S51" s="11">
        <f>Test!G409</f>
        <v>0</v>
      </c>
      <c r="T51" s="11">
        <f t="shared" si="1"/>
        <v>0</v>
      </c>
      <c r="U51" s="24">
        <f>Test!H409</f>
        <v>0</v>
      </c>
      <c r="V51" s="25">
        <f>Test!I409</f>
        <v>0</v>
      </c>
      <c r="W51" s="14">
        <f t="shared" si="2"/>
        <v>0</v>
      </c>
      <c r="X51" s="14">
        <f t="shared" si="3"/>
        <v>0</v>
      </c>
      <c r="Y51" s="14">
        <f t="shared" si="4"/>
        <v>0</v>
      </c>
      <c r="Z51" s="22">
        <f t="shared" si="4"/>
        <v>0</v>
      </c>
      <c r="AA51" s="39"/>
      <c r="AB51" s="36" t="e">
        <f>bdrate($D51:$D54,E51:E54,$N51:$N54,O51:O54)</f>
        <v>#VALUE!</v>
      </c>
      <c r="AC51" s="37" t="e">
        <f>bdrate($D51:$D54,F51:F54,$N51:$N54,P51:P54)</f>
        <v>#VALUE!</v>
      </c>
      <c r="AD51" s="37" t="e">
        <f>bdrate($D51:$D54,G51:G54,$N51:$N54,Q51:Q54)</f>
        <v>#VALUE!</v>
      </c>
      <c r="AE51" s="46" t="e">
        <f>bdrateOld($D51:$D54,E51:E54,$N51:$N54,O51:O54)</f>
        <v>#VALUE!</v>
      </c>
      <c r="AF51" s="47" t="e">
        <f>bdrateOld($D51:$D54,F51:F54,$N51:$N54,P51:P54)</f>
        <v>#VALUE!</v>
      </c>
      <c r="AG51" s="49" t="e">
        <f>bdrateOld($D51:$D54,G51:G54,$N51:$N54,Q51:Q54)</f>
        <v>#VALUE!</v>
      </c>
    </row>
    <row r="52" spans="1:33" x14ac:dyDescent="0.2">
      <c r="A52" s="12"/>
      <c r="B52" s="12"/>
      <c r="C52" s="12">
        <v>27</v>
      </c>
      <c r="D52" s="13">
        <f>Reference!B410</f>
        <v>1279.4975999999999</v>
      </c>
      <c r="E52" s="14">
        <f>Reference!C410</f>
        <v>37.209699999999998</v>
      </c>
      <c r="F52" s="14">
        <f>Reference!D410</f>
        <v>41.217700000000001</v>
      </c>
      <c r="G52" s="14">
        <f>Reference!E410</f>
        <v>41.618899999999996</v>
      </c>
      <c r="H52" s="14">
        <f>Reference!F410</f>
        <v>14229</v>
      </c>
      <c r="I52" s="14">
        <f>Reference!G410</f>
        <v>14.353999999999999</v>
      </c>
      <c r="J52" s="14">
        <f t="shared" si="0"/>
        <v>3.9525000000000001</v>
      </c>
      <c r="K52" s="26">
        <f>Reference!H410</f>
        <v>1535868</v>
      </c>
      <c r="L52" s="27">
        <f>Reference!I410</f>
        <v>440708</v>
      </c>
      <c r="N52" s="13">
        <f>Test!B410</f>
        <v>0</v>
      </c>
      <c r="O52" s="14">
        <f>Test!C410</f>
        <v>0</v>
      </c>
      <c r="P52" s="14">
        <f>Test!D410</f>
        <v>0</v>
      </c>
      <c r="Q52" s="14">
        <f>Test!E410</f>
        <v>0</v>
      </c>
      <c r="R52" s="14">
        <f>Test!F410</f>
        <v>0</v>
      </c>
      <c r="S52" s="14">
        <f>Test!G410</f>
        <v>0</v>
      </c>
      <c r="T52" s="14">
        <f t="shared" si="1"/>
        <v>0</v>
      </c>
      <c r="U52" s="26">
        <f>Test!H410</f>
        <v>0</v>
      </c>
      <c r="V52" s="27">
        <f>Test!I410</f>
        <v>0</v>
      </c>
      <c r="W52" s="14">
        <f t="shared" si="2"/>
        <v>0</v>
      </c>
      <c r="X52" s="14">
        <f t="shared" si="3"/>
        <v>0</v>
      </c>
      <c r="Y52" s="14">
        <f t="shared" si="4"/>
        <v>0</v>
      </c>
      <c r="Z52" s="22">
        <f t="shared" si="4"/>
        <v>0</v>
      </c>
      <c r="AA52" s="39"/>
      <c r="AB52" s="40"/>
      <c r="AC52" s="41"/>
      <c r="AD52" s="41"/>
      <c r="AE52" s="40"/>
      <c r="AF52" s="41"/>
      <c r="AG52" s="42"/>
    </row>
    <row r="53" spans="1:33" x14ac:dyDescent="0.2">
      <c r="A53" s="12"/>
      <c r="B53" s="12"/>
      <c r="C53" s="12">
        <v>32</v>
      </c>
      <c r="D53" s="13">
        <f>Reference!B411</f>
        <v>605.11519999999996</v>
      </c>
      <c r="E53" s="14">
        <f>Reference!C411</f>
        <v>34.353299999999997</v>
      </c>
      <c r="F53" s="14">
        <f>Reference!D411</f>
        <v>39.4011</v>
      </c>
      <c r="G53" s="14">
        <f>Reference!E411</f>
        <v>39.631799999999998</v>
      </c>
      <c r="H53" s="14">
        <f>Reference!F411</f>
        <v>10629</v>
      </c>
      <c r="I53" s="14">
        <f>Reference!G411</f>
        <v>11.289</v>
      </c>
      <c r="J53" s="14">
        <f t="shared" si="0"/>
        <v>2.9525000000000001</v>
      </c>
      <c r="K53" s="26">
        <f>Reference!H411</f>
        <v>1545432</v>
      </c>
      <c r="L53" s="27">
        <f>Reference!I411</f>
        <v>436860</v>
      </c>
      <c r="N53" s="13">
        <f>Test!B411</f>
        <v>0</v>
      </c>
      <c r="O53" s="14">
        <f>Test!C411</f>
        <v>0</v>
      </c>
      <c r="P53" s="14">
        <f>Test!D411</f>
        <v>0</v>
      </c>
      <c r="Q53" s="14">
        <f>Test!E411</f>
        <v>0</v>
      </c>
      <c r="R53" s="14">
        <f>Test!F411</f>
        <v>0</v>
      </c>
      <c r="S53" s="14">
        <f>Test!G411</f>
        <v>0</v>
      </c>
      <c r="T53" s="14">
        <f t="shared" si="1"/>
        <v>0</v>
      </c>
      <c r="U53" s="26">
        <f>Test!H411</f>
        <v>0</v>
      </c>
      <c r="V53" s="27">
        <f>Test!I411</f>
        <v>0</v>
      </c>
      <c r="W53" s="14">
        <f t="shared" si="2"/>
        <v>0</v>
      </c>
      <c r="X53" s="14">
        <f t="shared" si="3"/>
        <v>0</v>
      </c>
      <c r="Y53" s="14">
        <f t="shared" si="4"/>
        <v>0</v>
      </c>
      <c r="Z53" s="22">
        <f t="shared" si="4"/>
        <v>0</v>
      </c>
      <c r="AA53" s="39"/>
      <c r="AB53" s="40"/>
      <c r="AC53" s="41"/>
      <c r="AD53" s="41"/>
      <c r="AE53" s="40"/>
      <c r="AF53" s="41"/>
      <c r="AG53" s="42"/>
    </row>
    <row r="54" spans="1:33" ht="12.75" customHeight="1" x14ac:dyDescent="0.2">
      <c r="A54" s="12"/>
      <c r="B54" s="15"/>
      <c r="C54" s="15">
        <v>37</v>
      </c>
      <c r="D54" s="16">
        <f>Reference!B412</f>
        <v>308.50560000000002</v>
      </c>
      <c r="E54" s="17">
        <f>Reference!C412</f>
        <v>31.6266</v>
      </c>
      <c r="F54" s="17">
        <f>Reference!D412</f>
        <v>37.968000000000004</v>
      </c>
      <c r="G54" s="17">
        <f>Reference!E412</f>
        <v>37.889099999999999</v>
      </c>
      <c r="H54" s="17">
        <f>Reference!F412</f>
        <v>8298</v>
      </c>
      <c r="I54" s="17">
        <f>Reference!G412</f>
        <v>9.11</v>
      </c>
      <c r="J54" s="17">
        <f t="shared" si="0"/>
        <v>2.3050000000000002</v>
      </c>
      <c r="K54" s="28">
        <f>Reference!H412</f>
        <v>1529360</v>
      </c>
      <c r="L54" s="29">
        <f>Reference!I412</f>
        <v>433616</v>
      </c>
      <c r="N54" s="16">
        <f>Test!B412</f>
        <v>0</v>
      </c>
      <c r="O54" s="17">
        <f>Test!C412</f>
        <v>0</v>
      </c>
      <c r="P54" s="17">
        <f>Test!D412</f>
        <v>0</v>
      </c>
      <c r="Q54" s="17">
        <f>Test!E412</f>
        <v>0</v>
      </c>
      <c r="R54" s="17">
        <f>Test!F412</f>
        <v>0</v>
      </c>
      <c r="S54" s="17">
        <f>Test!G412</f>
        <v>0</v>
      </c>
      <c r="T54" s="17">
        <f t="shared" si="1"/>
        <v>0</v>
      </c>
      <c r="U54" s="28">
        <f>Test!H412</f>
        <v>0</v>
      </c>
      <c r="V54" s="29">
        <f>Test!I412</f>
        <v>0</v>
      </c>
      <c r="W54" s="14">
        <f t="shared" si="2"/>
        <v>0</v>
      </c>
      <c r="X54" s="14">
        <f t="shared" si="3"/>
        <v>0</v>
      </c>
      <c r="Y54" s="14">
        <f t="shared" si="4"/>
        <v>0</v>
      </c>
      <c r="Z54" s="22">
        <f t="shared" si="4"/>
        <v>0</v>
      </c>
      <c r="AA54" s="39"/>
      <c r="AB54" s="43"/>
      <c r="AC54" s="44"/>
      <c r="AD54" s="44"/>
      <c r="AE54" s="43"/>
      <c r="AF54" s="44"/>
      <c r="AG54" s="45"/>
    </row>
    <row r="55" spans="1:33" x14ac:dyDescent="0.2">
      <c r="A55" s="12"/>
      <c r="B55" s="9" t="s">
        <v>113</v>
      </c>
      <c r="C55" s="9">
        <v>22</v>
      </c>
      <c r="D55" s="10">
        <f>Reference!B413</f>
        <v>7216.9344000000001</v>
      </c>
      <c r="E55" s="11">
        <f>Reference!C413</f>
        <v>38.549799999999998</v>
      </c>
      <c r="F55" s="11">
        <f>Reference!D413</f>
        <v>41.078400000000002</v>
      </c>
      <c r="G55" s="11">
        <f>Reference!E413</f>
        <v>41.781799999999997</v>
      </c>
      <c r="H55" s="11">
        <f>Reference!F413</f>
        <v>24847</v>
      </c>
      <c r="I55" s="11">
        <f>Reference!G413</f>
        <v>23.276</v>
      </c>
      <c r="J55" s="11">
        <f t="shared" si="0"/>
        <v>6.9019444444444442</v>
      </c>
      <c r="K55" s="24">
        <f>Reference!H413</f>
        <v>1547340</v>
      </c>
      <c r="L55" s="25">
        <f>Reference!I413</f>
        <v>438760</v>
      </c>
      <c r="N55" s="10">
        <f>Test!B413</f>
        <v>0</v>
      </c>
      <c r="O55" s="11">
        <f>Test!C413</f>
        <v>0</v>
      </c>
      <c r="P55" s="11">
        <f>Test!D413</f>
        <v>0</v>
      </c>
      <c r="Q55" s="11">
        <f>Test!E413</f>
        <v>0</v>
      </c>
      <c r="R55" s="11">
        <f>Test!F413</f>
        <v>0</v>
      </c>
      <c r="S55" s="11">
        <f>Test!G413</f>
        <v>0</v>
      </c>
      <c r="T55" s="11">
        <f t="shared" si="1"/>
        <v>0</v>
      </c>
      <c r="U55" s="24">
        <f>Test!H413</f>
        <v>0</v>
      </c>
      <c r="V55" s="25">
        <f>Test!I413</f>
        <v>0</v>
      </c>
      <c r="W55" s="14">
        <f t="shared" si="2"/>
        <v>0</v>
      </c>
      <c r="X55" s="14">
        <f t="shared" si="3"/>
        <v>0</v>
      </c>
      <c r="Y55" s="14">
        <f t="shared" si="4"/>
        <v>0</v>
      </c>
      <c r="Z55" s="22">
        <f t="shared" si="4"/>
        <v>0</v>
      </c>
      <c r="AA55" s="39"/>
      <c r="AB55" s="36" t="e">
        <f>bdrate($D55:$D58,E55:E58,$N55:$N58,O55:O58)</f>
        <v>#VALUE!</v>
      </c>
      <c r="AC55" s="37" t="e">
        <f>bdrate($D55:$D58,F55:F58,$N55:$N58,P55:P58)</f>
        <v>#VALUE!</v>
      </c>
      <c r="AD55" s="37" t="e">
        <f>bdrate($D55:$D58,G55:G58,$N55:$N58,Q55:Q58)</f>
        <v>#VALUE!</v>
      </c>
      <c r="AE55" s="46" t="e">
        <f>bdrateOld($D55:$D58,E55:E58,$N55:$N58,O55:O58)</f>
        <v>#VALUE!</v>
      </c>
      <c r="AF55" s="47" t="e">
        <f>bdrateOld($D55:$D58,F55:F58,$N55:$N58,P55:P58)</f>
        <v>#VALUE!</v>
      </c>
      <c r="AG55" s="49" t="e">
        <f>bdrateOld($D55:$D58,G55:G58,$N55:$N58,Q55:Q58)</f>
        <v>#VALUE!</v>
      </c>
    </row>
    <row r="56" spans="1:33" x14ac:dyDescent="0.2">
      <c r="A56" s="12"/>
      <c r="B56" s="12"/>
      <c r="C56" s="12">
        <v>27</v>
      </c>
      <c r="D56" s="13">
        <f>Reference!B414</f>
        <v>2788.8847999999998</v>
      </c>
      <c r="E56" s="14">
        <f>Reference!C414</f>
        <v>34.557200000000002</v>
      </c>
      <c r="F56" s="14">
        <f>Reference!D414</f>
        <v>38.084499999999998</v>
      </c>
      <c r="G56" s="14">
        <f>Reference!E414</f>
        <v>38.552999999999997</v>
      </c>
      <c r="H56" s="14">
        <f>Reference!F414</f>
        <v>17260</v>
      </c>
      <c r="I56" s="14">
        <f>Reference!G414</f>
        <v>18.614000000000001</v>
      </c>
      <c r="J56" s="14">
        <f t="shared" si="0"/>
        <v>4.7944444444444443</v>
      </c>
      <c r="K56" s="26">
        <f>Reference!H414</f>
        <v>1544704</v>
      </c>
      <c r="L56" s="27">
        <f>Reference!I414</f>
        <v>437588</v>
      </c>
      <c r="N56" s="13">
        <f>Test!B414</f>
        <v>0</v>
      </c>
      <c r="O56" s="14">
        <f>Test!C414</f>
        <v>0</v>
      </c>
      <c r="P56" s="14">
        <f>Test!D414</f>
        <v>0</v>
      </c>
      <c r="Q56" s="14">
        <f>Test!E414</f>
        <v>0</v>
      </c>
      <c r="R56" s="14">
        <f>Test!F414</f>
        <v>0</v>
      </c>
      <c r="S56" s="14">
        <f>Test!G414</f>
        <v>0</v>
      </c>
      <c r="T56" s="14">
        <f t="shared" si="1"/>
        <v>0</v>
      </c>
      <c r="U56" s="26">
        <f>Test!H414</f>
        <v>0</v>
      </c>
      <c r="V56" s="27">
        <f>Test!I414</f>
        <v>0</v>
      </c>
      <c r="W56" s="14">
        <f t="shared" si="2"/>
        <v>0</v>
      </c>
      <c r="X56" s="14">
        <f t="shared" si="3"/>
        <v>0</v>
      </c>
      <c r="Y56" s="14">
        <f t="shared" si="4"/>
        <v>0</v>
      </c>
      <c r="Z56" s="22">
        <f t="shared" si="4"/>
        <v>0</v>
      </c>
      <c r="AA56" s="39"/>
      <c r="AB56" s="40"/>
      <c r="AC56" s="41"/>
      <c r="AD56" s="41"/>
      <c r="AE56" s="40"/>
      <c r="AF56" s="41"/>
      <c r="AG56" s="42"/>
    </row>
    <row r="57" spans="1:33" x14ac:dyDescent="0.2">
      <c r="A57" s="12"/>
      <c r="B57" s="12"/>
      <c r="C57" s="12">
        <v>32</v>
      </c>
      <c r="D57" s="13">
        <f>Reference!B415</f>
        <v>1230.7136</v>
      </c>
      <c r="E57" s="14">
        <f>Reference!C415</f>
        <v>31.162299999999998</v>
      </c>
      <c r="F57" s="14">
        <f>Reference!D415</f>
        <v>36.224899999999998</v>
      </c>
      <c r="G57" s="14">
        <f>Reference!E415</f>
        <v>36.558399999999999</v>
      </c>
      <c r="H57" s="14">
        <f>Reference!F415</f>
        <v>13290</v>
      </c>
      <c r="I57" s="14">
        <f>Reference!G415</f>
        <v>15.192</v>
      </c>
      <c r="J57" s="14">
        <f t="shared" si="0"/>
        <v>3.6916666666666669</v>
      </c>
      <c r="K57" s="26">
        <f>Reference!H415</f>
        <v>1540420</v>
      </c>
      <c r="L57" s="27">
        <f>Reference!I415</f>
        <v>431072</v>
      </c>
      <c r="N57" s="13">
        <f>Test!B415</f>
        <v>0</v>
      </c>
      <c r="O57" s="14">
        <f>Test!C415</f>
        <v>0</v>
      </c>
      <c r="P57" s="14">
        <f>Test!D415</f>
        <v>0</v>
      </c>
      <c r="Q57" s="14">
        <f>Test!E415</f>
        <v>0</v>
      </c>
      <c r="R57" s="14">
        <f>Test!F415</f>
        <v>0</v>
      </c>
      <c r="S57" s="14">
        <f>Test!G415</f>
        <v>0</v>
      </c>
      <c r="T57" s="14">
        <f t="shared" si="1"/>
        <v>0</v>
      </c>
      <c r="U57" s="26">
        <f>Test!H415</f>
        <v>0</v>
      </c>
      <c r="V57" s="27">
        <f>Test!I415</f>
        <v>0</v>
      </c>
      <c r="W57" s="14">
        <f t="shared" si="2"/>
        <v>0</v>
      </c>
      <c r="X57" s="14">
        <f t="shared" si="3"/>
        <v>0</v>
      </c>
      <c r="Y57" s="14">
        <f t="shared" si="4"/>
        <v>0</v>
      </c>
      <c r="Z57" s="22">
        <f t="shared" si="4"/>
        <v>0</v>
      </c>
      <c r="AA57" s="39"/>
      <c r="AB57" s="40"/>
      <c r="AC57" s="41"/>
      <c r="AD57" s="41"/>
      <c r="AE57" s="40"/>
      <c r="AF57" s="41"/>
      <c r="AG57" s="42"/>
    </row>
    <row r="58" spans="1:33" ht="12.75" customHeight="1" x14ac:dyDescent="0.2">
      <c r="A58" s="12"/>
      <c r="B58" s="15"/>
      <c r="C58" s="15">
        <v>37</v>
      </c>
      <c r="D58" s="16">
        <f>Reference!B416</f>
        <v>559.82079999999996</v>
      </c>
      <c r="E58" s="17">
        <f>Reference!C416</f>
        <v>28.183199999999999</v>
      </c>
      <c r="F58" s="17">
        <f>Reference!D416</f>
        <v>34.768099999999997</v>
      </c>
      <c r="G58" s="17">
        <f>Reference!E416</f>
        <v>34.964500000000001</v>
      </c>
      <c r="H58" s="17">
        <f>Reference!F416</f>
        <v>10063</v>
      </c>
      <c r="I58" s="17">
        <f>Reference!G416</f>
        <v>12.634</v>
      </c>
      <c r="J58" s="17">
        <f t="shared" si="0"/>
        <v>2.7952777777777778</v>
      </c>
      <c r="K58" s="28">
        <f>Reference!H416</f>
        <v>1535492</v>
      </c>
      <c r="L58" s="29">
        <f>Reference!I416</f>
        <v>423380</v>
      </c>
      <c r="N58" s="16">
        <f>Test!B416</f>
        <v>0</v>
      </c>
      <c r="O58" s="17">
        <f>Test!C416</f>
        <v>0</v>
      </c>
      <c r="P58" s="17">
        <f>Test!D416</f>
        <v>0</v>
      </c>
      <c r="Q58" s="17">
        <f>Test!E416</f>
        <v>0</v>
      </c>
      <c r="R58" s="17">
        <f>Test!F416</f>
        <v>0</v>
      </c>
      <c r="S58" s="17">
        <f>Test!G416</f>
        <v>0</v>
      </c>
      <c r="T58" s="17">
        <f t="shared" si="1"/>
        <v>0</v>
      </c>
      <c r="U58" s="28">
        <f>Test!H416</f>
        <v>0</v>
      </c>
      <c r="V58" s="29">
        <f>Test!I416</f>
        <v>0</v>
      </c>
      <c r="W58" s="14">
        <f t="shared" si="2"/>
        <v>0</v>
      </c>
      <c r="X58" s="14">
        <f t="shared" si="3"/>
        <v>0</v>
      </c>
      <c r="Y58" s="14">
        <f t="shared" si="4"/>
        <v>0</v>
      </c>
      <c r="Z58" s="22">
        <f t="shared" si="4"/>
        <v>0</v>
      </c>
      <c r="AA58" s="39"/>
      <c r="AB58" s="43"/>
      <c r="AC58" s="44"/>
      <c r="AD58" s="44"/>
      <c r="AE58" s="43"/>
      <c r="AF58" s="44"/>
      <c r="AG58" s="45"/>
    </row>
    <row r="59" spans="1:33" x14ac:dyDescent="0.2">
      <c r="A59" s="12"/>
      <c r="B59" s="9" t="s">
        <v>87</v>
      </c>
      <c r="C59" s="9">
        <v>22</v>
      </c>
      <c r="D59" s="10">
        <f>Reference!B417</f>
        <v>6233.4639999999999</v>
      </c>
      <c r="E59" s="11">
        <f>Reference!C417</f>
        <v>39.689100000000003</v>
      </c>
      <c r="F59" s="11">
        <f>Reference!D417</f>
        <v>40.426299999999998</v>
      </c>
      <c r="G59" s="11">
        <f>Reference!E417</f>
        <v>42.116300000000003</v>
      </c>
      <c r="H59" s="11">
        <f>Reference!F417</f>
        <v>19659</v>
      </c>
      <c r="I59" s="11">
        <f>Reference!G417</f>
        <v>15.804</v>
      </c>
      <c r="J59" s="11">
        <f t="shared" ref="J59:J90" si="5">H59/3600</f>
        <v>5.4608333333333334</v>
      </c>
      <c r="K59" s="24">
        <f>Reference!H417</f>
        <v>1537684</v>
      </c>
      <c r="L59" s="25">
        <f>Reference!I417</f>
        <v>397108</v>
      </c>
      <c r="N59" s="10">
        <f>Test!B417</f>
        <v>0</v>
      </c>
      <c r="O59" s="11">
        <f>Test!C417</f>
        <v>0</v>
      </c>
      <c r="P59" s="11">
        <f>Test!D417</f>
        <v>0</v>
      </c>
      <c r="Q59" s="11">
        <f>Test!E417</f>
        <v>0</v>
      </c>
      <c r="R59" s="11">
        <f>Test!F417</f>
        <v>0</v>
      </c>
      <c r="S59" s="11">
        <f>Test!G417</f>
        <v>0</v>
      </c>
      <c r="T59" s="11">
        <f t="shared" ref="T59:T90" si="6">R59/3600</f>
        <v>0</v>
      </c>
      <c r="U59" s="24">
        <f>Test!H417</f>
        <v>0</v>
      </c>
      <c r="V59" s="25">
        <f>Test!I417</f>
        <v>0</v>
      </c>
      <c r="W59" s="14">
        <f t="shared" ref="W59:W90" si="7">R59/H59</f>
        <v>0</v>
      </c>
      <c r="X59" s="14">
        <f t="shared" ref="X59:X90" si="8">S59/I59</f>
        <v>0</v>
      </c>
      <c r="Y59" s="14">
        <f t="shared" si="4"/>
        <v>0</v>
      </c>
      <c r="Z59" s="22">
        <f t="shared" si="4"/>
        <v>0</v>
      </c>
      <c r="AA59" s="39"/>
      <c r="AB59" s="36" t="e">
        <f>bdrate($D59:$D62,E59:E62,$N59:$N62,O59:O62)</f>
        <v>#VALUE!</v>
      </c>
      <c r="AC59" s="37" t="e">
        <f>bdrate($D59:$D62,F59:F62,$N59:$N62,P59:P62)</f>
        <v>#VALUE!</v>
      </c>
      <c r="AD59" s="37" t="e">
        <f>bdrate($D59:$D62,G59:G62,$N59:$N62,Q59:Q62)</f>
        <v>#VALUE!</v>
      </c>
      <c r="AE59" s="46" t="e">
        <f>bdrateOld($D59:$D62,E59:E62,$N59:$N62,O59:O62)</f>
        <v>#VALUE!</v>
      </c>
      <c r="AF59" s="47" t="e">
        <f>bdrateOld($D59:$D62,F59:F62,$N59:$N62,P59:P62)</f>
        <v>#VALUE!</v>
      </c>
      <c r="AG59" s="49" t="e">
        <f>bdrateOld($D59:$D62,G59:G62,$N59:$N62,Q59:Q62)</f>
        <v>#VALUE!</v>
      </c>
    </row>
    <row r="60" spans="1:33" x14ac:dyDescent="0.2">
      <c r="A60" s="12"/>
      <c r="B60" s="12"/>
      <c r="C60" s="12">
        <v>27</v>
      </c>
      <c r="D60" s="13">
        <f>Reference!B418</f>
        <v>1912.6672000000001</v>
      </c>
      <c r="E60" s="14">
        <f>Reference!C418</f>
        <v>34.933500000000002</v>
      </c>
      <c r="F60" s="14">
        <f>Reference!D418</f>
        <v>37.3902</v>
      </c>
      <c r="G60" s="14">
        <f>Reference!E418</f>
        <v>39.409700000000001</v>
      </c>
      <c r="H60" s="14">
        <f>Reference!F418</f>
        <v>13028</v>
      </c>
      <c r="I60" s="14">
        <f>Reference!G418</f>
        <v>12.452999999999999</v>
      </c>
      <c r="J60" s="14">
        <f t="shared" si="5"/>
        <v>3.6188888888888888</v>
      </c>
      <c r="K60" s="26">
        <f>Reference!H418</f>
        <v>1536388</v>
      </c>
      <c r="L60" s="27">
        <f>Reference!I418</f>
        <v>395948</v>
      </c>
      <c r="N60" s="13">
        <f>Test!B418</f>
        <v>0</v>
      </c>
      <c r="O60" s="14">
        <f>Test!C418</f>
        <v>0</v>
      </c>
      <c r="P60" s="14">
        <f>Test!D418</f>
        <v>0</v>
      </c>
      <c r="Q60" s="14">
        <f>Test!E418</f>
        <v>0</v>
      </c>
      <c r="R60" s="14">
        <f>Test!F418</f>
        <v>0</v>
      </c>
      <c r="S60" s="14">
        <f>Test!G418</f>
        <v>0</v>
      </c>
      <c r="T60" s="14">
        <f t="shared" si="6"/>
        <v>0</v>
      </c>
      <c r="U60" s="26">
        <f>Test!H418</f>
        <v>0</v>
      </c>
      <c r="V60" s="27">
        <f>Test!I418</f>
        <v>0</v>
      </c>
      <c r="W60" s="14">
        <f t="shared" si="7"/>
        <v>0</v>
      </c>
      <c r="X60" s="14">
        <f t="shared" si="8"/>
        <v>0</v>
      </c>
      <c r="Y60" s="14">
        <f t="shared" si="4"/>
        <v>0</v>
      </c>
      <c r="Z60" s="22">
        <f t="shared" si="4"/>
        <v>0</v>
      </c>
      <c r="AA60" s="39"/>
      <c r="AB60" s="40"/>
      <c r="AC60" s="41"/>
      <c r="AD60" s="41"/>
      <c r="AE60" s="40"/>
      <c r="AF60" s="41"/>
      <c r="AG60" s="42"/>
    </row>
    <row r="61" spans="1:33" x14ac:dyDescent="0.2">
      <c r="A61" s="12"/>
      <c r="B61" s="12"/>
      <c r="C61" s="12">
        <v>32</v>
      </c>
      <c r="D61" s="13">
        <f>Reference!B419</f>
        <v>763.06399999999996</v>
      </c>
      <c r="E61" s="14">
        <f>Reference!C419</f>
        <v>31.5822</v>
      </c>
      <c r="F61" s="14">
        <f>Reference!D419</f>
        <v>36.0259</v>
      </c>
      <c r="G61" s="14">
        <f>Reference!E419</f>
        <v>38.020899999999997</v>
      </c>
      <c r="H61" s="14">
        <f>Reference!F419</f>
        <v>9587</v>
      </c>
      <c r="I61" s="14">
        <f>Reference!G419</f>
        <v>9.859</v>
      </c>
      <c r="J61" s="14">
        <f t="shared" si="5"/>
        <v>2.6630555555555557</v>
      </c>
      <c r="K61" s="26">
        <f>Reference!H419</f>
        <v>1531572</v>
      </c>
      <c r="L61" s="27">
        <f>Reference!I419</f>
        <v>392248</v>
      </c>
      <c r="N61" s="13">
        <f>Test!B419</f>
        <v>0</v>
      </c>
      <c r="O61" s="14">
        <f>Test!C419</f>
        <v>0</v>
      </c>
      <c r="P61" s="14">
        <f>Test!D419</f>
        <v>0</v>
      </c>
      <c r="Q61" s="14">
        <f>Test!E419</f>
        <v>0</v>
      </c>
      <c r="R61" s="14">
        <f>Test!F419</f>
        <v>0</v>
      </c>
      <c r="S61" s="14">
        <f>Test!G419</f>
        <v>0</v>
      </c>
      <c r="T61" s="14">
        <f t="shared" si="6"/>
        <v>0</v>
      </c>
      <c r="U61" s="26">
        <f>Test!H419</f>
        <v>0</v>
      </c>
      <c r="V61" s="27">
        <f>Test!I419</f>
        <v>0</v>
      </c>
      <c r="W61" s="14">
        <f t="shared" si="7"/>
        <v>0</v>
      </c>
      <c r="X61" s="14">
        <f t="shared" si="8"/>
        <v>0</v>
      </c>
      <c r="Y61" s="14">
        <f t="shared" si="4"/>
        <v>0</v>
      </c>
      <c r="Z61" s="22">
        <f t="shared" si="4"/>
        <v>0</v>
      </c>
      <c r="AA61" s="39"/>
      <c r="AB61" s="40"/>
      <c r="AC61" s="41"/>
      <c r="AD61" s="41"/>
      <c r="AE61" s="40"/>
      <c r="AF61" s="41"/>
      <c r="AG61" s="42"/>
    </row>
    <row r="62" spans="1:33" ht="12.75" customHeight="1" x14ac:dyDescent="0.2">
      <c r="A62" s="15"/>
      <c r="B62" s="15"/>
      <c r="C62" s="15">
        <v>37</v>
      </c>
      <c r="D62" s="16">
        <f>Reference!B420</f>
        <v>327.00799999999998</v>
      </c>
      <c r="E62" s="17">
        <f>Reference!C420</f>
        <v>28.744599999999998</v>
      </c>
      <c r="F62" s="17">
        <f>Reference!D420</f>
        <v>34.972200000000001</v>
      </c>
      <c r="G62" s="17">
        <f>Reference!E420</f>
        <v>36.525700000000001</v>
      </c>
      <c r="H62" s="17">
        <f>Reference!F420</f>
        <v>6983</v>
      </c>
      <c r="I62" s="17">
        <f>Reference!G420</f>
        <v>8.0850000000000009</v>
      </c>
      <c r="J62" s="17">
        <f t="shared" si="5"/>
        <v>1.9397222222222221</v>
      </c>
      <c r="K62" s="28">
        <f>Reference!H420</f>
        <v>1528940</v>
      </c>
      <c r="L62" s="29">
        <f>Reference!I420</f>
        <v>393192</v>
      </c>
      <c r="N62" s="16">
        <f>Test!B420</f>
        <v>0</v>
      </c>
      <c r="O62" s="17">
        <f>Test!C420</f>
        <v>0</v>
      </c>
      <c r="P62" s="17">
        <f>Test!D420</f>
        <v>0</v>
      </c>
      <c r="Q62" s="17">
        <f>Test!E420</f>
        <v>0</v>
      </c>
      <c r="R62" s="17">
        <f>Test!F420</f>
        <v>0</v>
      </c>
      <c r="S62" s="17">
        <f>Test!G420</f>
        <v>0</v>
      </c>
      <c r="T62" s="17">
        <f t="shared" si="6"/>
        <v>0</v>
      </c>
      <c r="U62" s="28">
        <f>Test!H420</f>
        <v>0</v>
      </c>
      <c r="V62" s="29">
        <f>Test!I420</f>
        <v>0</v>
      </c>
      <c r="W62" s="17">
        <f t="shared" si="7"/>
        <v>0</v>
      </c>
      <c r="X62" s="17">
        <f t="shared" si="8"/>
        <v>0</v>
      </c>
      <c r="Y62" s="17">
        <f t="shared" si="4"/>
        <v>0</v>
      </c>
      <c r="Z62" s="23">
        <f t="shared" si="4"/>
        <v>0</v>
      </c>
      <c r="AA62" s="48"/>
      <c r="AB62" s="43"/>
      <c r="AC62" s="44"/>
      <c r="AD62" s="44"/>
      <c r="AE62" s="43"/>
      <c r="AF62" s="44"/>
      <c r="AG62" s="45"/>
    </row>
    <row r="63" spans="1:33" x14ac:dyDescent="0.2">
      <c r="A63" s="9" t="s">
        <v>27</v>
      </c>
      <c r="B63" s="9" t="s">
        <v>85</v>
      </c>
      <c r="C63" s="9">
        <f>C59</f>
        <v>22</v>
      </c>
      <c r="D63" s="10">
        <f>Reference!B421</f>
        <v>1133.4048</v>
      </c>
      <c r="E63" s="11">
        <f>Reference!C421</f>
        <v>41.3474</v>
      </c>
      <c r="F63" s="11">
        <f>Reference!D421</f>
        <v>43.917200000000001</v>
      </c>
      <c r="G63" s="11">
        <f>Reference!E421</f>
        <v>43.496099999999998</v>
      </c>
      <c r="H63" s="11">
        <f>Reference!F421</f>
        <v>4273</v>
      </c>
      <c r="I63" s="11">
        <f>Reference!G421</f>
        <v>4.4560000000000004</v>
      </c>
      <c r="J63" s="11">
        <f t="shared" si="5"/>
        <v>1.1869444444444444</v>
      </c>
      <c r="K63" s="24">
        <f>Reference!H421</f>
        <v>1105396</v>
      </c>
      <c r="L63" s="25">
        <f>Reference!I421</f>
        <v>361432</v>
      </c>
      <c r="N63" s="10">
        <f>Test!B421</f>
        <v>0</v>
      </c>
      <c r="O63" s="11">
        <f>Test!C421</f>
        <v>0</v>
      </c>
      <c r="P63" s="11">
        <f>Test!D421</f>
        <v>0</v>
      </c>
      <c r="Q63" s="11">
        <f>Test!E421</f>
        <v>0</v>
      </c>
      <c r="R63" s="11">
        <f>Test!F421</f>
        <v>0</v>
      </c>
      <c r="S63" s="11">
        <f>Test!G421</f>
        <v>0</v>
      </c>
      <c r="T63" s="11">
        <f t="shared" si="6"/>
        <v>0</v>
      </c>
      <c r="U63" s="24">
        <f>Test!H421</f>
        <v>0</v>
      </c>
      <c r="V63" s="25">
        <f>Test!I421</f>
        <v>0</v>
      </c>
      <c r="W63" s="11">
        <f t="shared" si="7"/>
        <v>0</v>
      </c>
      <c r="X63" s="11">
        <f t="shared" si="8"/>
        <v>0</v>
      </c>
      <c r="Y63" s="11">
        <f t="shared" si="4"/>
        <v>0</v>
      </c>
      <c r="Z63" s="21">
        <f t="shared" si="4"/>
        <v>0</v>
      </c>
      <c r="AA63" s="35"/>
      <c r="AB63" s="36" t="e">
        <f>bdrate($D63:$D66,E63:E66,$N63:$N66,O63:O66)</f>
        <v>#VALUE!</v>
      </c>
      <c r="AC63" s="37" t="e">
        <f>bdrate($D63:$D66,F63:F66,$N63:$N66,P63:P66)</f>
        <v>#VALUE!</v>
      </c>
      <c r="AD63" s="38" t="e">
        <f>bdrate($D63:$D66,G63:G66,$N63:$N66,Q63:Q66)</f>
        <v>#VALUE!</v>
      </c>
      <c r="AE63" s="36" t="e">
        <f>bdrateOld($D63:$D66,E63:E66,$N63:$N66,O63:O66)</f>
        <v>#VALUE!</v>
      </c>
      <c r="AF63" s="37" t="e">
        <f>bdrateOld($D63:$D66,F63:F66,$N63:$N66,P63:P66)</f>
        <v>#VALUE!</v>
      </c>
      <c r="AG63" s="38" t="e">
        <f>bdrateOld($D63:$D66,G63:G66,$N63:$N66,Q63:Q66)</f>
        <v>#VALUE!</v>
      </c>
    </row>
    <row r="64" spans="1:33" x14ac:dyDescent="0.2">
      <c r="A64" s="12" t="s">
        <v>114</v>
      </c>
      <c r="B64" s="12"/>
      <c r="C64" s="12">
        <f>C60</f>
        <v>27</v>
      </c>
      <c r="D64" s="13">
        <f>Reference!B422</f>
        <v>500.63040000000001</v>
      </c>
      <c r="E64" s="14">
        <f>Reference!C422</f>
        <v>37.217599999999997</v>
      </c>
      <c r="F64" s="14">
        <f>Reference!D422</f>
        <v>40.704599999999999</v>
      </c>
      <c r="G64" s="14">
        <f>Reference!E422</f>
        <v>39.585099999999997</v>
      </c>
      <c r="H64" s="14">
        <f>Reference!F422</f>
        <v>3517</v>
      </c>
      <c r="I64" s="14">
        <f>Reference!G422</f>
        <v>3.766</v>
      </c>
      <c r="J64" s="14">
        <f t="shared" si="5"/>
        <v>0.97694444444444439</v>
      </c>
      <c r="K64" s="26">
        <f>Reference!H422</f>
        <v>1104268</v>
      </c>
      <c r="L64" s="27">
        <f>Reference!I422</f>
        <v>359596</v>
      </c>
      <c r="N64" s="13">
        <f>Test!B422</f>
        <v>0</v>
      </c>
      <c r="O64" s="14">
        <f>Test!C422</f>
        <v>0</v>
      </c>
      <c r="P64" s="14">
        <f>Test!D422</f>
        <v>0</v>
      </c>
      <c r="Q64" s="14">
        <f>Test!E422</f>
        <v>0</v>
      </c>
      <c r="R64" s="14">
        <f>Test!F422</f>
        <v>0</v>
      </c>
      <c r="S64" s="14">
        <f>Test!G422</f>
        <v>0</v>
      </c>
      <c r="T64" s="14">
        <f t="shared" si="6"/>
        <v>0</v>
      </c>
      <c r="U64" s="26">
        <f>Test!H422</f>
        <v>0</v>
      </c>
      <c r="V64" s="27">
        <f>Test!I422</f>
        <v>0</v>
      </c>
      <c r="W64" s="14">
        <f t="shared" si="7"/>
        <v>0</v>
      </c>
      <c r="X64" s="14">
        <f t="shared" si="8"/>
        <v>0</v>
      </c>
      <c r="Y64" s="14">
        <f t="shared" si="4"/>
        <v>0</v>
      </c>
      <c r="Z64" s="22">
        <f t="shared" si="4"/>
        <v>0</v>
      </c>
      <c r="AA64" s="39"/>
      <c r="AB64" s="40"/>
      <c r="AC64" s="41"/>
      <c r="AD64" s="42"/>
      <c r="AE64" s="40"/>
      <c r="AF64" s="41"/>
      <c r="AG64" s="42"/>
    </row>
    <row r="65" spans="1:33" x14ac:dyDescent="0.2">
      <c r="A65" s="12"/>
      <c r="B65" s="12"/>
      <c r="C65" s="12">
        <f>C61</f>
        <v>32</v>
      </c>
      <c r="D65" s="13">
        <f>Reference!B423</f>
        <v>237.32159999999999</v>
      </c>
      <c r="E65" s="14">
        <f>Reference!C423</f>
        <v>33.741599999999998</v>
      </c>
      <c r="F65" s="14">
        <f>Reference!D423</f>
        <v>38.555900000000001</v>
      </c>
      <c r="G65" s="14">
        <f>Reference!E423</f>
        <v>37.362000000000002</v>
      </c>
      <c r="H65" s="14">
        <f>Reference!F423</f>
        <v>2814</v>
      </c>
      <c r="I65" s="14">
        <f>Reference!G423</f>
        <v>3.0659999999999998</v>
      </c>
      <c r="J65" s="14">
        <f t="shared" si="5"/>
        <v>0.78166666666666662</v>
      </c>
      <c r="K65" s="26">
        <f>Reference!H423</f>
        <v>1103432</v>
      </c>
      <c r="L65" s="27">
        <f>Reference!I423</f>
        <v>358732</v>
      </c>
      <c r="N65" s="13">
        <f>Test!B423</f>
        <v>0</v>
      </c>
      <c r="O65" s="14">
        <f>Test!C423</f>
        <v>0</v>
      </c>
      <c r="P65" s="14">
        <f>Test!D423</f>
        <v>0</v>
      </c>
      <c r="Q65" s="14">
        <f>Test!E423</f>
        <v>0</v>
      </c>
      <c r="R65" s="14">
        <f>Test!F423</f>
        <v>0</v>
      </c>
      <c r="S65" s="14">
        <f>Test!G423</f>
        <v>0</v>
      </c>
      <c r="T65" s="14">
        <f t="shared" si="6"/>
        <v>0</v>
      </c>
      <c r="U65" s="26">
        <f>Test!H423</f>
        <v>0</v>
      </c>
      <c r="V65" s="27">
        <f>Test!I423</f>
        <v>0</v>
      </c>
      <c r="W65" s="14">
        <f t="shared" si="7"/>
        <v>0</v>
      </c>
      <c r="X65" s="14">
        <f t="shared" si="8"/>
        <v>0</v>
      </c>
      <c r="Y65" s="14">
        <f t="shared" si="4"/>
        <v>0</v>
      </c>
      <c r="Z65" s="22">
        <f t="shared" si="4"/>
        <v>0</v>
      </c>
      <c r="AA65" s="39"/>
      <c r="AB65" s="40"/>
      <c r="AC65" s="41"/>
      <c r="AD65" s="42"/>
      <c r="AE65" s="40"/>
      <c r="AF65" s="41"/>
      <c r="AG65" s="42"/>
    </row>
    <row r="66" spans="1:33" ht="12.75" customHeight="1" x14ac:dyDescent="0.2">
      <c r="A66" s="12"/>
      <c r="B66" s="15"/>
      <c r="C66" s="15">
        <f>C62</f>
        <v>37</v>
      </c>
      <c r="D66" s="16">
        <f>Reference!B424</f>
        <v>119.49120000000001</v>
      </c>
      <c r="E66" s="17">
        <f>Reference!C424</f>
        <v>30.853999999999999</v>
      </c>
      <c r="F66" s="17">
        <f>Reference!D424</f>
        <v>36.997700000000002</v>
      </c>
      <c r="G66" s="17">
        <f>Reference!E424</f>
        <v>35.495800000000003</v>
      </c>
      <c r="H66" s="17">
        <f>Reference!F424</f>
        <v>2193</v>
      </c>
      <c r="I66" s="17">
        <f>Reference!G424</f>
        <v>2.5630000000000002</v>
      </c>
      <c r="J66" s="17">
        <f t="shared" si="5"/>
        <v>0.60916666666666663</v>
      </c>
      <c r="K66" s="28">
        <f>Reference!H424</f>
        <v>1102796</v>
      </c>
      <c r="L66" s="29">
        <f>Reference!I424</f>
        <v>357696</v>
      </c>
      <c r="N66" s="16">
        <f>Test!B424</f>
        <v>0</v>
      </c>
      <c r="O66" s="17">
        <f>Test!C424</f>
        <v>0</v>
      </c>
      <c r="P66" s="17">
        <f>Test!D424</f>
        <v>0</v>
      </c>
      <c r="Q66" s="17">
        <f>Test!E424</f>
        <v>0</v>
      </c>
      <c r="R66" s="17">
        <f>Test!F424</f>
        <v>0</v>
      </c>
      <c r="S66" s="17">
        <f>Test!G424</f>
        <v>0</v>
      </c>
      <c r="T66" s="17">
        <f t="shared" si="6"/>
        <v>0</v>
      </c>
      <c r="U66" s="28">
        <f>Test!H424</f>
        <v>0</v>
      </c>
      <c r="V66" s="29">
        <f>Test!I424</f>
        <v>0</v>
      </c>
      <c r="W66" s="14">
        <f t="shared" si="7"/>
        <v>0</v>
      </c>
      <c r="X66" s="14">
        <f t="shared" si="8"/>
        <v>0</v>
      </c>
      <c r="Y66" s="14">
        <f t="shared" si="4"/>
        <v>0</v>
      </c>
      <c r="Z66" s="22">
        <f t="shared" si="4"/>
        <v>0</v>
      </c>
      <c r="AA66" s="39"/>
      <c r="AB66" s="43"/>
      <c r="AC66" s="44"/>
      <c r="AD66" s="45"/>
      <c r="AE66" s="43"/>
      <c r="AF66" s="44"/>
      <c r="AG66" s="45"/>
    </row>
    <row r="67" spans="1:33" x14ac:dyDescent="0.2">
      <c r="A67" s="12"/>
      <c r="B67" s="9" t="s">
        <v>86</v>
      </c>
      <c r="C67" s="9">
        <v>22</v>
      </c>
      <c r="D67" s="10">
        <f>Reference!B425</f>
        <v>1667.296</v>
      </c>
      <c r="E67" s="11">
        <f>Reference!C425</f>
        <v>39.071800000000003</v>
      </c>
      <c r="F67" s="11">
        <f>Reference!D425</f>
        <v>43.421900000000001</v>
      </c>
      <c r="G67" s="11">
        <f>Reference!E425</f>
        <v>44.4358</v>
      </c>
      <c r="H67" s="11">
        <f>Reference!F425</f>
        <v>5212</v>
      </c>
      <c r="I67" s="11">
        <f>Reference!G425</f>
        <v>6.5979999999999999</v>
      </c>
      <c r="J67" s="11">
        <f t="shared" si="5"/>
        <v>1.4477777777777778</v>
      </c>
      <c r="K67" s="24">
        <f>Reference!H425</f>
        <v>1112240</v>
      </c>
      <c r="L67" s="25">
        <f>Reference!I425</f>
        <v>373916</v>
      </c>
      <c r="N67" s="10">
        <f>Test!B425</f>
        <v>0</v>
      </c>
      <c r="O67" s="11">
        <f>Test!C425</f>
        <v>0</v>
      </c>
      <c r="P67" s="11">
        <f>Test!D425</f>
        <v>0</v>
      </c>
      <c r="Q67" s="11">
        <f>Test!E425</f>
        <v>0</v>
      </c>
      <c r="R67" s="11">
        <f>Test!F425</f>
        <v>0</v>
      </c>
      <c r="S67" s="11">
        <f>Test!G425</f>
        <v>0</v>
      </c>
      <c r="T67" s="11">
        <f t="shared" si="6"/>
        <v>0</v>
      </c>
      <c r="U67" s="24">
        <f>Test!H425</f>
        <v>0</v>
      </c>
      <c r="V67" s="25">
        <f>Test!I425</f>
        <v>0</v>
      </c>
      <c r="W67" s="14">
        <f t="shared" si="7"/>
        <v>0</v>
      </c>
      <c r="X67" s="14">
        <f t="shared" si="8"/>
        <v>0</v>
      </c>
      <c r="Y67" s="14">
        <f t="shared" si="4"/>
        <v>0</v>
      </c>
      <c r="Z67" s="22">
        <f t="shared" si="4"/>
        <v>0</v>
      </c>
      <c r="AA67" s="39"/>
      <c r="AB67" s="36" t="e">
        <f>bdrate($D67:$D70,E67:E70,$N67:$N70,O67:O70)</f>
        <v>#VALUE!</v>
      </c>
      <c r="AC67" s="37" t="e">
        <f>bdrate($D67:$D70,F67:F70,$N67:$N70,P67:P70)</f>
        <v>#VALUE!</v>
      </c>
      <c r="AD67" s="37" t="e">
        <f>bdrate($D67:$D70,G67:G70,$N67:$N70,Q67:Q70)</f>
        <v>#VALUE!</v>
      </c>
      <c r="AE67" s="46" t="e">
        <f>bdrateOld($D67:$D70,E67:E70,$N67:$N70,O67:O70)</f>
        <v>#VALUE!</v>
      </c>
      <c r="AF67" s="47" t="e">
        <f>bdrateOld($D67:$D70,F67:F70,$N67:$N70,P67:P70)</f>
        <v>#VALUE!</v>
      </c>
      <c r="AG67" s="49" t="e">
        <f>bdrateOld($D67:$D70,G67:G70,$N67:$N70,Q67:Q70)</f>
        <v>#VALUE!</v>
      </c>
    </row>
    <row r="68" spans="1:33" x14ac:dyDescent="0.2">
      <c r="A68" s="12"/>
      <c r="B68" s="12"/>
      <c r="C68" s="12">
        <v>27</v>
      </c>
      <c r="D68" s="13">
        <f>Reference!B426</f>
        <v>512.46879999999999</v>
      </c>
      <c r="E68" s="14">
        <f>Reference!C426</f>
        <v>35.1419</v>
      </c>
      <c r="F68" s="14">
        <f>Reference!D426</f>
        <v>41.310299999999998</v>
      </c>
      <c r="G68" s="14">
        <f>Reference!E426</f>
        <v>42.183100000000003</v>
      </c>
      <c r="H68" s="14">
        <f>Reference!F426</f>
        <v>3471</v>
      </c>
      <c r="I68" s="14">
        <f>Reference!G426</f>
        <v>5.298</v>
      </c>
      <c r="J68" s="14">
        <f t="shared" si="5"/>
        <v>0.96416666666666662</v>
      </c>
      <c r="K68" s="26">
        <f>Reference!H426</f>
        <v>1112300</v>
      </c>
      <c r="L68" s="27">
        <f>Reference!I426</f>
        <v>373056</v>
      </c>
      <c r="N68" s="13">
        <f>Test!B426</f>
        <v>0</v>
      </c>
      <c r="O68" s="14">
        <f>Test!C426</f>
        <v>0</v>
      </c>
      <c r="P68" s="14">
        <f>Test!D426</f>
        <v>0</v>
      </c>
      <c r="Q68" s="14">
        <f>Test!E426</f>
        <v>0</v>
      </c>
      <c r="R68" s="14">
        <f>Test!F426</f>
        <v>0</v>
      </c>
      <c r="S68" s="14">
        <f>Test!G426</f>
        <v>0</v>
      </c>
      <c r="T68" s="14">
        <f t="shared" si="6"/>
        <v>0</v>
      </c>
      <c r="U68" s="26">
        <f>Test!H426</f>
        <v>0</v>
      </c>
      <c r="V68" s="27">
        <f>Test!I426</f>
        <v>0</v>
      </c>
      <c r="W68" s="14">
        <f t="shared" si="7"/>
        <v>0</v>
      </c>
      <c r="X68" s="14">
        <f t="shared" si="8"/>
        <v>0</v>
      </c>
      <c r="Y68" s="14">
        <f t="shared" si="4"/>
        <v>0</v>
      </c>
      <c r="Z68" s="22">
        <f t="shared" si="4"/>
        <v>0</v>
      </c>
      <c r="AA68" s="39"/>
      <c r="AB68" s="40"/>
      <c r="AC68" s="41"/>
      <c r="AD68" s="41"/>
      <c r="AE68" s="40"/>
      <c r="AF68" s="41"/>
      <c r="AG68" s="42"/>
    </row>
    <row r="69" spans="1:33" x14ac:dyDescent="0.2">
      <c r="A69" s="12"/>
      <c r="B69" s="12"/>
      <c r="C69" s="12">
        <v>32</v>
      </c>
      <c r="D69" s="13">
        <f>Reference!B427</f>
        <v>208.16319999999999</v>
      </c>
      <c r="E69" s="14">
        <f>Reference!C427</f>
        <v>31.932700000000001</v>
      </c>
      <c r="F69" s="14">
        <f>Reference!D427</f>
        <v>39.313200000000002</v>
      </c>
      <c r="G69" s="14">
        <f>Reference!E427</f>
        <v>40.090800000000002</v>
      </c>
      <c r="H69" s="14">
        <f>Reference!F427</f>
        <v>2463</v>
      </c>
      <c r="I69" s="14">
        <f>Reference!G427</f>
        <v>4.5069999999999997</v>
      </c>
      <c r="J69" s="14">
        <f t="shared" si="5"/>
        <v>0.6841666666666667</v>
      </c>
      <c r="K69" s="26">
        <f>Reference!H427</f>
        <v>1112076</v>
      </c>
      <c r="L69" s="27">
        <f>Reference!I427</f>
        <v>372352</v>
      </c>
      <c r="N69" s="13">
        <f>Test!B427</f>
        <v>0</v>
      </c>
      <c r="O69" s="14">
        <f>Test!C427</f>
        <v>0</v>
      </c>
      <c r="P69" s="14">
        <f>Test!D427</f>
        <v>0</v>
      </c>
      <c r="Q69" s="14">
        <f>Test!E427</f>
        <v>0</v>
      </c>
      <c r="R69" s="14">
        <f>Test!F427</f>
        <v>0</v>
      </c>
      <c r="S69" s="14">
        <f>Test!G427</f>
        <v>0</v>
      </c>
      <c r="T69" s="14">
        <f t="shared" si="6"/>
        <v>0</v>
      </c>
      <c r="U69" s="26">
        <f>Test!H427</f>
        <v>0</v>
      </c>
      <c r="V69" s="27">
        <f>Test!I427</f>
        <v>0</v>
      </c>
      <c r="W69" s="14">
        <f t="shared" si="7"/>
        <v>0</v>
      </c>
      <c r="X69" s="14">
        <f t="shared" si="8"/>
        <v>0</v>
      </c>
      <c r="Y69" s="14">
        <f t="shared" si="4"/>
        <v>0</v>
      </c>
      <c r="Z69" s="22">
        <f t="shared" si="4"/>
        <v>0</v>
      </c>
      <c r="AA69" s="39"/>
      <c r="AB69" s="40"/>
      <c r="AC69" s="41"/>
      <c r="AD69" s="41"/>
      <c r="AE69" s="40"/>
      <c r="AF69" s="41"/>
      <c r="AG69" s="42"/>
    </row>
    <row r="70" spans="1:33" ht="12.75" customHeight="1" x14ac:dyDescent="0.2">
      <c r="A70" s="12"/>
      <c r="B70" s="15"/>
      <c r="C70" s="15">
        <v>37</v>
      </c>
      <c r="D70" s="16">
        <f>Reference!B428</f>
        <v>97.92</v>
      </c>
      <c r="E70" s="17">
        <f>Reference!C428</f>
        <v>29.039899999999999</v>
      </c>
      <c r="F70" s="17">
        <f>Reference!D428</f>
        <v>37.92</v>
      </c>
      <c r="G70" s="17">
        <f>Reference!E428</f>
        <v>38.342500000000001</v>
      </c>
      <c r="H70" s="17">
        <f>Reference!F428</f>
        <v>1808</v>
      </c>
      <c r="I70" s="17">
        <f>Reference!G428</f>
        <v>3.8820000000000001</v>
      </c>
      <c r="J70" s="17">
        <f t="shared" si="5"/>
        <v>0.50222222222222224</v>
      </c>
      <c r="K70" s="28">
        <f>Reference!H428</f>
        <v>1110424</v>
      </c>
      <c r="L70" s="29">
        <f>Reference!I428</f>
        <v>371284</v>
      </c>
      <c r="N70" s="16">
        <f>Test!B428</f>
        <v>0</v>
      </c>
      <c r="O70" s="17">
        <f>Test!C428</f>
        <v>0</v>
      </c>
      <c r="P70" s="17">
        <f>Test!D428</f>
        <v>0</v>
      </c>
      <c r="Q70" s="17">
        <f>Test!E428</f>
        <v>0</v>
      </c>
      <c r="R70" s="17">
        <f>Test!F428</f>
        <v>0</v>
      </c>
      <c r="S70" s="17">
        <f>Test!G428</f>
        <v>0</v>
      </c>
      <c r="T70" s="17">
        <f t="shared" si="6"/>
        <v>0</v>
      </c>
      <c r="U70" s="28">
        <f>Test!H428</f>
        <v>0</v>
      </c>
      <c r="V70" s="29">
        <f>Test!I428</f>
        <v>0</v>
      </c>
      <c r="W70" s="14">
        <f t="shared" si="7"/>
        <v>0</v>
      </c>
      <c r="X70" s="14">
        <f t="shared" si="8"/>
        <v>0</v>
      </c>
      <c r="Y70" s="14">
        <f t="shared" si="4"/>
        <v>0</v>
      </c>
      <c r="Z70" s="22">
        <f t="shared" si="4"/>
        <v>0</v>
      </c>
      <c r="AA70" s="39"/>
      <c r="AB70" s="43"/>
      <c r="AC70" s="44"/>
      <c r="AD70" s="44"/>
      <c r="AE70" s="43"/>
      <c r="AF70" s="44"/>
      <c r="AG70" s="45"/>
    </row>
    <row r="71" spans="1:33" x14ac:dyDescent="0.2">
      <c r="A71" s="12"/>
      <c r="B71" s="9" t="s">
        <v>58</v>
      </c>
      <c r="C71" s="9">
        <v>22</v>
      </c>
      <c r="D71" s="10">
        <f>Reference!B429</f>
        <v>1390.3088</v>
      </c>
      <c r="E71" s="11">
        <f>Reference!C429</f>
        <v>38.501100000000001</v>
      </c>
      <c r="F71" s="11">
        <f>Reference!D429</f>
        <v>40.990900000000003</v>
      </c>
      <c r="G71" s="11">
        <f>Reference!E429</f>
        <v>41.906999999999996</v>
      </c>
      <c r="H71" s="11">
        <f>Reference!F429</f>
        <v>5472</v>
      </c>
      <c r="I71" s="11">
        <f>Reference!G429</f>
        <v>5.33</v>
      </c>
      <c r="J71" s="11">
        <f t="shared" si="5"/>
        <v>1.52</v>
      </c>
      <c r="K71" s="24">
        <f>Reference!H429</f>
        <v>1110064</v>
      </c>
      <c r="L71" s="25">
        <f>Reference!I429</f>
        <v>361124</v>
      </c>
      <c r="N71" s="10">
        <f>Test!B429</f>
        <v>0</v>
      </c>
      <c r="O71" s="11">
        <f>Test!C429</f>
        <v>0</v>
      </c>
      <c r="P71" s="11">
        <f>Test!D429</f>
        <v>0</v>
      </c>
      <c r="Q71" s="11">
        <f>Test!E429</f>
        <v>0</v>
      </c>
      <c r="R71" s="11">
        <f>Test!F429</f>
        <v>0</v>
      </c>
      <c r="S71" s="11">
        <f>Test!G429</f>
        <v>0</v>
      </c>
      <c r="T71" s="11">
        <f t="shared" si="6"/>
        <v>0</v>
      </c>
      <c r="U71" s="24">
        <f>Test!H429</f>
        <v>0</v>
      </c>
      <c r="V71" s="25">
        <f>Test!I429</f>
        <v>0</v>
      </c>
      <c r="W71" s="14">
        <f t="shared" si="7"/>
        <v>0</v>
      </c>
      <c r="X71" s="14">
        <f t="shared" si="8"/>
        <v>0</v>
      </c>
      <c r="Y71" s="14">
        <f t="shared" si="4"/>
        <v>0</v>
      </c>
      <c r="Z71" s="22">
        <f t="shared" si="4"/>
        <v>0</v>
      </c>
      <c r="AA71" s="39"/>
      <c r="AB71" s="36" t="e">
        <f>bdrate($D71:$D74,E71:E74,$N71:$N74,O71:O74)</f>
        <v>#VALUE!</v>
      </c>
      <c r="AC71" s="37" t="e">
        <f>bdrate($D71:$D74,F71:F74,$N71:$N74,P71:P74)</f>
        <v>#VALUE!</v>
      </c>
      <c r="AD71" s="37" t="e">
        <f>bdrate($D71:$D74,G71:G74,$N71:$N74,Q71:Q74)</f>
        <v>#VALUE!</v>
      </c>
      <c r="AE71" s="46" t="e">
        <f>bdrateOld($D71:$D74,E71:E74,$N71:$N74,O71:O74)</f>
        <v>#VALUE!</v>
      </c>
      <c r="AF71" s="47" t="e">
        <f>bdrateOld($D71:$D74,F71:F74,$N71:$N74,P71:P74)</f>
        <v>#VALUE!</v>
      </c>
      <c r="AG71" s="49" t="e">
        <f>bdrateOld($D71:$D74,G71:G74,$N71:$N74,Q71:Q74)</f>
        <v>#VALUE!</v>
      </c>
    </row>
    <row r="72" spans="1:33" x14ac:dyDescent="0.2">
      <c r="A72" s="12"/>
      <c r="B72" s="12"/>
      <c r="C72" s="12">
        <v>27</v>
      </c>
      <c r="D72" s="13">
        <f>Reference!B430</f>
        <v>531.26080000000002</v>
      </c>
      <c r="E72" s="14">
        <f>Reference!C430</f>
        <v>34.745199999999997</v>
      </c>
      <c r="F72" s="14">
        <f>Reference!D430</f>
        <v>38.017800000000001</v>
      </c>
      <c r="G72" s="14">
        <f>Reference!E430</f>
        <v>38.819899999999997</v>
      </c>
      <c r="H72" s="14">
        <f>Reference!F430</f>
        <v>3778</v>
      </c>
      <c r="I72" s="14">
        <f>Reference!G430</f>
        <v>4.0860000000000003</v>
      </c>
      <c r="J72" s="14">
        <f t="shared" si="5"/>
        <v>1.0494444444444444</v>
      </c>
      <c r="K72" s="26">
        <f>Reference!H430</f>
        <v>1106836</v>
      </c>
      <c r="L72" s="27">
        <f>Reference!I430</f>
        <v>360472</v>
      </c>
      <c r="N72" s="13">
        <f>Test!B430</f>
        <v>0</v>
      </c>
      <c r="O72" s="14">
        <f>Test!C430</f>
        <v>0</v>
      </c>
      <c r="P72" s="14">
        <f>Test!D430</f>
        <v>0</v>
      </c>
      <c r="Q72" s="14">
        <f>Test!E430</f>
        <v>0</v>
      </c>
      <c r="R72" s="14">
        <f>Test!F430</f>
        <v>0</v>
      </c>
      <c r="S72" s="14">
        <f>Test!G430</f>
        <v>0</v>
      </c>
      <c r="T72" s="14">
        <f t="shared" si="6"/>
        <v>0</v>
      </c>
      <c r="U72" s="26">
        <f>Test!H430</f>
        <v>0</v>
      </c>
      <c r="V72" s="27">
        <f>Test!I430</f>
        <v>0</v>
      </c>
      <c r="W72" s="14">
        <f t="shared" si="7"/>
        <v>0</v>
      </c>
      <c r="X72" s="14">
        <f t="shared" si="8"/>
        <v>0</v>
      </c>
      <c r="Y72" s="14">
        <f t="shared" si="4"/>
        <v>0</v>
      </c>
      <c r="Z72" s="22">
        <f t="shared" si="4"/>
        <v>0</v>
      </c>
      <c r="AA72" s="39"/>
      <c r="AB72" s="40"/>
      <c r="AC72" s="41"/>
      <c r="AD72" s="41"/>
      <c r="AE72" s="40"/>
      <c r="AF72" s="41"/>
      <c r="AG72" s="42"/>
    </row>
    <row r="73" spans="1:33" x14ac:dyDescent="0.2">
      <c r="A73" s="12"/>
      <c r="B73" s="12"/>
      <c r="C73" s="12">
        <v>32</v>
      </c>
      <c r="D73" s="13">
        <f>Reference!B431</f>
        <v>238.74879999999999</v>
      </c>
      <c r="E73" s="14">
        <f>Reference!C431</f>
        <v>31.5931</v>
      </c>
      <c r="F73" s="14">
        <f>Reference!D431</f>
        <v>35.979999999999997</v>
      </c>
      <c r="G73" s="14">
        <f>Reference!E431</f>
        <v>36.624099999999999</v>
      </c>
      <c r="H73" s="14">
        <f>Reference!F431</f>
        <v>2733</v>
      </c>
      <c r="I73" s="14">
        <f>Reference!G431</f>
        <v>2.7850000000000001</v>
      </c>
      <c r="J73" s="14">
        <f t="shared" si="5"/>
        <v>0.75916666666666666</v>
      </c>
      <c r="K73" s="26">
        <f>Reference!H431</f>
        <v>1105268</v>
      </c>
      <c r="L73" s="27">
        <f>Reference!I431</f>
        <v>359076</v>
      </c>
      <c r="N73" s="13">
        <f>Test!B431</f>
        <v>0</v>
      </c>
      <c r="O73" s="14">
        <f>Test!C431</f>
        <v>0</v>
      </c>
      <c r="P73" s="14">
        <f>Test!D431</f>
        <v>0</v>
      </c>
      <c r="Q73" s="14">
        <f>Test!E431</f>
        <v>0</v>
      </c>
      <c r="R73" s="14">
        <f>Test!F431</f>
        <v>0</v>
      </c>
      <c r="S73" s="14">
        <f>Test!G431</f>
        <v>0</v>
      </c>
      <c r="T73" s="14">
        <f t="shared" si="6"/>
        <v>0</v>
      </c>
      <c r="U73" s="26">
        <f>Test!H431</f>
        <v>0</v>
      </c>
      <c r="V73" s="27">
        <f>Test!I431</f>
        <v>0</v>
      </c>
      <c r="W73" s="14">
        <f t="shared" si="7"/>
        <v>0</v>
      </c>
      <c r="X73" s="14">
        <f t="shared" si="8"/>
        <v>0</v>
      </c>
      <c r="Y73" s="14">
        <f t="shared" si="4"/>
        <v>0</v>
      </c>
      <c r="Z73" s="22">
        <f t="shared" si="4"/>
        <v>0</v>
      </c>
      <c r="AA73" s="39"/>
      <c r="AB73" s="40"/>
      <c r="AC73" s="41"/>
      <c r="AD73" s="41"/>
      <c r="AE73" s="40"/>
      <c r="AF73" s="41"/>
      <c r="AG73" s="42"/>
    </row>
    <row r="74" spans="1:33" ht="12.75" customHeight="1" x14ac:dyDescent="0.2">
      <c r="A74" s="12"/>
      <c r="B74" s="15"/>
      <c r="C74" s="15">
        <v>37</v>
      </c>
      <c r="D74" s="16">
        <f>Reference!B432</f>
        <v>110.7376</v>
      </c>
      <c r="E74" s="17">
        <f>Reference!C432</f>
        <v>28.811399999999999</v>
      </c>
      <c r="F74" s="17">
        <f>Reference!D432</f>
        <v>34.560499999999998</v>
      </c>
      <c r="G74" s="17">
        <f>Reference!E432</f>
        <v>35.162300000000002</v>
      </c>
      <c r="H74" s="17">
        <f>Reference!F432</f>
        <v>2106</v>
      </c>
      <c r="I74" s="17">
        <f>Reference!G432</f>
        <v>1.9450000000000001</v>
      </c>
      <c r="J74" s="17">
        <f t="shared" si="5"/>
        <v>0.58499999999999996</v>
      </c>
      <c r="K74" s="28">
        <f>Reference!H432</f>
        <v>1103776</v>
      </c>
      <c r="L74" s="29">
        <f>Reference!I432</f>
        <v>358956</v>
      </c>
      <c r="N74" s="16">
        <f>Test!B432</f>
        <v>0</v>
      </c>
      <c r="O74" s="17">
        <f>Test!C432</f>
        <v>0</v>
      </c>
      <c r="P74" s="17">
        <f>Test!D432</f>
        <v>0</v>
      </c>
      <c r="Q74" s="17">
        <f>Test!E432</f>
        <v>0</v>
      </c>
      <c r="R74" s="17">
        <f>Test!F432</f>
        <v>0</v>
      </c>
      <c r="S74" s="17">
        <f>Test!G432</f>
        <v>0</v>
      </c>
      <c r="T74" s="17">
        <f t="shared" si="6"/>
        <v>0</v>
      </c>
      <c r="U74" s="28">
        <f>Test!H432</f>
        <v>0</v>
      </c>
      <c r="V74" s="29">
        <f>Test!I432</f>
        <v>0</v>
      </c>
      <c r="W74" s="14">
        <f t="shared" si="7"/>
        <v>0</v>
      </c>
      <c r="X74" s="14">
        <f t="shared" si="8"/>
        <v>0</v>
      </c>
      <c r="Y74" s="14">
        <f t="shared" si="4"/>
        <v>0</v>
      </c>
      <c r="Z74" s="22">
        <f t="shared" si="4"/>
        <v>0</v>
      </c>
      <c r="AA74" s="39"/>
      <c r="AB74" s="43"/>
      <c r="AC74" s="44"/>
      <c r="AD74" s="44"/>
      <c r="AE74" s="43"/>
      <c r="AF74" s="44"/>
      <c r="AG74" s="45"/>
    </row>
    <row r="75" spans="1:33" x14ac:dyDescent="0.2">
      <c r="A75" s="12"/>
      <c r="B75" s="9" t="s">
        <v>87</v>
      </c>
      <c r="C75" s="9">
        <v>22</v>
      </c>
      <c r="D75" s="10">
        <f>Reference!B433</f>
        <v>1025.5424</v>
      </c>
      <c r="E75" s="11">
        <f>Reference!C433</f>
        <v>39.298099999999998</v>
      </c>
      <c r="F75" s="11">
        <f>Reference!D433</f>
        <v>40.481000000000002</v>
      </c>
      <c r="G75" s="11">
        <f>Reference!E433</f>
        <v>41.849400000000003</v>
      </c>
      <c r="H75" s="11">
        <f>Reference!F433</f>
        <v>4089</v>
      </c>
      <c r="I75" s="11">
        <f>Reference!G433</f>
        <v>3.4609999999999999</v>
      </c>
      <c r="J75" s="11">
        <f t="shared" si="5"/>
        <v>1.1358333333333333</v>
      </c>
      <c r="K75" s="24">
        <f>Reference!H433</f>
        <v>1105716</v>
      </c>
      <c r="L75" s="25">
        <f>Reference!I433</f>
        <v>333672</v>
      </c>
      <c r="N75" s="10">
        <f>Test!B433</f>
        <v>0</v>
      </c>
      <c r="O75" s="11">
        <f>Test!C433</f>
        <v>0</v>
      </c>
      <c r="P75" s="11">
        <f>Test!D433</f>
        <v>0</v>
      </c>
      <c r="Q75" s="11">
        <f>Test!E433</f>
        <v>0</v>
      </c>
      <c r="R75" s="11">
        <f>Test!F433</f>
        <v>0</v>
      </c>
      <c r="S75" s="11">
        <f>Test!G433</f>
        <v>0</v>
      </c>
      <c r="T75" s="11">
        <f t="shared" si="6"/>
        <v>0</v>
      </c>
      <c r="U75" s="24">
        <f>Test!H433</f>
        <v>0</v>
      </c>
      <c r="V75" s="25">
        <f>Test!I433</f>
        <v>0</v>
      </c>
      <c r="W75" s="14">
        <f t="shared" si="7"/>
        <v>0</v>
      </c>
      <c r="X75" s="14">
        <f t="shared" si="8"/>
        <v>0</v>
      </c>
      <c r="Y75" s="14">
        <f t="shared" si="4"/>
        <v>0</v>
      </c>
      <c r="Z75" s="22">
        <f t="shared" si="4"/>
        <v>0</v>
      </c>
      <c r="AA75" s="39"/>
      <c r="AB75" s="36" t="e">
        <f>bdrate($D75:$D78,E75:E78,$N75:$N78,O75:O78)</f>
        <v>#VALUE!</v>
      </c>
      <c r="AC75" s="37" t="e">
        <f>bdrate($D75:$D78,F75:F78,$N75:$N78,P75:P78)</f>
        <v>#VALUE!</v>
      </c>
      <c r="AD75" s="37" t="e">
        <f>bdrate($D75:$D78,G75:G78,$N75:$N78,Q75:Q78)</f>
        <v>#VALUE!</v>
      </c>
      <c r="AE75" s="46" t="e">
        <f>bdrateOld($D75:$D78,E75:E78,$N75:$N78,O75:O78)</f>
        <v>#VALUE!</v>
      </c>
      <c r="AF75" s="47" t="e">
        <f>bdrateOld($D75:$D78,F75:F78,$N75:$N78,P75:P78)</f>
        <v>#VALUE!</v>
      </c>
      <c r="AG75" s="49" t="e">
        <f>bdrateOld($D75:$D78,G75:G78,$N75:$N78,Q75:Q78)</f>
        <v>#VALUE!</v>
      </c>
    </row>
    <row r="76" spans="1:33" x14ac:dyDescent="0.2">
      <c r="A76" s="12"/>
      <c r="B76" s="12"/>
      <c r="C76" s="12">
        <v>27</v>
      </c>
      <c r="D76" s="13">
        <f>Reference!B434</f>
        <v>434.57440000000003</v>
      </c>
      <c r="E76" s="14">
        <f>Reference!C434</f>
        <v>34.775199999999998</v>
      </c>
      <c r="F76" s="14">
        <f>Reference!D434</f>
        <v>37.528599999999997</v>
      </c>
      <c r="G76" s="14">
        <f>Reference!E434</f>
        <v>38.563600000000001</v>
      </c>
      <c r="H76" s="14">
        <f>Reference!F434</f>
        <v>3151</v>
      </c>
      <c r="I76" s="14">
        <f>Reference!G434</f>
        <v>2.9209999999999998</v>
      </c>
      <c r="J76" s="14">
        <f t="shared" si="5"/>
        <v>0.87527777777777782</v>
      </c>
      <c r="K76" s="26">
        <f>Reference!H434</f>
        <v>1104292</v>
      </c>
      <c r="L76" s="27">
        <f>Reference!I434</f>
        <v>333444</v>
      </c>
      <c r="N76" s="13">
        <f>Test!B434</f>
        <v>0</v>
      </c>
      <c r="O76" s="14">
        <f>Test!C434</f>
        <v>0</v>
      </c>
      <c r="P76" s="14">
        <f>Test!D434</f>
        <v>0</v>
      </c>
      <c r="Q76" s="14">
        <f>Test!E434</f>
        <v>0</v>
      </c>
      <c r="R76" s="14">
        <f>Test!F434</f>
        <v>0</v>
      </c>
      <c r="S76" s="14">
        <f>Test!G434</f>
        <v>0</v>
      </c>
      <c r="T76" s="14">
        <f t="shared" si="6"/>
        <v>0</v>
      </c>
      <c r="U76" s="26">
        <f>Test!H434</f>
        <v>0</v>
      </c>
      <c r="V76" s="27">
        <f>Test!I434</f>
        <v>0</v>
      </c>
      <c r="W76" s="14">
        <f t="shared" si="7"/>
        <v>0</v>
      </c>
      <c r="X76" s="14">
        <f t="shared" si="8"/>
        <v>0</v>
      </c>
      <c r="Y76" s="14">
        <f t="shared" si="4"/>
        <v>0</v>
      </c>
      <c r="Z76" s="22">
        <f t="shared" si="4"/>
        <v>0</v>
      </c>
      <c r="AA76" s="39"/>
      <c r="AB76" s="40"/>
      <c r="AC76" s="41"/>
      <c r="AD76" s="41"/>
      <c r="AE76" s="40"/>
      <c r="AF76" s="41"/>
      <c r="AG76" s="42"/>
    </row>
    <row r="77" spans="1:33" x14ac:dyDescent="0.2">
      <c r="A77" s="12"/>
      <c r="B77" s="12"/>
      <c r="C77" s="12">
        <v>32</v>
      </c>
      <c r="D77" s="13">
        <f>Reference!B435</f>
        <v>192.90880000000001</v>
      </c>
      <c r="E77" s="14">
        <f>Reference!C435</f>
        <v>31.110900000000001</v>
      </c>
      <c r="F77" s="14">
        <f>Reference!D435</f>
        <v>35.941200000000002</v>
      </c>
      <c r="G77" s="14">
        <f>Reference!E435</f>
        <v>36.691000000000003</v>
      </c>
      <c r="H77" s="14">
        <f>Reference!F435</f>
        <v>2348</v>
      </c>
      <c r="I77" s="14">
        <f>Reference!G435</f>
        <v>2.4849999999999999</v>
      </c>
      <c r="J77" s="14">
        <f t="shared" si="5"/>
        <v>0.65222222222222226</v>
      </c>
      <c r="K77" s="26">
        <f>Reference!H435</f>
        <v>1104004</v>
      </c>
      <c r="L77" s="27">
        <f>Reference!I435</f>
        <v>332532</v>
      </c>
      <c r="N77" s="13">
        <f>Test!B435</f>
        <v>0</v>
      </c>
      <c r="O77" s="14">
        <f>Test!C435</f>
        <v>0</v>
      </c>
      <c r="P77" s="14">
        <f>Test!D435</f>
        <v>0</v>
      </c>
      <c r="Q77" s="14">
        <f>Test!E435</f>
        <v>0</v>
      </c>
      <c r="R77" s="14">
        <f>Test!F435</f>
        <v>0</v>
      </c>
      <c r="S77" s="14">
        <f>Test!G435</f>
        <v>0</v>
      </c>
      <c r="T77" s="14">
        <f t="shared" si="6"/>
        <v>0</v>
      </c>
      <c r="U77" s="26">
        <f>Test!H435</f>
        <v>0</v>
      </c>
      <c r="V77" s="27">
        <f>Test!I435</f>
        <v>0</v>
      </c>
      <c r="W77" s="14">
        <f t="shared" si="7"/>
        <v>0</v>
      </c>
      <c r="X77" s="14">
        <f t="shared" si="8"/>
        <v>0</v>
      </c>
      <c r="Y77" s="14">
        <f t="shared" si="4"/>
        <v>0</v>
      </c>
      <c r="Z77" s="22">
        <f t="shared" si="4"/>
        <v>0</v>
      </c>
      <c r="AA77" s="39"/>
      <c r="AB77" s="40"/>
      <c r="AC77" s="41"/>
      <c r="AD77" s="41"/>
      <c r="AE77" s="40"/>
      <c r="AF77" s="41"/>
      <c r="AG77" s="42"/>
    </row>
    <row r="78" spans="1:33" ht="12.75" customHeight="1" x14ac:dyDescent="0.2">
      <c r="A78" s="15"/>
      <c r="B78" s="15"/>
      <c r="C78" s="15">
        <v>37</v>
      </c>
      <c r="D78" s="16">
        <f>Reference!B436</f>
        <v>91.334400000000002</v>
      </c>
      <c r="E78" s="17">
        <f>Reference!C436</f>
        <v>28.5474</v>
      </c>
      <c r="F78" s="17">
        <f>Reference!D436</f>
        <v>34.4499</v>
      </c>
      <c r="G78" s="17">
        <f>Reference!E436</f>
        <v>34.877200000000002</v>
      </c>
      <c r="H78" s="17">
        <f>Reference!F436</f>
        <v>1686</v>
      </c>
      <c r="I78" s="17">
        <f>Reference!G436</f>
        <v>2.0680000000000001</v>
      </c>
      <c r="J78" s="17">
        <f t="shared" si="5"/>
        <v>0.46833333333333332</v>
      </c>
      <c r="K78" s="28">
        <f>Reference!H436</f>
        <v>1103312</v>
      </c>
      <c r="L78" s="29">
        <f>Reference!I436</f>
        <v>331704</v>
      </c>
      <c r="N78" s="16">
        <f>Test!B436</f>
        <v>0</v>
      </c>
      <c r="O78" s="17">
        <f>Test!C436</f>
        <v>0</v>
      </c>
      <c r="P78" s="17">
        <f>Test!D436</f>
        <v>0</v>
      </c>
      <c r="Q78" s="17">
        <f>Test!E436</f>
        <v>0</v>
      </c>
      <c r="R78" s="17">
        <f>Test!F436</f>
        <v>0</v>
      </c>
      <c r="S78" s="17">
        <f>Test!G436</f>
        <v>0</v>
      </c>
      <c r="T78" s="17">
        <f t="shared" si="6"/>
        <v>0</v>
      </c>
      <c r="U78" s="28">
        <f>Test!H436</f>
        <v>0</v>
      </c>
      <c r="V78" s="29">
        <f>Test!I436</f>
        <v>0</v>
      </c>
      <c r="W78" s="17">
        <f t="shared" si="7"/>
        <v>0</v>
      </c>
      <c r="X78" s="17">
        <f t="shared" si="8"/>
        <v>0</v>
      </c>
      <c r="Y78" s="17">
        <f t="shared" si="4"/>
        <v>0</v>
      </c>
      <c r="Z78" s="23">
        <f t="shared" si="4"/>
        <v>0</v>
      </c>
      <c r="AA78" s="48"/>
      <c r="AB78" s="43"/>
      <c r="AC78" s="44"/>
      <c r="AD78" s="44"/>
      <c r="AE78" s="43"/>
      <c r="AF78" s="44"/>
      <c r="AG78" s="45"/>
    </row>
    <row r="79" spans="1:33" x14ac:dyDescent="0.2">
      <c r="A79" s="9" t="s">
        <v>24</v>
      </c>
      <c r="B79" s="9" t="s">
        <v>88</v>
      </c>
      <c r="C79" s="9">
        <v>22</v>
      </c>
      <c r="D79" s="10">
        <f>Reference!B437</f>
        <v>1924.52</v>
      </c>
      <c r="E79" s="11">
        <f>Reference!C437</f>
        <v>42.984699999999997</v>
      </c>
      <c r="F79" s="11">
        <f>Reference!D437</f>
        <v>47.216200000000001</v>
      </c>
      <c r="G79" s="11">
        <f>Reference!E437</f>
        <v>48.468499999999999</v>
      </c>
      <c r="H79" s="11">
        <f>Reference!F437</f>
        <v>22406</v>
      </c>
      <c r="I79" s="11">
        <f>Reference!G437</f>
        <v>26.443000000000001</v>
      </c>
      <c r="J79" s="11">
        <f t="shared" si="5"/>
        <v>6.2238888888888892</v>
      </c>
      <c r="K79" s="24">
        <f>Reference!H437</f>
        <v>2210332</v>
      </c>
      <c r="L79" s="25">
        <f>Reference!I437</f>
        <v>508460</v>
      </c>
      <c r="N79" s="10">
        <f>Test!B437</f>
        <v>0</v>
      </c>
      <c r="O79" s="11">
        <f>Test!C437</f>
        <v>0</v>
      </c>
      <c r="P79" s="11">
        <f>Test!D437</f>
        <v>0</v>
      </c>
      <c r="Q79" s="11">
        <f>Test!E437</f>
        <v>0</v>
      </c>
      <c r="R79" s="11">
        <f>Test!F437</f>
        <v>0</v>
      </c>
      <c r="S79" s="11">
        <f>Test!G437</f>
        <v>0</v>
      </c>
      <c r="T79" s="11">
        <f t="shared" si="6"/>
        <v>0</v>
      </c>
      <c r="U79" s="24">
        <f>Test!H437</f>
        <v>0</v>
      </c>
      <c r="V79" s="25">
        <f>Test!I437</f>
        <v>0</v>
      </c>
      <c r="W79" s="11">
        <f t="shared" si="7"/>
        <v>0</v>
      </c>
      <c r="X79" s="11">
        <f t="shared" si="8"/>
        <v>0</v>
      </c>
      <c r="Y79" s="11">
        <f t="shared" si="4"/>
        <v>0</v>
      </c>
      <c r="Z79" s="21">
        <f t="shared" si="4"/>
        <v>0</v>
      </c>
      <c r="AA79" s="35"/>
      <c r="AB79" s="36" t="e">
        <f>bdrate($D79:$D82,E79:E82,$N79:$N82,O79:O82)</f>
        <v>#VALUE!</v>
      </c>
      <c r="AC79" s="37" t="e">
        <f>bdrate($D79:$D82,F79:F82,$N79:$N82,P79:P82)</f>
        <v>#VALUE!</v>
      </c>
      <c r="AD79" s="38" t="e">
        <f>bdrate($D79:$D82,G79:G82,$N79:$N82,Q79:Q82)</f>
        <v>#VALUE!</v>
      </c>
      <c r="AE79" s="36" t="e">
        <f>bdrateOld($D79:$D82,E79:E82,$N79:$N82,O79:O82)</f>
        <v>#VALUE!</v>
      </c>
      <c r="AF79" s="37" t="e">
        <f>bdrateOld($D79:$D82,F79:F82,$N79:$N82,P79:P82)</f>
        <v>#VALUE!</v>
      </c>
      <c r="AG79" s="38" t="e">
        <f>bdrateOld($D79:$D82,G79:G82,$N79:$N82,Q79:Q82)</f>
        <v>#VALUE!</v>
      </c>
    </row>
    <row r="80" spans="1:33" x14ac:dyDescent="0.2">
      <c r="A80" s="12" t="s">
        <v>115</v>
      </c>
      <c r="B80" s="12"/>
      <c r="C80" s="12">
        <v>27</v>
      </c>
      <c r="D80" s="13">
        <f>Reference!B438</f>
        <v>704.39679999999998</v>
      </c>
      <c r="E80" s="14">
        <f>Reference!C438</f>
        <v>40.872</v>
      </c>
      <c r="F80" s="14">
        <f>Reference!D438</f>
        <v>45.461500000000001</v>
      </c>
      <c r="G80" s="14">
        <f>Reference!E438</f>
        <v>46.481299999999997</v>
      </c>
      <c r="H80" s="14">
        <f>Reference!F438</f>
        <v>15207</v>
      </c>
      <c r="I80" s="14">
        <f>Reference!G438</f>
        <v>16.417999999999999</v>
      </c>
      <c r="J80" s="14">
        <f t="shared" si="5"/>
        <v>4.2241666666666671</v>
      </c>
      <c r="K80" s="26">
        <f>Reference!H438</f>
        <v>2209768</v>
      </c>
      <c r="L80" s="27">
        <f>Reference!I438</f>
        <v>504756</v>
      </c>
      <c r="N80" s="13">
        <f>Test!B438</f>
        <v>0</v>
      </c>
      <c r="O80" s="14">
        <f>Test!C438</f>
        <v>0</v>
      </c>
      <c r="P80" s="14">
        <f>Test!D438</f>
        <v>0</v>
      </c>
      <c r="Q80" s="14">
        <f>Test!E438</f>
        <v>0</v>
      </c>
      <c r="R80" s="14">
        <f>Test!F438</f>
        <v>0</v>
      </c>
      <c r="S80" s="14">
        <f>Test!G438</f>
        <v>0</v>
      </c>
      <c r="T80" s="14">
        <f t="shared" si="6"/>
        <v>0</v>
      </c>
      <c r="U80" s="26">
        <f>Test!H438</f>
        <v>0</v>
      </c>
      <c r="V80" s="27">
        <f>Test!I438</f>
        <v>0</v>
      </c>
      <c r="W80" s="14">
        <f t="shared" si="7"/>
        <v>0</v>
      </c>
      <c r="X80" s="14">
        <f t="shared" si="8"/>
        <v>0</v>
      </c>
      <c r="Y80" s="14">
        <f t="shared" si="4"/>
        <v>0</v>
      </c>
      <c r="Z80" s="22">
        <f t="shared" si="4"/>
        <v>0</v>
      </c>
      <c r="AA80" s="39"/>
      <c r="AB80" s="40"/>
      <c r="AC80" s="41"/>
      <c r="AD80" s="42"/>
      <c r="AE80" s="40"/>
      <c r="AF80" s="41"/>
      <c r="AG80" s="42"/>
    </row>
    <row r="81" spans="1:33" x14ac:dyDescent="0.2">
      <c r="A81" s="12"/>
      <c r="B81" s="12"/>
      <c r="C81" s="12">
        <v>32</v>
      </c>
      <c r="D81" s="13">
        <f>Reference!B439</f>
        <v>353.35039999999998</v>
      </c>
      <c r="E81" s="14">
        <f>Reference!C439</f>
        <v>38.456400000000002</v>
      </c>
      <c r="F81" s="14">
        <f>Reference!D439</f>
        <v>43.566099999999999</v>
      </c>
      <c r="G81" s="14">
        <f>Reference!E439</f>
        <v>44.338700000000003</v>
      </c>
      <c r="H81" s="14">
        <f>Reference!F439</f>
        <v>11691</v>
      </c>
      <c r="I81" s="14">
        <f>Reference!G439</f>
        <v>12.164</v>
      </c>
      <c r="J81" s="14">
        <f t="shared" si="5"/>
        <v>3.2475000000000001</v>
      </c>
      <c r="K81" s="26">
        <f>Reference!H439</f>
        <v>2203488</v>
      </c>
      <c r="L81" s="27">
        <f>Reference!I439</f>
        <v>498668</v>
      </c>
      <c r="N81" s="13">
        <f>Test!B439</f>
        <v>0</v>
      </c>
      <c r="O81" s="14">
        <f>Test!C439</f>
        <v>0</v>
      </c>
      <c r="P81" s="14">
        <f>Test!D439</f>
        <v>0</v>
      </c>
      <c r="Q81" s="14">
        <f>Test!E439</f>
        <v>0</v>
      </c>
      <c r="R81" s="14">
        <f>Test!F439</f>
        <v>0</v>
      </c>
      <c r="S81" s="14">
        <f>Test!G439</f>
        <v>0</v>
      </c>
      <c r="T81" s="14">
        <f t="shared" si="6"/>
        <v>0</v>
      </c>
      <c r="U81" s="26">
        <f>Test!H439</f>
        <v>0</v>
      </c>
      <c r="V81" s="27">
        <f>Test!I439</f>
        <v>0</v>
      </c>
      <c r="W81" s="14">
        <f t="shared" si="7"/>
        <v>0</v>
      </c>
      <c r="X81" s="14">
        <f t="shared" si="8"/>
        <v>0</v>
      </c>
      <c r="Y81" s="14">
        <f t="shared" si="4"/>
        <v>0</v>
      </c>
      <c r="Z81" s="22">
        <f t="shared" si="4"/>
        <v>0</v>
      </c>
      <c r="AA81" s="39"/>
      <c r="AB81" s="40"/>
      <c r="AC81" s="41"/>
      <c r="AD81" s="42"/>
      <c r="AE81" s="40"/>
      <c r="AF81" s="41"/>
      <c r="AG81" s="42"/>
    </row>
    <row r="82" spans="1:33" ht="12.75" customHeight="1" x14ac:dyDescent="0.2">
      <c r="A82" s="12"/>
      <c r="B82" s="15"/>
      <c r="C82" s="15">
        <v>37</v>
      </c>
      <c r="D82" s="16">
        <f>Reference!B440</f>
        <v>191.864</v>
      </c>
      <c r="E82" s="17">
        <f>Reference!C440</f>
        <v>35.762</v>
      </c>
      <c r="F82" s="17">
        <f>Reference!D440</f>
        <v>41.936</v>
      </c>
      <c r="G82" s="17">
        <f>Reference!E440</f>
        <v>42.6676</v>
      </c>
      <c r="H82" s="17">
        <f>Reference!F440</f>
        <v>9898</v>
      </c>
      <c r="I82" s="17">
        <f>Reference!G440</f>
        <v>8.4</v>
      </c>
      <c r="J82" s="17">
        <f t="shared" si="5"/>
        <v>2.7494444444444444</v>
      </c>
      <c r="K82" s="28">
        <f>Reference!H440</f>
        <v>2196408</v>
      </c>
      <c r="L82" s="29">
        <f>Reference!I440</f>
        <v>496828</v>
      </c>
      <c r="N82" s="16">
        <f>Test!B440</f>
        <v>0</v>
      </c>
      <c r="O82" s="17">
        <f>Test!C440</f>
        <v>0</v>
      </c>
      <c r="P82" s="17">
        <f>Test!D440</f>
        <v>0</v>
      </c>
      <c r="Q82" s="17">
        <f>Test!E440</f>
        <v>0</v>
      </c>
      <c r="R82" s="17">
        <f>Test!F440</f>
        <v>0</v>
      </c>
      <c r="S82" s="17">
        <f>Test!G440</f>
        <v>0</v>
      </c>
      <c r="T82" s="17">
        <f t="shared" si="6"/>
        <v>0</v>
      </c>
      <c r="U82" s="28">
        <f>Test!H440</f>
        <v>0</v>
      </c>
      <c r="V82" s="29">
        <f>Test!I440</f>
        <v>0</v>
      </c>
      <c r="W82" s="14">
        <f t="shared" si="7"/>
        <v>0</v>
      </c>
      <c r="X82" s="14">
        <f t="shared" si="8"/>
        <v>0</v>
      </c>
      <c r="Y82" s="14">
        <f t="shared" si="4"/>
        <v>0</v>
      </c>
      <c r="Z82" s="22">
        <f t="shared" si="4"/>
        <v>0</v>
      </c>
      <c r="AA82" s="39"/>
      <c r="AB82" s="43"/>
      <c r="AC82" s="44"/>
      <c r="AD82" s="45"/>
      <c r="AE82" s="43"/>
      <c r="AF82" s="44"/>
      <c r="AG82" s="45"/>
    </row>
    <row r="83" spans="1:33" x14ac:dyDescent="0.2">
      <c r="A83" s="12"/>
      <c r="B83" s="9" t="s">
        <v>89</v>
      </c>
      <c r="C83" s="9">
        <v>22</v>
      </c>
      <c r="D83" s="10">
        <f>Reference!B441</f>
        <v>1406.2288000000001</v>
      </c>
      <c r="E83" s="11">
        <f>Reference!C441</f>
        <v>43.225099999999998</v>
      </c>
      <c r="F83" s="11">
        <f>Reference!D441</f>
        <v>48.6875</v>
      </c>
      <c r="G83" s="11">
        <f>Reference!E441</f>
        <v>49.303899999999999</v>
      </c>
      <c r="H83" s="11">
        <f>Reference!F441</f>
        <v>21593</v>
      </c>
      <c r="I83" s="11">
        <f>Reference!G441</f>
        <v>21.341999999999999</v>
      </c>
      <c r="J83" s="11">
        <f t="shared" si="5"/>
        <v>5.9980555555555553</v>
      </c>
      <c r="K83" s="24">
        <f>Reference!H441</f>
        <v>2200956</v>
      </c>
      <c r="L83" s="25">
        <f>Reference!I441</f>
        <v>499064</v>
      </c>
      <c r="N83" s="10">
        <f>Test!B441</f>
        <v>0</v>
      </c>
      <c r="O83" s="11">
        <f>Test!C441</f>
        <v>0</v>
      </c>
      <c r="P83" s="11">
        <f>Test!D441</f>
        <v>0</v>
      </c>
      <c r="Q83" s="11">
        <f>Test!E441</f>
        <v>0</v>
      </c>
      <c r="R83" s="11">
        <f>Test!F441</f>
        <v>0</v>
      </c>
      <c r="S83" s="11">
        <f>Test!G441</f>
        <v>0</v>
      </c>
      <c r="T83" s="11">
        <f t="shared" si="6"/>
        <v>0</v>
      </c>
      <c r="U83" s="24">
        <f>Test!H441</f>
        <v>0</v>
      </c>
      <c r="V83" s="25">
        <f>Test!I441</f>
        <v>0</v>
      </c>
      <c r="W83" s="14">
        <f t="shared" si="7"/>
        <v>0</v>
      </c>
      <c r="X83" s="14">
        <f t="shared" si="8"/>
        <v>0</v>
      </c>
      <c r="Y83" s="14">
        <f t="shared" si="4"/>
        <v>0</v>
      </c>
      <c r="Z83" s="22">
        <f t="shared" si="4"/>
        <v>0</v>
      </c>
      <c r="AA83" s="39"/>
      <c r="AB83" s="36" t="e">
        <f>bdrate($D83:$D86,E83:E86,$N83:$N86,O83:O86)</f>
        <v>#VALUE!</v>
      </c>
      <c r="AC83" s="37" t="e">
        <f>bdrate($D83:$D86,F83:F86,$N83:$N86,P83:P86)</f>
        <v>#VALUE!</v>
      </c>
      <c r="AD83" s="37" t="e">
        <f>bdrate($D83:$D86,G83:G86,$N83:$N86,Q83:Q86)</f>
        <v>#VALUE!</v>
      </c>
      <c r="AE83" s="46" t="e">
        <f>bdrateOld($D83:$D86,E83:E86,$N83:$N86,O83:O86)</f>
        <v>#VALUE!</v>
      </c>
      <c r="AF83" s="47" t="e">
        <f>bdrateOld($D83:$D86,F83:F86,$N83:$N86,P83:P86)</f>
        <v>#VALUE!</v>
      </c>
      <c r="AG83" s="49" t="e">
        <f>bdrateOld($D83:$D86,G83:G86,$N83:$N86,Q83:Q86)</f>
        <v>#VALUE!</v>
      </c>
    </row>
    <row r="84" spans="1:33" x14ac:dyDescent="0.2">
      <c r="A84" s="12"/>
      <c r="B84" s="12"/>
      <c r="C84" s="12">
        <v>27</v>
      </c>
      <c r="D84" s="13">
        <f>Reference!B442</f>
        <v>369.74079999999998</v>
      </c>
      <c r="E84" s="14">
        <f>Reference!C442</f>
        <v>41.704999999999998</v>
      </c>
      <c r="F84" s="14">
        <f>Reference!D442</f>
        <v>47.443899999999999</v>
      </c>
      <c r="G84" s="14">
        <f>Reference!E442</f>
        <v>47.9041</v>
      </c>
      <c r="H84" s="14">
        <f>Reference!F442</f>
        <v>12989</v>
      </c>
      <c r="I84" s="14">
        <f>Reference!G442</f>
        <v>13.925000000000001</v>
      </c>
      <c r="J84" s="14">
        <f t="shared" si="5"/>
        <v>3.6080555555555556</v>
      </c>
      <c r="K84" s="26">
        <f>Reference!H442</f>
        <v>2197052</v>
      </c>
      <c r="L84" s="27">
        <f>Reference!I442</f>
        <v>494488</v>
      </c>
      <c r="N84" s="13">
        <f>Test!B442</f>
        <v>0</v>
      </c>
      <c r="O84" s="14">
        <f>Test!C442</f>
        <v>0</v>
      </c>
      <c r="P84" s="14">
        <f>Test!D442</f>
        <v>0</v>
      </c>
      <c r="Q84" s="14">
        <f>Test!E442</f>
        <v>0</v>
      </c>
      <c r="R84" s="14">
        <f>Test!F442</f>
        <v>0</v>
      </c>
      <c r="S84" s="14">
        <f>Test!G442</f>
        <v>0</v>
      </c>
      <c r="T84" s="14">
        <f t="shared" si="6"/>
        <v>0</v>
      </c>
      <c r="U84" s="26">
        <f>Test!H442</f>
        <v>0</v>
      </c>
      <c r="V84" s="27">
        <f>Test!I442</f>
        <v>0</v>
      </c>
      <c r="W84" s="14">
        <f t="shared" si="7"/>
        <v>0</v>
      </c>
      <c r="X84" s="14">
        <f t="shared" si="8"/>
        <v>0</v>
      </c>
      <c r="Y84" s="14">
        <f t="shared" si="4"/>
        <v>0</v>
      </c>
      <c r="Z84" s="22">
        <f t="shared" si="4"/>
        <v>0</v>
      </c>
      <c r="AA84" s="39"/>
      <c r="AB84" s="40"/>
      <c r="AC84" s="41"/>
      <c r="AD84" s="41"/>
      <c r="AE84" s="40"/>
      <c r="AF84" s="41"/>
      <c r="AG84" s="42"/>
    </row>
    <row r="85" spans="1:33" x14ac:dyDescent="0.2">
      <c r="A85" s="12"/>
      <c r="B85" s="12"/>
      <c r="C85" s="12">
        <v>32</v>
      </c>
      <c r="D85" s="13">
        <f>Reference!B443</f>
        <v>167.95679999999999</v>
      </c>
      <c r="E85" s="14">
        <f>Reference!C443</f>
        <v>39.916499999999999</v>
      </c>
      <c r="F85" s="14">
        <f>Reference!D443</f>
        <v>45.724299999999999</v>
      </c>
      <c r="G85" s="14">
        <f>Reference!E443</f>
        <v>46.095599999999997</v>
      </c>
      <c r="H85" s="14">
        <f>Reference!F443</f>
        <v>9916</v>
      </c>
      <c r="I85" s="14">
        <f>Reference!G443</f>
        <v>9.6419999999999995</v>
      </c>
      <c r="J85" s="14">
        <f t="shared" si="5"/>
        <v>2.7544444444444443</v>
      </c>
      <c r="K85" s="26">
        <f>Reference!H443</f>
        <v>2194016</v>
      </c>
      <c r="L85" s="27">
        <f>Reference!I443</f>
        <v>491800</v>
      </c>
      <c r="N85" s="13">
        <f>Test!B443</f>
        <v>0</v>
      </c>
      <c r="O85" s="14">
        <f>Test!C443</f>
        <v>0</v>
      </c>
      <c r="P85" s="14">
        <f>Test!D443</f>
        <v>0</v>
      </c>
      <c r="Q85" s="14">
        <f>Test!E443</f>
        <v>0</v>
      </c>
      <c r="R85" s="14">
        <f>Test!F443</f>
        <v>0</v>
      </c>
      <c r="S85" s="14">
        <f>Test!G443</f>
        <v>0</v>
      </c>
      <c r="T85" s="14">
        <f t="shared" si="6"/>
        <v>0</v>
      </c>
      <c r="U85" s="26">
        <f>Test!H443</f>
        <v>0</v>
      </c>
      <c r="V85" s="27">
        <f>Test!I443</f>
        <v>0</v>
      </c>
      <c r="W85" s="14">
        <f t="shared" si="7"/>
        <v>0</v>
      </c>
      <c r="X85" s="14">
        <f t="shared" si="8"/>
        <v>0</v>
      </c>
      <c r="Y85" s="14">
        <f t="shared" si="4"/>
        <v>0</v>
      </c>
      <c r="Z85" s="22">
        <f t="shared" si="4"/>
        <v>0</v>
      </c>
      <c r="AA85" s="39"/>
      <c r="AB85" s="40"/>
      <c r="AC85" s="41"/>
      <c r="AD85" s="41"/>
      <c r="AE85" s="40"/>
      <c r="AF85" s="41"/>
      <c r="AG85" s="42"/>
    </row>
    <row r="86" spans="1:33" ht="12.75" customHeight="1" x14ac:dyDescent="0.2">
      <c r="A86" s="12"/>
      <c r="B86" s="15"/>
      <c r="C86" s="15">
        <v>37</v>
      </c>
      <c r="D86" s="16">
        <f>Reference!B444</f>
        <v>92.105599999999995</v>
      </c>
      <c r="E86" s="17">
        <f>Reference!C444</f>
        <v>37.769500000000001</v>
      </c>
      <c r="F86" s="17">
        <f>Reference!D444</f>
        <v>44.190100000000001</v>
      </c>
      <c r="G86" s="17">
        <f>Reference!E444</f>
        <v>44.470199999999998</v>
      </c>
      <c r="H86" s="17">
        <f>Reference!F444</f>
        <v>8232</v>
      </c>
      <c r="I86" s="17">
        <f>Reference!G444</f>
        <v>7.86</v>
      </c>
      <c r="J86" s="17">
        <f t="shared" si="5"/>
        <v>2.2866666666666666</v>
      </c>
      <c r="K86" s="28">
        <f>Reference!H444</f>
        <v>2191784</v>
      </c>
      <c r="L86" s="29">
        <f>Reference!I444</f>
        <v>490460</v>
      </c>
      <c r="N86" s="16">
        <f>Test!B444</f>
        <v>0</v>
      </c>
      <c r="O86" s="17">
        <f>Test!C444</f>
        <v>0</v>
      </c>
      <c r="P86" s="17">
        <f>Test!D444</f>
        <v>0</v>
      </c>
      <c r="Q86" s="17">
        <f>Test!E444</f>
        <v>0</v>
      </c>
      <c r="R86" s="17">
        <f>Test!F444</f>
        <v>0</v>
      </c>
      <c r="S86" s="17">
        <f>Test!G444</f>
        <v>0</v>
      </c>
      <c r="T86" s="17">
        <f t="shared" si="6"/>
        <v>0</v>
      </c>
      <c r="U86" s="28">
        <f>Test!H444</f>
        <v>0</v>
      </c>
      <c r="V86" s="29">
        <f>Test!I444</f>
        <v>0</v>
      </c>
      <c r="W86" s="14">
        <f t="shared" si="7"/>
        <v>0</v>
      </c>
      <c r="X86" s="14">
        <f t="shared" si="8"/>
        <v>0</v>
      </c>
      <c r="Y86" s="14">
        <f t="shared" si="4"/>
        <v>0</v>
      </c>
      <c r="Z86" s="22">
        <f t="shared" si="4"/>
        <v>0</v>
      </c>
      <c r="AA86" s="39"/>
      <c r="AB86" s="43"/>
      <c r="AC86" s="44"/>
      <c r="AD86" s="44"/>
      <c r="AE86" s="43"/>
      <c r="AF86" s="44"/>
      <c r="AG86" s="45"/>
    </row>
    <row r="87" spans="1:33" x14ac:dyDescent="0.2">
      <c r="A87" s="12"/>
      <c r="B87" s="9" t="s">
        <v>90</v>
      </c>
      <c r="C87" s="9">
        <v>22</v>
      </c>
      <c r="D87" s="10">
        <f>Reference!B445</f>
        <v>1552.7456</v>
      </c>
      <c r="E87" s="11">
        <f>Reference!C445</f>
        <v>43.723700000000001</v>
      </c>
      <c r="F87" s="11">
        <f>Reference!D445</f>
        <v>47.972900000000003</v>
      </c>
      <c r="G87" s="11">
        <f>Reference!E445</f>
        <v>48.942900000000002</v>
      </c>
      <c r="H87" s="11">
        <f>Reference!F445</f>
        <v>23768</v>
      </c>
      <c r="I87" s="11">
        <f>Reference!G445</f>
        <v>27.248000000000001</v>
      </c>
      <c r="J87" s="11">
        <f t="shared" si="5"/>
        <v>6.6022222222222222</v>
      </c>
      <c r="K87" s="24">
        <f>Reference!H445</f>
        <v>2206952</v>
      </c>
      <c r="L87" s="25">
        <f>Reference!I445</f>
        <v>504528</v>
      </c>
      <c r="N87" s="10">
        <f>Test!B445</f>
        <v>0</v>
      </c>
      <c r="O87" s="11">
        <f>Test!C445</f>
        <v>0</v>
      </c>
      <c r="P87" s="11">
        <f>Test!D445</f>
        <v>0</v>
      </c>
      <c r="Q87" s="11">
        <f>Test!E445</f>
        <v>0</v>
      </c>
      <c r="R87" s="11">
        <f>Test!F445</f>
        <v>0</v>
      </c>
      <c r="S87" s="11">
        <f>Test!G445</f>
        <v>0</v>
      </c>
      <c r="T87" s="11">
        <f t="shared" si="6"/>
        <v>0</v>
      </c>
      <c r="U87" s="24">
        <f>Test!H445</f>
        <v>0</v>
      </c>
      <c r="V87" s="25">
        <f>Test!I445</f>
        <v>0</v>
      </c>
      <c r="W87" s="14">
        <f t="shared" si="7"/>
        <v>0</v>
      </c>
      <c r="X87" s="14">
        <f t="shared" si="8"/>
        <v>0</v>
      </c>
      <c r="Y87" s="14">
        <f t="shared" si="4"/>
        <v>0</v>
      </c>
      <c r="Z87" s="22">
        <f t="shared" si="4"/>
        <v>0</v>
      </c>
      <c r="AA87" s="39"/>
      <c r="AB87" s="36" t="e">
        <f>bdrate($D87:$D90,E87:E90,$N87:$N90,O87:O90)</f>
        <v>#VALUE!</v>
      </c>
      <c r="AC87" s="37" t="e">
        <f>bdrate($D87:$D90,F87:F90,$N87:$N90,P87:P90)</f>
        <v>#VALUE!</v>
      </c>
      <c r="AD87" s="37" t="e">
        <f>bdrate($D87:$D90,G87:G90,$N87:$N90,Q87:Q90)</f>
        <v>#VALUE!</v>
      </c>
      <c r="AE87" s="46" t="e">
        <f>bdrateOld($D87:$D90,E87:E90,$N87:$N90,O87:O90)</f>
        <v>#VALUE!</v>
      </c>
      <c r="AF87" s="47" t="e">
        <f>bdrateOld($D87:$D90,F87:F90,$N87:$N90,P87:P90)</f>
        <v>#VALUE!</v>
      </c>
      <c r="AG87" s="49" t="e">
        <f>bdrateOld($D87:$D90,G87:G90,$N87:$N90,Q87:Q90)</f>
        <v>#VALUE!</v>
      </c>
    </row>
    <row r="88" spans="1:33" x14ac:dyDescent="0.2">
      <c r="A88" s="12"/>
      <c r="B88" s="12"/>
      <c r="C88" s="12">
        <v>27</v>
      </c>
      <c r="D88" s="13">
        <f>Reference!B446</f>
        <v>522.54719999999998</v>
      </c>
      <c r="E88" s="14">
        <f>Reference!C446</f>
        <v>41.816699999999997</v>
      </c>
      <c r="F88" s="14">
        <f>Reference!D446</f>
        <v>46.415399999999998</v>
      </c>
      <c r="G88" s="14">
        <f>Reference!E446</f>
        <v>47.190600000000003</v>
      </c>
      <c r="H88" s="14">
        <f>Reference!F446</f>
        <v>14986</v>
      </c>
      <c r="I88" s="14">
        <f>Reference!G446</f>
        <v>17.957000000000001</v>
      </c>
      <c r="J88" s="14">
        <f t="shared" si="5"/>
        <v>4.1627777777777775</v>
      </c>
      <c r="K88" s="26">
        <f>Reference!H446</f>
        <v>2200048</v>
      </c>
      <c r="L88" s="27">
        <f>Reference!I446</f>
        <v>497616</v>
      </c>
      <c r="N88" s="13">
        <f>Test!B446</f>
        <v>0</v>
      </c>
      <c r="O88" s="14">
        <f>Test!C446</f>
        <v>0</v>
      </c>
      <c r="P88" s="14">
        <f>Test!D446</f>
        <v>0</v>
      </c>
      <c r="Q88" s="14">
        <f>Test!E446</f>
        <v>0</v>
      </c>
      <c r="R88" s="14">
        <f>Test!F446</f>
        <v>0</v>
      </c>
      <c r="S88" s="14">
        <f>Test!G446</f>
        <v>0</v>
      </c>
      <c r="T88" s="14">
        <f t="shared" si="6"/>
        <v>0</v>
      </c>
      <c r="U88" s="26">
        <f>Test!H446</f>
        <v>0</v>
      </c>
      <c r="V88" s="27">
        <f>Test!I446</f>
        <v>0</v>
      </c>
      <c r="W88" s="14">
        <f t="shared" si="7"/>
        <v>0</v>
      </c>
      <c r="X88" s="14">
        <f t="shared" si="8"/>
        <v>0</v>
      </c>
      <c r="Y88" s="14">
        <f t="shared" si="4"/>
        <v>0</v>
      </c>
      <c r="Z88" s="22">
        <f t="shared" si="4"/>
        <v>0</v>
      </c>
      <c r="AA88" s="39"/>
      <c r="AB88" s="40"/>
      <c r="AC88" s="41"/>
      <c r="AD88" s="41"/>
      <c r="AE88" s="40"/>
      <c r="AF88" s="41"/>
      <c r="AG88" s="42"/>
    </row>
    <row r="89" spans="1:33" x14ac:dyDescent="0.2">
      <c r="A89" s="12"/>
      <c r="B89" s="12"/>
      <c r="C89" s="12">
        <v>32</v>
      </c>
      <c r="D89" s="13">
        <f>Reference!B447</f>
        <v>241.27359999999999</v>
      </c>
      <c r="E89" s="14">
        <f>Reference!C447</f>
        <v>39.617400000000004</v>
      </c>
      <c r="F89" s="14">
        <f>Reference!D447</f>
        <v>44.674100000000003</v>
      </c>
      <c r="G89" s="14">
        <f>Reference!E447</f>
        <v>45.2622</v>
      </c>
      <c r="H89" s="14">
        <f>Reference!F447</f>
        <v>11258</v>
      </c>
      <c r="I89" s="14">
        <f>Reference!G447</f>
        <v>13.159000000000001</v>
      </c>
      <c r="J89" s="14">
        <f t="shared" si="5"/>
        <v>3.1272222222222221</v>
      </c>
      <c r="K89" s="26">
        <f>Reference!H447</f>
        <v>2195768</v>
      </c>
      <c r="L89" s="27">
        <f>Reference!I447</f>
        <v>495360</v>
      </c>
      <c r="N89" s="13">
        <f>Test!B447</f>
        <v>0</v>
      </c>
      <c r="O89" s="14">
        <f>Test!C447</f>
        <v>0</v>
      </c>
      <c r="P89" s="14">
        <f>Test!D447</f>
        <v>0</v>
      </c>
      <c r="Q89" s="14">
        <f>Test!E447</f>
        <v>0</v>
      </c>
      <c r="R89" s="14">
        <f>Test!F447</f>
        <v>0</v>
      </c>
      <c r="S89" s="14">
        <f>Test!G447</f>
        <v>0</v>
      </c>
      <c r="T89" s="14">
        <f t="shared" si="6"/>
        <v>0</v>
      </c>
      <c r="U89" s="26">
        <f>Test!H447</f>
        <v>0</v>
      </c>
      <c r="V89" s="27">
        <f>Test!I447</f>
        <v>0</v>
      </c>
      <c r="W89" s="14">
        <f t="shared" si="7"/>
        <v>0</v>
      </c>
      <c r="X89" s="14">
        <f t="shared" si="8"/>
        <v>0</v>
      </c>
      <c r="Y89" s="14">
        <f t="shared" si="4"/>
        <v>0</v>
      </c>
      <c r="Z89" s="22">
        <f t="shared" si="4"/>
        <v>0</v>
      </c>
      <c r="AA89" s="39"/>
      <c r="AB89" s="40"/>
      <c r="AC89" s="41"/>
      <c r="AD89" s="41"/>
      <c r="AE89" s="40"/>
      <c r="AF89" s="41"/>
      <c r="AG89" s="42"/>
    </row>
    <row r="90" spans="1:33" ht="12.75" customHeight="1" x14ac:dyDescent="0.2">
      <c r="A90" s="15"/>
      <c r="B90" s="15"/>
      <c r="C90" s="15">
        <v>37</v>
      </c>
      <c r="D90" s="16">
        <f>Reference!B448</f>
        <v>127.336</v>
      </c>
      <c r="E90" s="17">
        <f>Reference!C448</f>
        <v>37.211199999999998</v>
      </c>
      <c r="F90" s="17">
        <f>Reference!D448</f>
        <v>42.969200000000001</v>
      </c>
      <c r="G90" s="17">
        <f>Reference!E448</f>
        <v>43.592300000000002</v>
      </c>
      <c r="H90" s="17">
        <f>Reference!F448</f>
        <v>9046</v>
      </c>
      <c r="I90" s="17">
        <f>Reference!G448</f>
        <v>9.4879999999999995</v>
      </c>
      <c r="J90" s="17">
        <f t="shared" si="5"/>
        <v>2.512777777777778</v>
      </c>
      <c r="K90" s="28">
        <f>Reference!H448</f>
        <v>2194888</v>
      </c>
      <c r="L90" s="29">
        <f>Reference!I448</f>
        <v>493632</v>
      </c>
      <c r="N90" s="16">
        <f>Test!B448</f>
        <v>0</v>
      </c>
      <c r="O90" s="17">
        <f>Test!C448</f>
        <v>0</v>
      </c>
      <c r="P90" s="17">
        <f>Test!D448</f>
        <v>0</v>
      </c>
      <c r="Q90" s="17">
        <f>Test!E448</f>
        <v>0</v>
      </c>
      <c r="R90" s="17">
        <f>Test!F448</f>
        <v>0</v>
      </c>
      <c r="S90" s="17">
        <f>Test!G448</f>
        <v>0</v>
      </c>
      <c r="T90" s="17">
        <f t="shared" si="6"/>
        <v>0</v>
      </c>
      <c r="U90" s="28">
        <f>Test!H448</f>
        <v>0</v>
      </c>
      <c r="V90" s="29">
        <f>Test!I448</f>
        <v>0</v>
      </c>
      <c r="W90" s="14">
        <f t="shared" si="7"/>
        <v>0</v>
      </c>
      <c r="X90" s="14">
        <f t="shared" si="8"/>
        <v>0</v>
      </c>
      <c r="Y90" s="14">
        <f t="shared" si="4"/>
        <v>0</v>
      </c>
      <c r="Z90" s="22">
        <f t="shared" si="4"/>
        <v>0</v>
      </c>
      <c r="AA90" s="39"/>
      <c r="AB90" s="43"/>
      <c r="AC90" s="44"/>
      <c r="AD90" s="44"/>
      <c r="AE90" s="43"/>
      <c r="AF90" s="44"/>
      <c r="AG90" s="45"/>
    </row>
    <row r="91" spans="1:33" x14ac:dyDescent="0.2">
      <c r="A91" s="9" t="s">
        <v>28</v>
      </c>
      <c r="B91" s="9" t="s">
        <v>91</v>
      </c>
      <c r="C91" s="9">
        <v>22</v>
      </c>
      <c r="D91" s="10">
        <f>Reference!B449</f>
        <v>2498.6864</v>
      </c>
      <c r="E91" s="11">
        <f>Reference!C449</f>
        <v>41.561500000000002</v>
      </c>
      <c r="F91" s="11">
        <f>Reference!D449</f>
        <v>43.862299999999998</v>
      </c>
      <c r="G91" s="11">
        <f>Reference!E449</f>
        <v>44.833399999999997</v>
      </c>
      <c r="H91" s="11">
        <f>Reference!F449</f>
        <v>23979</v>
      </c>
      <c r="I91" s="11">
        <f>Reference!G449</f>
        <v>17.079999999999998</v>
      </c>
      <c r="J91" s="11">
        <f t="shared" ref="J91:J122" si="9">H91/3600</f>
        <v>6.6608333333333336</v>
      </c>
      <c r="K91" s="24">
        <f>Reference!H449</f>
        <v>1652068</v>
      </c>
      <c r="L91" s="25">
        <f>Reference!I449</f>
        <v>435212</v>
      </c>
      <c r="N91" s="10">
        <f>Test!B449</f>
        <v>0</v>
      </c>
      <c r="O91" s="11">
        <f>Test!C449</f>
        <v>0</v>
      </c>
      <c r="P91" s="11">
        <f>Test!D449</f>
        <v>0</v>
      </c>
      <c r="Q91" s="11">
        <f>Test!E449</f>
        <v>0</v>
      </c>
      <c r="R91" s="11">
        <f>Test!F449</f>
        <v>0</v>
      </c>
      <c r="S91" s="11">
        <f>Test!G449</f>
        <v>0</v>
      </c>
      <c r="T91" s="11">
        <f t="shared" ref="T91:T122" si="10">R91/3600</f>
        <v>0</v>
      </c>
      <c r="U91" s="24">
        <f>Test!H449</f>
        <v>0</v>
      </c>
      <c r="V91" s="25">
        <f>Test!I449</f>
        <v>0</v>
      </c>
      <c r="W91" s="11">
        <f t="shared" ref="W91:W122" si="11">R91/H91</f>
        <v>0</v>
      </c>
      <c r="X91" s="11">
        <f t="shared" ref="X91:X122" si="12">S91/I91</f>
        <v>0</v>
      </c>
      <c r="Y91" s="11">
        <f t="shared" si="4"/>
        <v>0</v>
      </c>
      <c r="Z91" s="21">
        <f t="shared" si="4"/>
        <v>0</v>
      </c>
      <c r="AA91" s="35"/>
      <c r="AB91" s="36" t="e">
        <f>bdrate($D91:$D94,E91:E94,$N91:$N94,O91:O94)</f>
        <v>#VALUE!</v>
      </c>
      <c r="AC91" s="37" t="e">
        <f>bdrate($D91:$D94,F91:F94,$N91:$N94,P91:P94)</f>
        <v>#VALUE!</v>
      </c>
      <c r="AD91" s="38" t="e">
        <f>bdrate($D91:$D94,G91:G94,$N91:$N94,Q91:Q94)</f>
        <v>#VALUE!</v>
      </c>
      <c r="AE91" s="36" t="e">
        <f>bdrateOld($D91:$D94,E91:E94,$N91:$N94,O91:O94)</f>
        <v>#VALUE!</v>
      </c>
      <c r="AF91" s="37" t="e">
        <f>bdrateOld($D91:$D94,F91:F94,$N91:$N94,P91:P94)</f>
        <v>#VALUE!</v>
      </c>
      <c r="AG91" s="38" t="e">
        <f>bdrateOld($D91:$D94,G91:G94,$N91:$N94,Q91:Q94)</f>
        <v>#VALUE!</v>
      </c>
    </row>
    <row r="92" spans="1:33" x14ac:dyDescent="0.2">
      <c r="A92" s="12"/>
      <c r="C92" s="12">
        <v>27</v>
      </c>
      <c r="D92" s="13">
        <f>Reference!B450</f>
        <v>1080.3184000000001</v>
      </c>
      <c r="E92" s="14">
        <f>Reference!C450</f>
        <v>38.309600000000003</v>
      </c>
      <c r="F92" s="14">
        <f>Reference!D450</f>
        <v>41.048200000000001</v>
      </c>
      <c r="G92" s="14">
        <f>Reference!E450</f>
        <v>41.4818</v>
      </c>
      <c r="H92" s="14">
        <f>Reference!F450</f>
        <v>16624</v>
      </c>
      <c r="I92" s="14">
        <f>Reference!G450</f>
        <v>12.375</v>
      </c>
      <c r="J92" s="14">
        <f t="shared" si="9"/>
        <v>4.6177777777777775</v>
      </c>
      <c r="K92" s="26">
        <f>Reference!H450</f>
        <v>1648112</v>
      </c>
      <c r="L92" s="27">
        <f>Reference!I450</f>
        <v>427740</v>
      </c>
      <c r="N92" s="13">
        <f>Test!B450</f>
        <v>0</v>
      </c>
      <c r="O92" s="14">
        <f>Test!C450</f>
        <v>0</v>
      </c>
      <c r="P92" s="14">
        <f>Test!D450</f>
        <v>0</v>
      </c>
      <c r="Q92" s="14">
        <f>Test!E450</f>
        <v>0</v>
      </c>
      <c r="R92" s="14">
        <f>Test!F450</f>
        <v>0</v>
      </c>
      <c r="S92" s="14">
        <f>Test!G450</f>
        <v>0</v>
      </c>
      <c r="T92" s="14">
        <f t="shared" si="10"/>
        <v>0</v>
      </c>
      <c r="U92" s="26">
        <f>Test!H450</f>
        <v>0</v>
      </c>
      <c r="V92" s="27">
        <f>Test!I450</f>
        <v>0</v>
      </c>
      <c r="W92" s="14">
        <f t="shared" si="11"/>
        <v>0</v>
      </c>
      <c r="X92" s="14">
        <f t="shared" si="12"/>
        <v>0</v>
      </c>
      <c r="Y92" s="14">
        <f t="shared" ref="Y92:Z122" si="13">U92/K92</f>
        <v>0</v>
      </c>
      <c r="Z92" s="22">
        <f t="shared" si="13"/>
        <v>0</v>
      </c>
      <c r="AA92" s="39"/>
      <c r="AB92" s="40"/>
      <c r="AC92" s="41"/>
      <c r="AD92" s="42"/>
      <c r="AE92" s="40"/>
      <c r="AF92" s="41"/>
      <c r="AG92" s="42"/>
    </row>
    <row r="93" spans="1:33" x14ac:dyDescent="0.2">
      <c r="A93" s="12"/>
      <c r="B93" s="12"/>
      <c r="C93" s="12">
        <v>32</v>
      </c>
      <c r="D93" s="13">
        <f>Reference!B451</f>
        <v>532.16319999999996</v>
      </c>
      <c r="E93" s="14">
        <f>Reference!C451</f>
        <v>35.2879</v>
      </c>
      <c r="F93" s="14">
        <f>Reference!D451</f>
        <v>39.082999999999998</v>
      </c>
      <c r="G93" s="14">
        <f>Reference!E451</f>
        <v>39.299100000000003</v>
      </c>
      <c r="H93" s="14">
        <f>Reference!F451</f>
        <v>11852</v>
      </c>
      <c r="I93" s="14">
        <f>Reference!G451</f>
        <v>10.577999999999999</v>
      </c>
      <c r="J93" s="14">
        <f t="shared" si="9"/>
        <v>3.2922222222222222</v>
      </c>
      <c r="K93" s="26">
        <f>Reference!H451</f>
        <v>1643224</v>
      </c>
      <c r="L93" s="27">
        <f>Reference!I451</f>
        <v>425604</v>
      </c>
      <c r="N93" s="13">
        <f>Test!B451</f>
        <v>0</v>
      </c>
      <c r="O93" s="14">
        <f>Test!C451</f>
        <v>0</v>
      </c>
      <c r="P93" s="14">
        <f>Test!D451</f>
        <v>0</v>
      </c>
      <c r="Q93" s="14">
        <f>Test!E451</f>
        <v>0</v>
      </c>
      <c r="R93" s="14">
        <f>Test!F451</f>
        <v>0</v>
      </c>
      <c r="S93" s="14">
        <f>Test!G451</f>
        <v>0</v>
      </c>
      <c r="T93" s="14">
        <f t="shared" si="10"/>
        <v>0</v>
      </c>
      <c r="U93" s="26">
        <f>Test!H451</f>
        <v>0</v>
      </c>
      <c r="V93" s="27">
        <f>Test!I451</f>
        <v>0</v>
      </c>
      <c r="W93" s="14">
        <f t="shared" si="11"/>
        <v>0</v>
      </c>
      <c r="X93" s="14">
        <f t="shared" si="12"/>
        <v>0</v>
      </c>
      <c r="Y93" s="14">
        <f t="shared" si="13"/>
        <v>0</v>
      </c>
      <c r="Z93" s="22">
        <f t="shared" si="13"/>
        <v>0</v>
      </c>
      <c r="AA93" s="39"/>
      <c r="AB93" s="40"/>
      <c r="AC93" s="41"/>
      <c r="AD93" s="42"/>
      <c r="AE93" s="40"/>
      <c r="AF93" s="41"/>
      <c r="AG93" s="42"/>
    </row>
    <row r="94" spans="1:33" ht="12.75" customHeight="1" x14ac:dyDescent="0.2">
      <c r="A94" s="12"/>
      <c r="B94" s="15"/>
      <c r="C94" s="15">
        <v>37</v>
      </c>
      <c r="D94" s="16">
        <f>Reference!B452</f>
        <v>277.9024</v>
      </c>
      <c r="E94" s="17">
        <f>Reference!C452</f>
        <v>32.639800000000001</v>
      </c>
      <c r="F94" s="17">
        <f>Reference!D452</f>
        <v>37.182099999999998</v>
      </c>
      <c r="G94" s="17">
        <f>Reference!E452</f>
        <v>37.215499999999999</v>
      </c>
      <c r="H94" s="17">
        <f>Reference!F452</f>
        <v>8620</v>
      </c>
      <c r="I94" s="17">
        <f>Reference!G452</f>
        <v>9.0709999999999997</v>
      </c>
      <c r="J94" s="17">
        <f t="shared" si="9"/>
        <v>2.3944444444444444</v>
      </c>
      <c r="K94" s="28">
        <f>Reference!H452</f>
        <v>1640676</v>
      </c>
      <c r="L94" s="29">
        <f>Reference!I452</f>
        <v>420960</v>
      </c>
      <c r="N94" s="16">
        <f>Test!B452</f>
        <v>0</v>
      </c>
      <c r="O94" s="17">
        <f>Test!C452</f>
        <v>0</v>
      </c>
      <c r="P94" s="17">
        <f>Test!D452</f>
        <v>0</v>
      </c>
      <c r="Q94" s="17">
        <f>Test!E452</f>
        <v>0</v>
      </c>
      <c r="R94" s="17">
        <f>Test!F452</f>
        <v>0</v>
      </c>
      <c r="S94" s="17">
        <f>Test!G452</f>
        <v>0</v>
      </c>
      <c r="T94" s="17">
        <f t="shared" si="10"/>
        <v>0</v>
      </c>
      <c r="U94" s="28">
        <f>Test!H452</f>
        <v>0</v>
      </c>
      <c r="V94" s="29">
        <f>Test!I452</f>
        <v>0</v>
      </c>
      <c r="W94" s="14">
        <f t="shared" si="11"/>
        <v>0</v>
      </c>
      <c r="X94" s="14">
        <f t="shared" si="12"/>
        <v>0</v>
      </c>
      <c r="Y94" s="14">
        <f t="shared" si="13"/>
        <v>0</v>
      </c>
      <c r="Z94" s="22">
        <f t="shared" si="13"/>
        <v>0</v>
      </c>
      <c r="AA94" s="39"/>
      <c r="AB94" s="43"/>
      <c r="AC94" s="44"/>
      <c r="AD94" s="45"/>
      <c r="AE94" s="43"/>
      <c r="AF94" s="44"/>
      <c r="AG94" s="45"/>
    </row>
    <row r="95" spans="1:33" x14ac:dyDescent="0.2">
      <c r="A95" s="12"/>
      <c r="B95" s="9" t="s">
        <v>116</v>
      </c>
      <c r="C95" s="9">
        <v>22</v>
      </c>
      <c r="D95" s="10">
        <f>Reference!B453</f>
        <v>13777.9712</v>
      </c>
      <c r="E95" s="11">
        <f>Reference!C453</f>
        <v>43.204500000000003</v>
      </c>
      <c r="F95" s="11">
        <f>Reference!D453</f>
        <v>44.361400000000003</v>
      </c>
      <c r="G95" s="11">
        <f>Reference!E453</f>
        <v>44.838799999999999</v>
      </c>
      <c r="H95" s="11">
        <f>Reference!F453</f>
        <v>120916</v>
      </c>
      <c r="I95" s="11">
        <f>Reference!G453</f>
        <v>98.781000000000006</v>
      </c>
      <c r="J95" s="11">
        <f t="shared" si="9"/>
        <v>33.587777777777781</v>
      </c>
      <c r="K95" s="24">
        <f>Reference!H453</f>
        <v>3911292</v>
      </c>
      <c r="L95" s="25">
        <f>Reference!I453</f>
        <v>775264</v>
      </c>
      <c r="N95" s="10">
        <f>Test!B453</f>
        <v>0</v>
      </c>
      <c r="O95" s="11">
        <f>Test!C453</f>
        <v>0</v>
      </c>
      <c r="P95" s="11">
        <f>Test!D453</f>
        <v>0</v>
      </c>
      <c r="Q95" s="11">
        <f>Test!E453</f>
        <v>0</v>
      </c>
      <c r="R95" s="11">
        <f>Test!F453</f>
        <v>0</v>
      </c>
      <c r="S95" s="11">
        <f>Test!G453</f>
        <v>0</v>
      </c>
      <c r="T95" s="11">
        <f t="shared" si="10"/>
        <v>0</v>
      </c>
      <c r="U95" s="24">
        <f>Test!H453</f>
        <v>0</v>
      </c>
      <c r="V95" s="25">
        <f>Test!I453</f>
        <v>0</v>
      </c>
      <c r="W95" s="14">
        <f t="shared" si="11"/>
        <v>0</v>
      </c>
      <c r="X95" s="14">
        <f t="shared" si="12"/>
        <v>0</v>
      </c>
      <c r="Y95" s="14">
        <f t="shared" si="13"/>
        <v>0</v>
      </c>
      <c r="Z95" s="22">
        <f t="shared" si="13"/>
        <v>0</v>
      </c>
      <c r="AA95" s="39"/>
      <c r="AB95" s="36" t="e">
        <f>bdrate($D95:$D98,E95:E98,$N95:$N98,O95:O98)</f>
        <v>#VALUE!</v>
      </c>
      <c r="AC95" s="37" t="e">
        <f>bdrate($D95:$D98,F95:F98,$N95:$N98,P95:P98)</f>
        <v>#VALUE!</v>
      </c>
      <c r="AD95" s="37" t="e">
        <f>bdrate($D95:$D98,G95:G98,$N95:$N98,Q95:Q98)</f>
        <v>#VALUE!</v>
      </c>
      <c r="AE95" s="46" t="e">
        <f>bdrateOld($D95:$D98,E95:E98,$N95:$N98,O95:O98)</f>
        <v>#VALUE!</v>
      </c>
      <c r="AF95" s="47" t="e">
        <f>bdrateOld($D95:$D98,F95:F98,$N95:$N98,P95:P98)</f>
        <v>#VALUE!</v>
      </c>
      <c r="AG95" s="49" t="e">
        <f>bdrateOld($D95:$D98,G95:G98,$N95:$N98,Q95:Q98)</f>
        <v>#VALUE!</v>
      </c>
    </row>
    <row r="96" spans="1:33" x14ac:dyDescent="0.2">
      <c r="A96" s="12"/>
      <c r="B96" s="12"/>
      <c r="C96" s="12">
        <v>27</v>
      </c>
      <c r="D96" s="13">
        <f>Reference!B454</f>
        <v>5124.9664000000002</v>
      </c>
      <c r="E96" s="14">
        <f>Reference!C454</f>
        <v>39.529899999999998</v>
      </c>
      <c r="F96" s="14">
        <f>Reference!D454</f>
        <v>41.164299999999997</v>
      </c>
      <c r="G96" s="14">
        <f>Reference!E454</f>
        <v>41.397300000000001</v>
      </c>
      <c r="H96" s="14">
        <f>Reference!F454</f>
        <v>76988</v>
      </c>
      <c r="I96" s="14">
        <f>Reference!G454</f>
        <v>77.796999999999997</v>
      </c>
      <c r="J96" s="14">
        <f t="shared" si="9"/>
        <v>21.385555555555555</v>
      </c>
      <c r="K96" s="26">
        <f>Reference!H454</f>
        <v>3877092</v>
      </c>
      <c r="L96" s="27">
        <f>Reference!I454</f>
        <v>735200</v>
      </c>
      <c r="N96" s="13">
        <f>Test!B454</f>
        <v>0</v>
      </c>
      <c r="O96" s="14">
        <f>Test!C454</f>
        <v>0</v>
      </c>
      <c r="P96" s="14">
        <f>Test!D454</f>
        <v>0</v>
      </c>
      <c r="Q96" s="14">
        <f>Test!E454</f>
        <v>0</v>
      </c>
      <c r="R96" s="14">
        <f>Test!F454</f>
        <v>0</v>
      </c>
      <c r="S96" s="14">
        <f>Test!G454</f>
        <v>0</v>
      </c>
      <c r="T96" s="14">
        <f t="shared" si="10"/>
        <v>0</v>
      </c>
      <c r="U96" s="26">
        <f>Test!H454</f>
        <v>0</v>
      </c>
      <c r="V96" s="27">
        <f>Test!I454</f>
        <v>0</v>
      </c>
      <c r="W96" s="14">
        <f t="shared" si="11"/>
        <v>0</v>
      </c>
      <c r="X96" s="14">
        <f t="shared" si="12"/>
        <v>0</v>
      </c>
      <c r="Y96" s="14">
        <f t="shared" si="13"/>
        <v>0</v>
      </c>
      <c r="Z96" s="22">
        <f t="shared" si="13"/>
        <v>0</v>
      </c>
      <c r="AA96" s="39"/>
      <c r="AB96" s="40"/>
      <c r="AC96" s="41"/>
      <c r="AD96" s="41"/>
      <c r="AE96" s="40"/>
      <c r="AF96" s="41"/>
      <c r="AG96" s="42"/>
    </row>
    <row r="97" spans="1:33" x14ac:dyDescent="0.2">
      <c r="A97" s="12"/>
      <c r="B97" s="12"/>
      <c r="C97" s="12">
        <v>32</v>
      </c>
      <c r="D97" s="13">
        <f>Reference!B455</f>
        <v>2192.5408000000002</v>
      </c>
      <c r="E97" s="14">
        <f>Reference!C455</f>
        <v>36.412500000000001</v>
      </c>
      <c r="F97" s="14">
        <f>Reference!D455</f>
        <v>39.066899999999997</v>
      </c>
      <c r="G97" s="14">
        <f>Reference!E455</f>
        <v>39.136099999999999</v>
      </c>
      <c r="H97" s="14">
        <f>Reference!F455</f>
        <v>53103</v>
      </c>
      <c r="I97" s="14">
        <f>Reference!G455</f>
        <v>52.777999999999999</v>
      </c>
      <c r="J97" s="14">
        <f t="shared" si="9"/>
        <v>14.750833333333333</v>
      </c>
      <c r="K97" s="26">
        <f>Reference!H455</f>
        <v>3868408</v>
      </c>
      <c r="L97" s="27">
        <f>Reference!I455</f>
        <v>717016</v>
      </c>
      <c r="N97" s="13">
        <f>Test!B455</f>
        <v>0</v>
      </c>
      <c r="O97" s="14">
        <f>Test!C455</f>
        <v>0</v>
      </c>
      <c r="P97" s="14">
        <f>Test!D455</f>
        <v>0</v>
      </c>
      <c r="Q97" s="14">
        <f>Test!E455</f>
        <v>0</v>
      </c>
      <c r="R97" s="14">
        <f>Test!F455</f>
        <v>0</v>
      </c>
      <c r="S97" s="14">
        <f>Test!G455</f>
        <v>0</v>
      </c>
      <c r="T97" s="14">
        <f t="shared" si="10"/>
        <v>0</v>
      </c>
      <c r="U97" s="26">
        <f>Test!H455</f>
        <v>0</v>
      </c>
      <c r="V97" s="27">
        <f>Test!I455</f>
        <v>0</v>
      </c>
      <c r="W97" s="14">
        <f t="shared" si="11"/>
        <v>0</v>
      </c>
      <c r="X97" s="14">
        <f t="shared" si="12"/>
        <v>0</v>
      </c>
      <c r="Y97" s="14">
        <f t="shared" si="13"/>
        <v>0</v>
      </c>
      <c r="Z97" s="22">
        <f t="shared" si="13"/>
        <v>0</v>
      </c>
      <c r="AA97" s="39"/>
      <c r="AB97" s="40"/>
      <c r="AC97" s="41"/>
      <c r="AD97" s="41"/>
      <c r="AE97" s="40"/>
      <c r="AF97" s="41"/>
      <c r="AG97" s="42"/>
    </row>
    <row r="98" spans="1:33" ht="12.75" customHeight="1" x14ac:dyDescent="0.2">
      <c r="A98" s="12"/>
      <c r="B98" s="15"/>
      <c r="C98" s="15">
        <v>37</v>
      </c>
      <c r="D98" s="16">
        <f>Reference!B456</f>
        <v>1053.0096000000001</v>
      </c>
      <c r="E98" s="17">
        <f>Reference!C456</f>
        <v>33.6997</v>
      </c>
      <c r="F98" s="17">
        <f>Reference!D456</f>
        <v>37.334699999999998</v>
      </c>
      <c r="G98" s="17">
        <f>Reference!E456</f>
        <v>37.246899999999997</v>
      </c>
      <c r="H98" s="17">
        <f>Reference!F456</f>
        <v>37251</v>
      </c>
      <c r="I98" s="17">
        <f>Reference!G456</f>
        <v>39.880000000000003</v>
      </c>
      <c r="J98" s="17">
        <f t="shared" si="9"/>
        <v>10.3475</v>
      </c>
      <c r="K98" s="28">
        <f>Reference!H456</f>
        <v>3837152</v>
      </c>
      <c r="L98" s="29">
        <f>Reference!I456</f>
        <v>671080</v>
      </c>
      <c r="N98" s="16">
        <f>Test!B456</f>
        <v>0</v>
      </c>
      <c r="O98" s="17">
        <f>Test!C456</f>
        <v>0</v>
      </c>
      <c r="P98" s="17">
        <f>Test!D456</f>
        <v>0</v>
      </c>
      <c r="Q98" s="17">
        <f>Test!E456</f>
        <v>0</v>
      </c>
      <c r="R98" s="17">
        <f>Test!F456</f>
        <v>0</v>
      </c>
      <c r="S98" s="17">
        <f>Test!G456</f>
        <v>0</v>
      </c>
      <c r="T98" s="17">
        <f t="shared" si="10"/>
        <v>0</v>
      </c>
      <c r="U98" s="28">
        <f>Test!H456</f>
        <v>0</v>
      </c>
      <c r="V98" s="29">
        <f>Test!I456</f>
        <v>0</v>
      </c>
      <c r="W98" s="14">
        <f t="shared" si="11"/>
        <v>0</v>
      </c>
      <c r="X98" s="14">
        <f t="shared" si="12"/>
        <v>0</v>
      </c>
      <c r="Y98" s="14">
        <f t="shared" si="13"/>
        <v>0</v>
      </c>
      <c r="Z98" s="22">
        <f t="shared" si="13"/>
        <v>0</v>
      </c>
      <c r="AA98" s="39"/>
      <c r="AB98" s="43"/>
      <c r="AC98" s="44"/>
      <c r="AD98" s="44"/>
      <c r="AE98" s="43"/>
      <c r="AF98" s="44"/>
      <c r="AG98" s="45"/>
    </row>
    <row r="99" spans="1:33" x14ac:dyDescent="0.2">
      <c r="A99" s="12"/>
      <c r="B99" s="9" t="s">
        <v>93</v>
      </c>
      <c r="C99" s="9">
        <v>22</v>
      </c>
      <c r="D99" s="10">
        <f>Reference!B457</f>
        <v>185.2944</v>
      </c>
      <c r="E99" s="11">
        <f>Reference!C457</f>
        <v>49.111899999999999</v>
      </c>
      <c r="F99" s="11">
        <f>Reference!D457</f>
        <v>48.181699999999999</v>
      </c>
      <c r="G99" s="11">
        <f>Reference!E457</f>
        <v>48.241100000000003</v>
      </c>
      <c r="H99" s="11">
        <f>Reference!F457</f>
        <v>5300</v>
      </c>
      <c r="I99" s="11">
        <f>Reference!G457</f>
        <v>2.4660000000000002</v>
      </c>
      <c r="J99" s="11">
        <f t="shared" si="9"/>
        <v>1.4722222222222223</v>
      </c>
      <c r="K99" s="24">
        <f>Reference!H457</f>
        <v>3090388</v>
      </c>
      <c r="L99" s="25">
        <f>Reference!I457</f>
        <v>468284</v>
      </c>
      <c r="N99" s="10">
        <f>Test!B457</f>
        <v>0</v>
      </c>
      <c r="O99" s="11">
        <f>Test!C457</f>
        <v>0</v>
      </c>
      <c r="P99" s="11">
        <f>Test!D457</f>
        <v>0</v>
      </c>
      <c r="Q99" s="11">
        <f>Test!E457</f>
        <v>0</v>
      </c>
      <c r="R99" s="11">
        <f>Test!F457</f>
        <v>0</v>
      </c>
      <c r="S99" s="11">
        <f>Test!G457</f>
        <v>0</v>
      </c>
      <c r="T99" s="11">
        <f t="shared" si="10"/>
        <v>0</v>
      </c>
      <c r="U99" s="24">
        <f>Test!H457</f>
        <v>0</v>
      </c>
      <c r="V99" s="25">
        <f>Test!I457</f>
        <v>0</v>
      </c>
      <c r="W99" s="14">
        <f t="shared" si="11"/>
        <v>0</v>
      </c>
      <c r="X99" s="14">
        <f t="shared" si="12"/>
        <v>0</v>
      </c>
      <c r="Y99" s="14">
        <f t="shared" si="13"/>
        <v>0</v>
      </c>
      <c r="Z99" s="22">
        <f t="shared" si="13"/>
        <v>0</v>
      </c>
      <c r="AA99" s="39"/>
      <c r="AB99" s="36" t="e">
        <f>bdrate($D99:$D102,E99:E102,$N99:$N102,O99:O102)</f>
        <v>#VALUE!</v>
      </c>
      <c r="AC99" s="37" t="e">
        <f>bdrate($D99:$D102,F99:F102,$N99:$N102,P99:P102)</f>
        <v>#VALUE!</v>
      </c>
      <c r="AD99" s="37" t="e">
        <f>bdrate($D99:$D102,G99:G102,$N99:$N102,Q99:Q102)</f>
        <v>#VALUE!</v>
      </c>
      <c r="AE99" s="46" t="e">
        <f>bdrateOld($D99:$D102,E99:E102,$N99:$N102,O99:O102)</f>
        <v>#VALUE!</v>
      </c>
      <c r="AF99" s="47" t="e">
        <f>bdrateOld($D99:$D102,F99:F102,$N99:$N102,P99:P102)</f>
        <v>#VALUE!</v>
      </c>
      <c r="AG99" s="49" t="e">
        <f>bdrateOld($D99:$D102,G99:G102,$N99:$N102,Q99:Q102)</f>
        <v>#VALUE!</v>
      </c>
    </row>
    <row r="100" spans="1:33" x14ac:dyDescent="0.2">
      <c r="A100" s="12"/>
      <c r="B100" s="12"/>
      <c r="C100" s="12">
        <v>27</v>
      </c>
      <c r="D100" s="13">
        <f>Reference!B458</f>
        <v>140.32</v>
      </c>
      <c r="E100" s="14">
        <f>Reference!C458</f>
        <v>45.1342</v>
      </c>
      <c r="F100" s="14">
        <f>Reference!D458</f>
        <v>45.6706</v>
      </c>
      <c r="G100" s="14">
        <f>Reference!E458</f>
        <v>45.3675</v>
      </c>
      <c r="H100" s="14">
        <f>Reference!F458</f>
        <v>4980</v>
      </c>
      <c r="I100" s="14">
        <f>Reference!G458</f>
        <v>2.335</v>
      </c>
      <c r="J100" s="14">
        <f t="shared" si="9"/>
        <v>1.3833333333333333</v>
      </c>
      <c r="K100" s="26">
        <f>Reference!H458</f>
        <v>3081320</v>
      </c>
      <c r="L100" s="27">
        <f>Reference!I458</f>
        <v>464856</v>
      </c>
      <c r="N100" s="13">
        <f>Test!B458</f>
        <v>0</v>
      </c>
      <c r="O100" s="14">
        <f>Test!C458</f>
        <v>0</v>
      </c>
      <c r="P100" s="14">
        <f>Test!D458</f>
        <v>0</v>
      </c>
      <c r="Q100" s="14">
        <f>Test!E458</f>
        <v>0</v>
      </c>
      <c r="R100" s="14">
        <f>Test!F458</f>
        <v>0</v>
      </c>
      <c r="S100" s="14">
        <f>Test!G458</f>
        <v>0</v>
      </c>
      <c r="T100" s="14">
        <f t="shared" si="10"/>
        <v>0</v>
      </c>
      <c r="U100" s="26">
        <f>Test!H458</f>
        <v>0</v>
      </c>
      <c r="V100" s="27">
        <f>Test!I458</f>
        <v>0</v>
      </c>
      <c r="W100" s="14">
        <f t="shared" si="11"/>
        <v>0</v>
      </c>
      <c r="X100" s="14">
        <f t="shared" si="12"/>
        <v>0</v>
      </c>
      <c r="Y100" s="14">
        <f t="shared" si="13"/>
        <v>0</v>
      </c>
      <c r="Z100" s="22">
        <f t="shared" si="13"/>
        <v>0</v>
      </c>
      <c r="AA100" s="39"/>
      <c r="AB100" s="40"/>
      <c r="AC100" s="41"/>
      <c r="AD100" s="41"/>
      <c r="AE100" s="40"/>
      <c r="AF100" s="41"/>
      <c r="AG100" s="42"/>
    </row>
    <row r="101" spans="1:33" x14ac:dyDescent="0.2">
      <c r="A101" s="12"/>
      <c r="B101" s="12"/>
      <c r="C101" s="12">
        <v>32</v>
      </c>
      <c r="D101" s="13">
        <f>Reference!B459</f>
        <v>110.6576</v>
      </c>
      <c r="E101" s="14">
        <f>Reference!C459</f>
        <v>40.789000000000001</v>
      </c>
      <c r="F101" s="14">
        <f>Reference!D459</f>
        <v>43.331200000000003</v>
      </c>
      <c r="G101" s="14">
        <f>Reference!E459</f>
        <v>42.942399999999999</v>
      </c>
      <c r="H101" s="14">
        <f>Reference!F459</f>
        <v>4849</v>
      </c>
      <c r="I101" s="14">
        <f>Reference!G459</f>
        <v>2.1179999999999999</v>
      </c>
      <c r="J101" s="14">
        <f t="shared" si="9"/>
        <v>1.3469444444444445</v>
      </c>
      <c r="K101" s="26">
        <f>Reference!H459</f>
        <v>3083936</v>
      </c>
      <c r="L101" s="27">
        <f>Reference!I459</f>
        <v>466432</v>
      </c>
      <c r="N101" s="13">
        <f>Test!B459</f>
        <v>0</v>
      </c>
      <c r="O101" s="14">
        <f>Test!C459</f>
        <v>0</v>
      </c>
      <c r="P101" s="14">
        <f>Test!D459</f>
        <v>0</v>
      </c>
      <c r="Q101" s="14">
        <f>Test!E459</f>
        <v>0</v>
      </c>
      <c r="R101" s="14">
        <f>Test!F459</f>
        <v>0</v>
      </c>
      <c r="S101" s="14">
        <f>Test!G459</f>
        <v>0</v>
      </c>
      <c r="T101" s="14">
        <f t="shared" si="10"/>
        <v>0</v>
      </c>
      <c r="U101" s="26">
        <f>Test!H459</f>
        <v>0</v>
      </c>
      <c r="V101" s="27">
        <f>Test!I459</f>
        <v>0</v>
      </c>
      <c r="W101" s="14">
        <f t="shared" si="11"/>
        <v>0</v>
      </c>
      <c r="X101" s="14">
        <f t="shared" si="12"/>
        <v>0</v>
      </c>
      <c r="Y101" s="14">
        <f t="shared" si="13"/>
        <v>0</v>
      </c>
      <c r="Z101" s="22">
        <f t="shared" si="13"/>
        <v>0</v>
      </c>
      <c r="AA101" s="39"/>
      <c r="AB101" s="40"/>
      <c r="AC101" s="41"/>
      <c r="AD101" s="41"/>
      <c r="AE101" s="40"/>
      <c r="AF101" s="41"/>
      <c r="AG101" s="42"/>
    </row>
    <row r="102" spans="1:33" ht="12.75" customHeight="1" x14ac:dyDescent="0.2">
      <c r="A102" s="12"/>
      <c r="B102" s="15"/>
      <c r="C102" s="15">
        <v>37</v>
      </c>
      <c r="D102" s="16">
        <f>Reference!B460</f>
        <v>85.144000000000005</v>
      </c>
      <c r="E102" s="17">
        <f>Reference!C460</f>
        <v>35.986600000000003</v>
      </c>
      <c r="F102" s="17">
        <f>Reference!D460</f>
        <v>40.716900000000003</v>
      </c>
      <c r="G102" s="17">
        <f>Reference!E460</f>
        <v>40.474499999999999</v>
      </c>
      <c r="H102" s="17">
        <f>Reference!F460</f>
        <v>4655</v>
      </c>
      <c r="I102" s="17">
        <f>Reference!G460</f>
        <v>2.2850000000000001</v>
      </c>
      <c r="J102" s="17">
        <f t="shared" si="9"/>
        <v>1.2930555555555556</v>
      </c>
      <c r="K102" s="28">
        <f>Reference!H460</f>
        <v>3080672</v>
      </c>
      <c r="L102" s="29">
        <f>Reference!I460</f>
        <v>463172</v>
      </c>
      <c r="N102" s="16">
        <f>Test!B460</f>
        <v>0</v>
      </c>
      <c r="O102" s="17">
        <f>Test!C460</f>
        <v>0</v>
      </c>
      <c r="P102" s="17">
        <f>Test!D460</f>
        <v>0</v>
      </c>
      <c r="Q102" s="17">
        <f>Test!E460</f>
        <v>0</v>
      </c>
      <c r="R102" s="17">
        <f>Test!F460</f>
        <v>0</v>
      </c>
      <c r="S102" s="17">
        <f>Test!G460</f>
        <v>0</v>
      </c>
      <c r="T102" s="17">
        <f t="shared" si="10"/>
        <v>0</v>
      </c>
      <c r="U102" s="28">
        <f>Test!H460</f>
        <v>0</v>
      </c>
      <c r="V102" s="29">
        <f>Test!I460</f>
        <v>0</v>
      </c>
      <c r="W102" s="14">
        <f t="shared" si="11"/>
        <v>0</v>
      </c>
      <c r="X102" s="14">
        <f t="shared" si="12"/>
        <v>0</v>
      </c>
      <c r="Y102" s="14">
        <f t="shared" si="13"/>
        <v>0</v>
      </c>
      <c r="Z102" s="22">
        <f t="shared" si="13"/>
        <v>0</v>
      </c>
      <c r="AA102" s="39"/>
      <c r="AB102" s="43"/>
      <c r="AC102" s="44"/>
      <c r="AD102" s="44"/>
      <c r="AE102" s="43"/>
      <c r="AF102" s="44"/>
      <c r="AG102" s="45"/>
    </row>
    <row r="103" spans="1:33" x14ac:dyDescent="0.2">
      <c r="A103" s="12"/>
      <c r="B103" s="9" t="s">
        <v>94</v>
      </c>
      <c r="C103" s="9">
        <v>22</v>
      </c>
      <c r="D103" s="10">
        <f>Reference!B461</f>
        <v>440.87520000000001</v>
      </c>
      <c r="E103" s="11">
        <f>Reference!C461</f>
        <v>50.444200000000002</v>
      </c>
      <c r="F103" s="11">
        <f>Reference!D461</f>
        <v>52.532800000000002</v>
      </c>
      <c r="G103" s="11">
        <f>Reference!E461</f>
        <v>54.479900000000001</v>
      </c>
      <c r="H103" s="11">
        <f>Reference!F461</f>
        <v>6292</v>
      </c>
      <c r="I103" s="11">
        <f>Reference!G461</f>
        <v>6.39</v>
      </c>
      <c r="J103" s="11">
        <f t="shared" si="9"/>
        <v>1.7477777777777779</v>
      </c>
      <c r="K103" s="24">
        <f>Reference!H461</f>
        <v>3005272</v>
      </c>
      <c r="L103" s="25">
        <f>Reference!I461</f>
        <v>468080</v>
      </c>
      <c r="N103" s="10">
        <f>Test!B461</f>
        <v>0</v>
      </c>
      <c r="O103" s="11">
        <f>Test!C461</f>
        <v>0</v>
      </c>
      <c r="P103" s="11">
        <f>Test!D461</f>
        <v>0</v>
      </c>
      <c r="Q103" s="11">
        <f>Test!E461</f>
        <v>0</v>
      </c>
      <c r="R103" s="11">
        <f>Test!F461</f>
        <v>0</v>
      </c>
      <c r="S103" s="11">
        <f>Test!G461</f>
        <v>0</v>
      </c>
      <c r="T103" s="11">
        <f t="shared" si="10"/>
        <v>0</v>
      </c>
      <c r="U103" s="24">
        <f>Test!H461</f>
        <v>0</v>
      </c>
      <c r="V103" s="25">
        <f>Test!I461</f>
        <v>0</v>
      </c>
      <c r="W103" s="14">
        <f t="shared" si="11"/>
        <v>0</v>
      </c>
      <c r="X103" s="14">
        <f t="shared" si="12"/>
        <v>0</v>
      </c>
      <c r="Y103" s="14">
        <f t="shared" si="13"/>
        <v>0</v>
      </c>
      <c r="Z103" s="22">
        <f t="shared" si="13"/>
        <v>0</v>
      </c>
      <c r="AA103" s="39"/>
      <c r="AB103" s="36" t="e">
        <f>bdrate($D103:$D106,E103:E106,$N103:$N106,O103:O106)</f>
        <v>#VALUE!</v>
      </c>
      <c r="AC103" s="37" t="e">
        <f>bdrate($D103:$D106,F103:F106,$N103:$N106,P103:P106)</f>
        <v>#VALUE!</v>
      </c>
      <c r="AD103" s="37" t="e">
        <f>bdrate($D103:$D106,G103:G106,$N103:$N106,Q103:Q106)</f>
        <v>#VALUE!</v>
      </c>
      <c r="AE103" s="46" t="e">
        <f>bdrateOld($D103:$D106,E103:E106,$N103:$N106,O103:O106)</f>
        <v>#VALUE!</v>
      </c>
      <c r="AF103" s="47" t="e">
        <f>bdrateOld($D103:$D106,F103:F106,$N103:$N106,P103:P106)</f>
        <v>#VALUE!</v>
      </c>
      <c r="AG103" s="49" t="e">
        <f>bdrateOld($D103:$D106,G103:G106,$N103:$N106,Q103:Q106)</f>
        <v>#VALUE!</v>
      </c>
    </row>
    <row r="104" spans="1:33" x14ac:dyDescent="0.2">
      <c r="A104" s="12"/>
      <c r="B104" s="12"/>
      <c r="C104" s="12">
        <v>27</v>
      </c>
      <c r="D104" s="13">
        <f>Reference!B462</f>
        <v>201.024</v>
      </c>
      <c r="E104" s="14">
        <f>Reference!C462</f>
        <v>46.437399999999997</v>
      </c>
      <c r="F104" s="14">
        <f>Reference!D462</f>
        <v>49.348399999999998</v>
      </c>
      <c r="G104" s="14">
        <f>Reference!E462</f>
        <v>51.4178</v>
      </c>
      <c r="H104" s="14">
        <f>Reference!F462</f>
        <v>5204</v>
      </c>
      <c r="I104" s="14">
        <f>Reference!G462</f>
        <v>6.335</v>
      </c>
      <c r="J104" s="14">
        <f t="shared" si="9"/>
        <v>1.4455555555555555</v>
      </c>
      <c r="K104" s="26">
        <f>Reference!H462</f>
        <v>3002724</v>
      </c>
      <c r="L104" s="27">
        <f>Reference!I462</f>
        <v>457344</v>
      </c>
      <c r="N104" s="13">
        <f>Test!B462</f>
        <v>0</v>
      </c>
      <c r="O104" s="14">
        <f>Test!C462</f>
        <v>0</v>
      </c>
      <c r="P104" s="14">
        <f>Test!D462</f>
        <v>0</v>
      </c>
      <c r="Q104" s="14">
        <f>Test!E462</f>
        <v>0</v>
      </c>
      <c r="R104" s="14">
        <f>Test!F462</f>
        <v>0</v>
      </c>
      <c r="S104" s="14">
        <f>Test!G462</f>
        <v>0</v>
      </c>
      <c r="T104" s="14">
        <f t="shared" si="10"/>
        <v>0</v>
      </c>
      <c r="U104" s="26">
        <f>Test!H462</f>
        <v>0</v>
      </c>
      <c r="V104" s="27">
        <f>Test!I462</f>
        <v>0</v>
      </c>
      <c r="W104" s="14">
        <f t="shared" si="11"/>
        <v>0</v>
      </c>
      <c r="X104" s="14">
        <f t="shared" si="12"/>
        <v>0</v>
      </c>
      <c r="Y104" s="14">
        <f t="shared" si="13"/>
        <v>0</v>
      </c>
      <c r="Z104" s="22">
        <f t="shared" si="13"/>
        <v>0</v>
      </c>
      <c r="AA104" s="39"/>
      <c r="AB104" s="40"/>
      <c r="AC104" s="41"/>
      <c r="AD104" s="41"/>
      <c r="AE104" s="40"/>
      <c r="AF104" s="41"/>
      <c r="AG104" s="42"/>
    </row>
    <row r="105" spans="1:33" x14ac:dyDescent="0.2">
      <c r="A105" s="12"/>
      <c r="B105" s="12"/>
      <c r="C105" s="12">
        <v>32</v>
      </c>
      <c r="D105" s="13">
        <f>Reference!B463</f>
        <v>107.85120000000001</v>
      </c>
      <c r="E105" s="14">
        <f>Reference!C463</f>
        <v>43.052100000000003</v>
      </c>
      <c r="F105" s="14">
        <f>Reference!D463</f>
        <v>47.217199999999998</v>
      </c>
      <c r="G105" s="14">
        <f>Reference!E463</f>
        <v>49.380099999999999</v>
      </c>
      <c r="H105" s="14">
        <f>Reference!F463</f>
        <v>4229</v>
      </c>
      <c r="I105" s="14">
        <f>Reference!G463</f>
        <v>6.2939999999999996</v>
      </c>
      <c r="J105" s="14">
        <f t="shared" si="9"/>
        <v>1.1747222222222222</v>
      </c>
      <c r="K105" s="26">
        <f>Reference!H463</f>
        <v>3001152</v>
      </c>
      <c r="L105" s="27">
        <f>Reference!I463</f>
        <v>449324</v>
      </c>
      <c r="N105" s="13">
        <f>Test!B463</f>
        <v>0</v>
      </c>
      <c r="O105" s="14">
        <f>Test!C463</f>
        <v>0</v>
      </c>
      <c r="P105" s="14">
        <f>Test!D463</f>
        <v>0</v>
      </c>
      <c r="Q105" s="14">
        <f>Test!E463</f>
        <v>0</v>
      </c>
      <c r="R105" s="14">
        <f>Test!F463</f>
        <v>0</v>
      </c>
      <c r="S105" s="14">
        <f>Test!G463</f>
        <v>0</v>
      </c>
      <c r="T105" s="14">
        <f t="shared" si="10"/>
        <v>0</v>
      </c>
      <c r="U105" s="26">
        <f>Test!H463</f>
        <v>0</v>
      </c>
      <c r="V105" s="27">
        <f>Test!I463</f>
        <v>0</v>
      </c>
      <c r="W105" s="14">
        <f t="shared" si="11"/>
        <v>0</v>
      </c>
      <c r="X105" s="14">
        <f t="shared" si="12"/>
        <v>0</v>
      </c>
      <c r="Y105" s="14">
        <f t="shared" si="13"/>
        <v>0</v>
      </c>
      <c r="Z105" s="22">
        <f t="shared" si="13"/>
        <v>0</v>
      </c>
      <c r="AA105" s="39"/>
      <c r="AB105" s="40"/>
      <c r="AC105" s="41"/>
      <c r="AD105" s="41"/>
      <c r="AE105" s="40"/>
      <c r="AF105" s="41"/>
      <c r="AG105" s="42"/>
    </row>
    <row r="106" spans="1:33" ht="12.75" customHeight="1" x14ac:dyDescent="0.2">
      <c r="A106" s="15"/>
      <c r="B106" s="15"/>
      <c r="C106" s="15">
        <v>37</v>
      </c>
      <c r="D106" s="16">
        <f>Reference!B464</f>
        <v>70.038399999999996</v>
      </c>
      <c r="E106" s="17">
        <f>Reference!C464</f>
        <v>39.841999999999999</v>
      </c>
      <c r="F106" s="17">
        <f>Reference!D464</f>
        <v>45.026499999999999</v>
      </c>
      <c r="G106" s="17">
        <f>Reference!E464</f>
        <v>46.8581</v>
      </c>
      <c r="H106" s="17">
        <f>Reference!F464</f>
        <v>3567</v>
      </c>
      <c r="I106" s="17">
        <f>Reference!G464</f>
        <v>6.0860000000000003</v>
      </c>
      <c r="J106" s="17">
        <f t="shared" si="9"/>
        <v>0.99083333333333334</v>
      </c>
      <c r="K106" s="28">
        <f>Reference!H464</f>
        <v>2999144</v>
      </c>
      <c r="L106" s="29">
        <f>Reference!I464</f>
        <v>455272</v>
      </c>
      <c r="N106" s="16">
        <f>Test!B464</f>
        <v>0</v>
      </c>
      <c r="O106" s="17">
        <f>Test!C464</f>
        <v>0</v>
      </c>
      <c r="P106" s="17">
        <f>Test!D464</f>
        <v>0</v>
      </c>
      <c r="Q106" s="17">
        <f>Test!E464</f>
        <v>0</v>
      </c>
      <c r="R106" s="17">
        <f>Test!F464</f>
        <v>0</v>
      </c>
      <c r="S106" s="17">
        <f>Test!G464</f>
        <v>0</v>
      </c>
      <c r="T106" s="17">
        <f t="shared" si="10"/>
        <v>0</v>
      </c>
      <c r="U106" s="28">
        <f>Test!H464</f>
        <v>0</v>
      </c>
      <c r="V106" s="29">
        <f>Test!I464</f>
        <v>0</v>
      </c>
      <c r="W106" s="17">
        <f t="shared" si="11"/>
        <v>0</v>
      </c>
      <c r="X106" s="17">
        <f t="shared" si="12"/>
        <v>0</v>
      </c>
      <c r="Y106" s="17">
        <f t="shared" si="13"/>
        <v>0</v>
      </c>
      <c r="Z106" s="23">
        <f t="shared" si="13"/>
        <v>0</v>
      </c>
      <c r="AA106" s="48"/>
      <c r="AB106" s="43"/>
      <c r="AC106" s="44"/>
      <c r="AD106" s="44"/>
      <c r="AE106" s="43"/>
      <c r="AF106" s="44"/>
      <c r="AG106" s="45"/>
    </row>
    <row r="107" spans="1:33" x14ac:dyDescent="0.2">
      <c r="A107" s="9" t="s">
        <v>29</v>
      </c>
      <c r="B107" s="9" t="s">
        <v>117</v>
      </c>
      <c r="C107" s="9">
        <v>22</v>
      </c>
      <c r="D107" s="10">
        <f>Reference!B465</f>
        <v>22161.900799999999</v>
      </c>
      <c r="E107" s="11">
        <f>Reference!C465</f>
        <v>45.916699999999999</v>
      </c>
      <c r="F107" s="11">
        <f>Reference!D465</f>
        <v>45.206800000000001</v>
      </c>
      <c r="G107" s="11">
        <f>Reference!E465</f>
        <v>45.373600000000003</v>
      </c>
      <c r="H107" s="11">
        <f>Reference!F465</f>
        <v>144511</v>
      </c>
      <c r="I107" s="11">
        <f>Reference!G465</f>
        <v>109.61</v>
      </c>
      <c r="J107" s="11">
        <f t="shared" si="9"/>
        <v>40.141944444444448</v>
      </c>
      <c r="K107" s="24">
        <f>Reference!H465</f>
        <v>5069156</v>
      </c>
      <c r="L107" s="25">
        <f>Reference!I465</f>
        <v>726612</v>
      </c>
      <c r="N107" s="10">
        <f>Test!B465</f>
        <v>0</v>
      </c>
      <c r="O107" s="11">
        <f>Test!C465</f>
        <v>0</v>
      </c>
      <c r="P107" s="11">
        <f>Test!D465</f>
        <v>0</v>
      </c>
      <c r="Q107" s="11">
        <f>Test!E465</f>
        <v>0</v>
      </c>
      <c r="R107" s="11">
        <f>Test!F465</f>
        <v>0</v>
      </c>
      <c r="S107" s="11">
        <f>Test!G465</f>
        <v>0</v>
      </c>
      <c r="T107" s="11">
        <f t="shared" si="10"/>
        <v>0</v>
      </c>
      <c r="U107" s="24">
        <f>Test!H465</f>
        <v>0</v>
      </c>
      <c r="V107" s="25">
        <f>Test!I465</f>
        <v>0</v>
      </c>
      <c r="W107" s="11">
        <f t="shared" si="11"/>
        <v>0</v>
      </c>
      <c r="X107" s="11">
        <f t="shared" si="12"/>
        <v>0</v>
      </c>
      <c r="Y107" s="11">
        <f t="shared" si="13"/>
        <v>0</v>
      </c>
      <c r="Z107" s="21">
        <f t="shared" si="13"/>
        <v>0</v>
      </c>
      <c r="AA107" s="35"/>
      <c r="AB107" s="36" t="e">
        <f>bdrate($D107:$D110,E107:E110,$N107:$N110,O107:O110)</f>
        <v>#VALUE!</v>
      </c>
      <c r="AC107" s="37" t="e">
        <f>bdrate($D107:$D110,F107:F110,$N107:$N110,P107:P110)</f>
        <v>#VALUE!</v>
      </c>
      <c r="AD107" s="38" t="e">
        <f>bdrate($D107:$D110,G107:G110,$N107:$N110,Q107:Q110)</f>
        <v>#VALUE!</v>
      </c>
      <c r="AE107" s="36" t="e">
        <f>bdrateOld($D107:$D110,E107:E110,$N107:$N110,O107:O110)</f>
        <v>#VALUE!</v>
      </c>
      <c r="AF107" s="37" t="e">
        <f>bdrateOld($D107:$D110,F107:F110,$N107:$N110,P107:P110)</f>
        <v>#VALUE!</v>
      </c>
      <c r="AG107" s="38" t="e">
        <f>bdrateOld($D107:$D110,G107:G110,$N107:$N110,Q107:Q110)</f>
        <v>#VALUE!</v>
      </c>
    </row>
    <row r="108" spans="1:33" x14ac:dyDescent="0.2">
      <c r="A108" s="12"/>
      <c r="C108" s="12">
        <v>27</v>
      </c>
      <c r="D108" s="13">
        <f>Reference!B466</f>
        <v>11167.6432</v>
      </c>
      <c r="E108" s="14">
        <f>Reference!C466</f>
        <v>40.3703</v>
      </c>
      <c r="F108" s="14">
        <f>Reference!D466</f>
        <v>40.597999999999999</v>
      </c>
      <c r="G108" s="14">
        <f>Reference!E466</f>
        <v>40.9773</v>
      </c>
      <c r="H108" s="14">
        <f>Reference!F466</f>
        <v>122874</v>
      </c>
      <c r="I108" s="14">
        <f>Reference!G466</f>
        <v>101.233</v>
      </c>
      <c r="J108" s="14">
        <f t="shared" si="9"/>
        <v>34.131666666666668</v>
      </c>
      <c r="K108" s="26">
        <f>Reference!H466</f>
        <v>5085684</v>
      </c>
      <c r="L108" s="27">
        <f>Reference!I466</f>
        <v>749484</v>
      </c>
      <c r="N108" s="13">
        <f>Test!B466</f>
        <v>0</v>
      </c>
      <c r="O108" s="14">
        <f>Test!C466</f>
        <v>0</v>
      </c>
      <c r="P108" s="14">
        <f>Test!D466</f>
        <v>0</v>
      </c>
      <c r="Q108" s="14">
        <f>Test!E466</f>
        <v>0</v>
      </c>
      <c r="R108" s="14">
        <f>Test!F466</f>
        <v>0</v>
      </c>
      <c r="S108" s="14">
        <f>Test!G466</f>
        <v>0</v>
      </c>
      <c r="T108" s="14">
        <f t="shared" si="10"/>
        <v>0</v>
      </c>
      <c r="U108" s="26">
        <f>Test!H466</f>
        <v>0</v>
      </c>
      <c r="V108" s="27">
        <f>Test!I466</f>
        <v>0</v>
      </c>
      <c r="W108" s="14">
        <f t="shared" si="11"/>
        <v>0</v>
      </c>
      <c r="X108" s="14">
        <f t="shared" si="12"/>
        <v>0</v>
      </c>
      <c r="Y108" s="14">
        <f t="shared" si="13"/>
        <v>0</v>
      </c>
      <c r="Z108" s="22">
        <f t="shared" si="13"/>
        <v>0</v>
      </c>
      <c r="AA108" s="39"/>
      <c r="AB108" s="40"/>
      <c r="AC108" s="41"/>
      <c r="AD108" s="42"/>
      <c r="AE108" s="40"/>
      <c r="AF108" s="41"/>
      <c r="AG108" s="42"/>
    </row>
    <row r="109" spans="1:33" x14ac:dyDescent="0.2">
      <c r="A109" s="12"/>
      <c r="B109" s="12"/>
      <c r="C109" s="12">
        <v>32</v>
      </c>
      <c r="D109" s="13">
        <f>Reference!B467</f>
        <v>6381.0320000000002</v>
      </c>
      <c r="E109" s="14">
        <f>Reference!C467</f>
        <v>36.105800000000002</v>
      </c>
      <c r="F109" s="14">
        <f>Reference!D467</f>
        <v>38.247</v>
      </c>
      <c r="G109" s="14">
        <f>Reference!E467</f>
        <v>38.782200000000003</v>
      </c>
      <c r="H109" s="14">
        <f>Reference!F467</f>
        <v>100661</v>
      </c>
      <c r="I109" s="14">
        <f>Reference!G467</f>
        <v>96.078000000000003</v>
      </c>
      <c r="J109" s="14">
        <f t="shared" si="9"/>
        <v>27.961388888888887</v>
      </c>
      <c r="K109" s="26">
        <f>Reference!H467</f>
        <v>5073016</v>
      </c>
      <c r="L109" s="27">
        <f>Reference!I467</f>
        <v>737928</v>
      </c>
      <c r="N109" s="13">
        <f>Test!B467</f>
        <v>0</v>
      </c>
      <c r="O109" s="14">
        <f>Test!C467</f>
        <v>0</v>
      </c>
      <c r="P109" s="14">
        <f>Test!D467</f>
        <v>0</v>
      </c>
      <c r="Q109" s="14">
        <f>Test!E467</f>
        <v>0</v>
      </c>
      <c r="R109" s="14">
        <f>Test!F467</f>
        <v>0</v>
      </c>
      <c r="S109" s="14">
        <f>Test!G467</f>
        <v>0</v>
      </c>
      <c r="T109" s="14">
        <f t="shared" si="10"/>
        <v>0</v>
      </c>
      <c r="U109" s="26">
        <f>Test!H467</f>
        <v>0</v>
      </c>
      <c r="V109" s="27">
        <f>Test!I467</f>
        <v>0</v>
      </c>
      <c r="W109" s="14">
        <f t="shared" si="11"/>
        <v>0</v>
      </c>
      <c r="X109" s="14">
        <f t="shared" si="12"/>
        <v>0</v>
      </c>
      <c r="Y109" s="14">
        <f t="shared" si="13"/>
        <v>0</v>
      </c>
      <c r="Z109" s="22">
        <f t="shared" si="13"/>
        <v>0</v>
      </c>
      <c r="AA109" s="39"/>
      <c r="AB109" s="40"/>
      <c r="AC109" s="41"/>
      <c r="AD109" s="42"/>
      <c r="AE109" s="40"/>
      <c r="AF109" s="41"/>
      <c r="AG109" s="42"/>
    </row>
    <row r="110" spans="1:33" x14ac:dyDescent="0.2">
      <c r="A110" s="12"/>
      <c r="B110" s="15"/>
      <c r="C110" s="15">
        <v>37</v>
      </c>
      <c r="D110" s="16">
        <f>Reference!B468</f>
        <v>3704.4544000000001</v>
      </c>
      <c r="E110" s="17">
        <f>Reference!C468</f>
        <v>32.222999999999999</v>
      </c>
      <c r="F110" s="17">
        <f>Reference!D468</f>
        <v>35.266500000000001</v>
      </c>
      <c r="G110" s="17">
        <f>Reference!E468</f>
        <v>35.936500000000002</v>
      </c>
      <c r="H110" s="17">
        <f>Reference!F468</f>
        <v>75805</v>
      </c>
      <c r="I110" s="17">
        <f>Reference!G468</f>
        <v>84.48</v>
      </c>
      <c r="J110" s="17">
        <f t="shared" si="9"/>
        <v>21.056944444444444</v>
      </c>
      <c r="K110" s="28">
        <f>Reference!H468</f>
        <v>5065888</v>
      </c>
      <c r="L110" s="29">
        <f>Reference!I468</f>
        <v>739348</v>
      </c>
      <c r="N110" s="16">
        <f>Test!B468</f>
        <v>0</v>
      </c>
      <c r="O110" s="17">
        <f>Test!C468</f>
        <v>0</v>
      </c>
      <c r="P110" s="17">
        <f>Test!D468</f>
        <v>0</v>
      </c>
      <c r="Q110" s="17">
        <f>Test!E468</f>
        <v>0</v>
      </c>
      <c r="R110" s="17">
        <f>Test!F468</f>
        <v>0</v>
      </c>
      <c r="S110" s="17">
        <f>Test!G468</f>
        <v>0</v>
      </c>
      <c r="T110" s="17">
        <f t="shared" si="10"/>
        <v>0</v>
      </c>
      <c r="U110" s="28">
        <f>Test!H468</f>
        <v>0</v>
      </c>
      <c r="V110" s="29">
        <f>Test!I468</f>
        <v>0</v>
      </c>
      <c r="W110" s="14">
        <f t="shared" si="11"/>
        <v>0</v>
      </c>
      <c r="X110" s="14">
        <f t="shared" si="12"/>
        <v>0</v>
      </c>
      <c r="Y110" s="14">
        <f t="shared" si="13"/>
        <v>0</v>
      </c>
      <c r="Z110" s="22">
        <f t="shared" si="13"/>
        <v>0</v>
      </c>
      <c r="AA110" s="39"/>
      <c r="AB110" s="43"/>
      <c r="AC110" s="44"/>
      <c r="AD110" s="45"/>
      <c r="AE110" s="43"/>
      <c r="AF110" s="44"/>
      <c r="AG110" s="45"/>
    </row>
    <row r="111" spans="1:33" x14ac:dyDescent="0.2">
      <c r="A111" s="12"/>
      <c r="B111" s="9" t="s">
        <v>118</v>
      </c>
      <c r="C111" s="9">
        <v>22</v>
      </c>
      <c r="D111" s="10">
        <f>Reference!B469</f>
        <v>1071.8368</v>
      </c>
      <c r="E111" s="11">
        <f>Reference!C469</f>
        <v>54.441000000000003</v>
      </c>
      <c r="F111" s="11">
        <f>Reference!D469</f>
        <v>49.305300000000003</v>
      </c>
      <c r="G111" s="11">
        <f>Reference!E469</f>
        <v>49.520600000000002</v>
      </c>
      <c r="H111" s="11">
        <f>Reference!F469</f>
        <v>24051</v>
      </c>
      <c r="I111" s="11">
        <f>Reference!G469</f>
        <v>32.468000000000004</v>
      </c>
      <c r="J111" s="11">
        <f t="shared" si="9"/>
        <v>6.6808333333333332</v>
      </c>
      <c r="K111" s="24">
        <f>Reference!H469</f>
        <v>5028620</v>
      </c>
      <c r="L111" s="25">
        <f>Reference!I469</f>
        <v>726324</v>
      </c>
      <c r="N111" s="10">
        <f>Test!B469</f>
        <v>0</v>
      </c>
      <c r="O111" s="11">
        <f>Test!C469</f>
        <v>0</v>
      </c>
      <c r="P111" s="11">
        <f>Test!D469</f>
        <v>0</v>
      </c>
      <c r="Q111" s="11">
        <f>Test!E469</f>
        <v>0</v>
      </c>
      <c r="R111" s="11">
        <f>Test!F469</f>
        <v>0</v>
      </c>
      <c r="S111" s="11">
        <f>Test!G469</f>
        <v>0</v>
      </c>
      <c r="T111" s="11">
        <f t="shared" si="10"/>
        <v>0</v>
      </c>
      <c r="U111" s="24">
        <f>Test!H469</f>
        <v>0</v>
      </c>
      <c r="V111" s="25">
        <f>Test!I469</f>
        <v>0</v>
      </c>
      <c r="W111" s="14">
        <f t="shared" si="11"/>
        <v>0</v>
      </c>
      <c r="X111" s="14">
        <f t="shared" si="12"/>
        <v>0</v>
      </c>
      <c r="Y111" s="14">
        <f t="shared" si="13"/>
        <v>0</v>
      </c>
      <c r="Z111" s="22">
        <f t="shared" si="13"/>
        <v>0</v>
      </c>
      <c r="AA111" s="39"/>
      <c r="AB111" s="36" t="e">
        <f>bdrate($D111:$D114,E111:E114,$N111:$N114,O111:O114)</f>
        <v>#VALUE!</v>
      </c>
      <c r="AC111" s="37" t="e">
        <f>bdrate($D111:$D114,F111:F114,$N111:$N114,P111:P114)</f>
        <v>#VALUE!</v>
      </c>
      <c r="AD111" s="37" t="e">
        <f>bdrate($D111:$D114,G111:G114,$N111:$N114,Q111:Q114)</f>
        <v>#VALUE!</v>
      </c>
      <c r="AE111" s="46" t="e">
        <f>bdrateOld($D111:$D114,E111:E114,$N111:$N114,O111:O114)</f>
        <v>#VALUE!</v>
      </c>
      <c r="AF111" s="47" t="e">
        <f>bdrateOld($D111:$D114,F111:F114,$N111:$N114,P111:P114)</f>
        <v>#VALUE!</v>
      </c>
      <c r="AG111" s="49" t="e">
        <f>bdrateOld($D111:$D114,G111:G114,$N111:$N114,Q111:Q114)</f>
        <v>#VALUE!</v>
      </c>
    </row>
    <row r="112" spans="1:33" x14ac:dyDescent="0.2">
      <c r="A112" s="12"/>
      <c r="B112" s="12"/>
      <c r="C112" s="12">
        <v>27</v>
      </c>
      <c r="D112" s="13">
        <f>Reference!B470</f>
        <v>777.37120000000004</v>
      </c>
      <c r="E112" s="14">
        <f>Reference!C470</f>
        <v>49.360900000000001</v>
      </c>
      <c r="F112" s="14">
        <f>Reference!D470</f>
        <v>46.305399999999999</v>
      </c>
      <c r="G112" s="14">
        <f>Reference!E470</f>
        <v>46.252699999999997</v>
      </c>
      <c r="H112" s="14">
        <f>Reference!F470</f>
        <v>22195</v>
      </c>
      <c r="I112" s="14">
        <f>Reference!G470</f>
        <v>24.297000000000001</v>
      </c>
      <c r="J112" s="14">
        <f t="shared" si="9"/>
        <v>6.1652777777777779</v>
      </c>
      <c r="K112" s="26">
        <f>Reference!H470</f>
        <v>5031540</v>
      </c>
      <c r="L112" s="27">
        <f>Reference!I470</f>
        <v>714932</v>
      </c>
      <c r="N112" s="13">
        <f>Test!B470</f>
        <v>0</v>
      </c>
      <c r="O112" s="14">
        <f>Test!C470</f>
        <v>0</v>
      </c>
      <c r="P112" s="14">
        <f>Test!D470</f>
        <v>0</v>
      </c>
      <c r="Q112" s="14">
        <f>Test!E470</f>
        <v>0</v>
      </c>
      <c r="R112" s="14">
        <f>Test!F470</f>
        <v>0</v>
      </c>
      <c r="S112" s="14">
        <f>Test!G470</f>
        <v>0</v>
      </c>
      <c r="T112" s="14">
        <f t="shared" si="10"/>
        <v>0</v>
      </c>
      <c r="U112" s="26">
        <f>Test!H470</f>
        <v>0</v>
      </c>
      <c r="V112" s="27">
        <f>Test!I470</f>
        <v>0</v>
      </c>
      <c r="W112" s="14">
        <f t="shared" si="11"/>
        <v>0</v>
      </c>
      <c r="X112" s="14">
        <f t="shared" si="12"/>
        <v>0</v>
      </c>
      <c r="Y112" s="14">
        <f t="shared" si="13"/>
        <v>0</v>
      </c>
      <c r="Z112" s="22">
        <f t="shared" si="13"/>
        <v>0</v>
      </c>
      <c r="AA112" s="39"/>
      <c r="AB112" s="40"/>
      <c r="AC112" s="41"/>
      <c r="AD112" s="41"/>
      <c r="AE112" s="40"/>
      <c r="AF112" s="41"/>
      <c r="AG112" s="42"/>
    </row>
    <row r="113" spans="1:33" ht="12.75" customHeight="1" x14ac:dyDescent="0.2">
      <c r="A113" s="12"/>
      <c r="B113" s="12"/>
      <c r="C113" s="12">
        <v>32</v>
      </c>
      <c r="D113" s="13">
        <f>Reference!B471</f>
        <v>698.56960000000004</v>
      </c>
      <c r="E113" s="14">
        <f>Reference!C471</f>
        <v>44.2913</v>
      </c>
      <c r="F113" s="14">
        <f>Reference!D471</f>
        <v>43.741900000000001</v>
      </c>
      <c r="G113" s="14">
        <f>Reference!E471</f>
        <v>43.385800000000003</v>
      </c>
      <c r="H113" s="14">
        <f>Reference!F471</f>
        <v>21068</v>
      </c>
      <c r="I113" s="14">
        <f>Reference!G471</f>
        <v>14.561</v>
      </c>
      <c r="J113" s="14">
        <f t="shared" si="9"/>
        <v>5.8522222222222222</v>
      </c>
      <c r="K113" s="26">
        <f>Reference!H471</f>
        <v>5027892</v>
      </c>
      <c r="L113" s="27">
        <f>Reference!I471</f>
        <v>721464</v>
      </c>
      <c r="N113" s="13">
        <f>Test!B471</f>
        <v>0</v>
      </c>
      <c r="O113" s="14">
        <f>Test!C471</f>
        <v>0</v>
      </c>
      <c r="P113" s="14">
        <f>Test!D471</f>
        <v>0</v>
      </c>
      <c r="Q113" s="14">
        <f>Test!E471</f>
        <v>0</v>
      </c>
      <c r="R113" s="14">
        <f>Test!F471</f>
        <v>0</v>
      </c>
      <c r="S113" s="14">
        <f>Test!G471</f>
        <v>0</v>
      </c>
      <c r="T113" s="14">
        <f t="shared" si="10"/>
        <v>0</v>
      </c>
      <c r="U113" s="26">
        <f>Test!H471</f>
        <v>0</v>
      </c>
      <c r="V113" s="27">
        <f>Test!I471</f>
        <v>0</v>
      </c>
      <c r="W113" s="14">
        <f t="shared" si="11"/>
        <v>0</v>
      </c>
      <c r="X113" s="14">
        <f t="shared" si="12"/>
        <v>0</v>
      </c>
      <c r="Y113" s="14">
        <f t="shared" si="13"/>
        <v>0</v>
      </c>
      <c r="Z113" s="22">
        <f t="shared" si="13"/>
        <v>0</v>
      </c>
      <c r="AA113" s="39"/>
      <c r="AB113" s="40"/>
      <c r="AC113" s="41"/>
      <c r="AD113" s="41"/>
      <c r="AE113" s="40"/>
      <c r="AF113" s="41"/>
      <c r="AG113" s="42"/>
    </row>
    <row r="114" spans="1:33" ht="12.75" customHeight="1" x14ac:dyDescent="0.2">
      <c r="A114" s="12"/>
      <c r="B114" s="15"/>
      <c r="C114" s="15">
        <v>37</v>
      </c>
      <c r="D114" s="16">
        <f>Reference!B472</f>
        <v>623.17439999999999</v>
      </c>
      <c r="E114" s="17">
        <f>Reference!C472</f>
        <v>38.503399999999999</v>
      </c>
      <c r="F114" s="17">
        <f>Reference!D472</f>
        <v>40.862099999999998</v>
      </c>
      <c r="G114" s="17">
        <f>Reference!E472</f>
        <v>40.692999999999998</v>
      </c>
      <c r="H114" s="17">
        <f>Reference!F472</f>
        <v>20472</v>
      </c>
      <c r="I114" s="17">
        <f>Reference!G472</f>
        <v>19.001000000000001</v>
      </c>
      <c r="J114" s="17">
        <f t="shared" si="9"/>
        <v>5.6866666666666665</v>
      </c>
      <c r="K114" s="28">
        <f>Reference!H472</f>
        <v>5042780</v>
      </c>
      <c r="L114" s="29">
        <f>Reference!I472</f>
        <v>729276</v>
      </c>
      <c r="N114" s="16">
        <f>Test!B472</f>
        <v>0</v>
      </c>
      <c r="O114" s="17">
        <f>Test!C472</f>
        <v>0</v>
      </c>
      <c r="P114" s="17">
        <f>Test!D472</f>
        <v>0</v>
      </c>
      <c r="Q114" s="17">
        <f>Test!E472</f>
        <v>0</v>
      </c>
      <c r="R114" s="17">
        <f>Test!F472</f>
        <v>0</v>
      </c>
      <c r="S114" s="17">
        <f>Test!G472</f>
        <v>0</v>
      </c>
      <c r="T114" s="17">
        <f t="shared" si="10"/>
        <v>0</v>
      </c>
      <c r="U114" s="28">
        <f>Test!H472</f>
        <v>0</v>
      </c>
      <c r="V114" s="29">
        <f>Test!I472</f>
        <v>0</v>
      </c>
      <c r="W114" s="14">
        <f t="shared" si="11"/>
        <v>0</v>
      </c>
      <c r="X114" s="14">
        <f t="shared" si="12"/>
        <v>0</v>
      </c>
      <c r="Y114" s="14">
        <f t="shared" si="13"/>
        <v>0</v>
      </c>
      <c r="Z114" s="22">
        <f t="shared" si="13"/>
        <v>0</v>
      </c>
      <c r="AA114" s="39"/>
      <c r="AB114" s="43"/>
      <c r="AC114" s="44"/>
      <c r="AD114" s="44"/>
      <c r="AE114" s="43"/>
      <c r="AF114" s="44"/>
      <c r="AG114" s="45"/>
    </row>
    <row r="115" spans="1:33" x14ac:dyDescent="0.2">
      <c r="A115" s="12"/>
      <c r="B115" s="9" t="s">
        <v>119</v>
      </c>
      <c r="C115" s="9">
        <v>22</v>
      </c>
      <c r="D115" s="10">
        <f>Reference!B473</f>
        <v>3161.3888000000002</v>
      </c>
      <c r="E115" s="11">
        <f>Reference!C473</f>
        <v>53.1982</v>
      </c>
      <c r="F115" s="11">
        <f>Reference!D473</f>
        <v>51.081699999999998</v>
      </c>
      <c r="G115" s="11">
        <f>Reference!E473</f>
        <v>49.745100000000001</v>
      </c>
      <c r="H115" s="11">
        <f>Reference!F473</f>
        <v>43822</v>
      </c>
      <c r="I115" s="11">
        <f>Reference!G473</f>
        <v>41.37</v>
      </c>
      <c r="J115" s="11">
        <f t="shared" si="9"/>
        <v>12.172777777777778</v>
      </c>
      <c r="K115" s="24">
        <f>Reference!H473</f>
        <v>4959844</v>
      </c>
      <c r="L115" s="25">
        <f>Reference!I473</f>
        <v>714436</v>
      </c>
      <c r="N115" s="10">
        <f>Test!B473</f>
        <v>0</v>
      </c>
      <c r="O115" s="11">
        <f>Test!C473</f>
        <v>0</v>
      </c>
      <c r="P115" s="11">
        <f>Test!D473</f>
        <v>0</v>
      </c>
      <c r="Q115" s="11">
        <f>Test!E473</f>
        <v>0</v>
      </c>
      <c r="R115" s="11">
        <f>Test!F473</f>
        <v>0</v>
      </c>
      <c r="S115" s="11">
        <f>Test!G473</f>
        <v>0</v>
      </c>
      <c r="T115" s="11">
        <f t="shared" si="10"/>
        <v>0</v>
      </c>
      <c r="U115" s="24">
        <f>Test!H473</f>
        <v>0</v>
      </c>
      <c r="V115" s="25">
        <f>Test!I473</f>
        <v>0</v>
      </c>
      <c r="W115" s="14">
        <f t="shared" si="11"/>
        <v>0</v>
      </c>
      <c r="X115" s="14">
        <f t="shared" si="12"/>
        <v>0</v>
      </c>
      <c r="Y115" s="14">
        <f t="shared" si="13"/>
        <v>0</v>
      </c>
      <c r="Z115" s="22">
        <f t="shared" si="13"/>
        <v>0</v>
      </c>
      <c r="AA115" s="39"/>
      <c r="AB115" s="36" t="e">
        <f>bdrate($D115:$D118,E115:E118,$N115:$N118,O115:O118)</f>
        <v>#VALUE!</v>
      </c>
      <c r="AC115" s="37" t="e">
        <f>bdrate($D115:$D118,F115:F118,$N115:$N118,P115:P118)</f>
        <v>#VALUE!</v>
      </c>
      <c r="AD115" s="37" t="e">
        <f>bdrate($D115:$D118,G115:G118,$N115:$N118,Q115:Q118)</f>
        <v>#VALUE!</v>
      </c>
      <c r="AE115" s="46" t="e">
        <f>bdrateOld($D115:$D118,E115:E118,$N115:$N118,O115:O118)</f>
        <v>#VALUE!</v>
      </c>
      <c r="AF115" s="47" t="e">
        <f>bdrateOld($D115:$D118,F115:F118,$N115:$N118,P115:P118)</f>
        <v>#VALUE!</v>
      </c>
      <c r="AG115" s="49" t="e">
        <f>bdrateOld($D115:$D118,G115:G118,$N115:$N118,Q115:Q118)</f>
        <v>#VALUE!</v>
      </c>
    </row>
    <row r="116" spans="1:33" x14ac:dyDescent="0.2">
      <c r="A116" s="12"/>
      <c r="B116" s="12"/>
      <c r="C116" s="12">
        <v>27</v>
      </c>
      <c r="D116" s="13">
        <f>Reference!B474</f>
        <v>2244.3968</v>
      </c>
      <c r="E116" s="14">
        <f>Reference!C474</f>
        <v>47.959000000000003</v>
      </c>
      <c r="F116" s="14">
        <f>Reference!D474</f>
        <v>46.039499999999997</v>
      </c>
      <c r="G116" s="14">
        <f>Reference!E474</f>
        <v>43.920200000000001</v>
      </c>
      <c r="H116" s="14">
        <f>Reference!F474</f>
        <v>40238</v>
      </c>
      <c r="I116" s="14">
        <f>Reference!G474</f>
        <v>44.395000000000003</v>
      </c>
      <c r="J116" s="14">
        <f t="shared" si="9"/>
        <v>11.177222222222222</v>
      </c>
      <c r="K116" s="26">
        <f>Reference!H474</f>
        <v>4965732</v>
      </c>
      <c r="L116" s="27">
        <f>Reference!I474</f>
        <v>741740</v>
      </c>
      <c r="N116" s="13">
        <f>Test!B474</f>
        <v>0</v>
      </c>
      <c r="O116" s="14">
        <f>Test!C474</f>
        <v>0</v>
      </c>
      <c r="P116" s="14">
        <f>Test!D474</f>
        <v>0</v>
      </c>
      <c r="Q116" s="14">
        <f>Test!E474</f>
        <v>0</v>
      </c>
      <c r="R116" s="14">
        <f>Test!F474</f>
        <v>0</v>
      </c>
      <c r="S116" s="14">
        <f>Test!G474</f>
        <v>0</v>
      </c>
      <c r="T116" s="14">
        <f t="shared" si="10"/>
        <v>0</v>
      </c>
      <c r="U116" s="26">
        <f>Test!H474</f>
        <v>0</v>
      </c>
      <c r="V116" s="27">
        <f>Test!I474</f>
        <v>0</v>
      </c>
      <c r="W116" s="14">
        <f t="shared" si="11"/>
        <v>0</v>
      </c>
      <c r="X116" s="14">
        <f t="shared" si="12"/>
        <v>0</v>
      </c>
      <c r="Y116" s="14">
        <f t="shared" si="13"/>
        <v>0</v>
      </c>
      <c r="Z116" s="22">
        <f t="shared" si="13"/>
        <v>0</v>
      </c>
      <c r="AA116" s="39"/>
      <c r="AB116" s="40"/>
      <c r="AC116" s="41"/>
      <c r="AD116" s="41"/>
      <c r="AE116" s="40"/>
      <c r="AF116" s="41"/>
      <c r="AG116" s="42"/>
    </row>
    <row r="117" spans="1:33" x14ac:dyDescent="0.2">
      <c r="A117" s="12"/>
      <c r="B117" s="12"/>
      <c r="C117" s="12">
        <v>32</v>
      </c>
      <c r="D117" s="13">
        <f>Reference!B475</f>
        <v>1718.6512</v>
      </c>
      <c r="E117" s="14">
        <f>Reference!C475</f>
        <v>42.600900000000003</v>
      </c>
      <c r="F117" s="14">
        <f>Reference!D475</f>
        <v>42.823900000000002</v>
      </c>
      <c r="G117" s="14">
        <f>Reference!E475</f>
        <v>40.197099999999999</v>
      </c>
      <c r="H117" s="14">
        <f>Reference!F475</f>
        <v>37198</v>
      </c>
      <c r="I117" s="14">
        <f>Reference!G475</f>
        <v>44.133000000000003</v>
      </c>
      <c r="J117" s="14">
        <f t="shared" si="9"/>
        <v>10.332777777777778</v>
      </c>
      <c r="K117" s="26">
        <f>Reference!H475</f>
        <v>4937948</v>
      </c>
      <c r="L117" s="27">
        <f>Reference!I475</f>
        <v>735508</v>
      </c>
      <c r="N117" s="13">
        <f>Test!B475</f>
        <v>0</v>
      </c>
      <c r="O117" s="14">
        <f>Test!C475</f>
        <v>0</v>
      </c>
      <c r="P117" s="14">
        <f>Test!D475</f>
        <v>0</v>
      </c>
      <c r="Q117" s="14">
        <f>Test!E475</f>
        <v>0</v>
      </c>
      <c r="R117" s="14">
        <f>Test!F475</f>
        <v>0</v>
      </c>
      <c r="S117" s="14">
        <f>Test!G475</f>
        <v>0</v>
      </c>
      <c r="T117" s="14">
        <f t="shared" si="10"/>
        <v>0</v>
      </c>
      <c r="U117" s="26">
        <f>Test!H475</f>
        <v>0</v>
      </c>
      <c r="V117" s="27">
        <f>Test!I475</f>
        <v>0</v>
      </c>
      <c r="W117" s="14">
        <f t="shared" si="11"/>
        <v>0</v>
      </c>
      <c r="X117" s="14">
        <f t="shared" si="12"/>
        <v>0</v>
      </c>
      <c r="Y117" s="14">
        <f t="shared" si="13"/>
        <v>0</v>
      </c>
      <c r="Z117" s="22">
        <f t="shared" si="13"/>
        <v>0</v>
      </c>
      <c r="AA117" s="39"/>
      <c r="AB117" s="40"/>
      <c r="AC117" s="41"/>
      <c r="AD117" s="41"/>
      <c r="AE117" s="40"/>
      <c r="AF117" s="41"/>
      <c r="AG117" s="42"/>
    </row>
    <row r="118" spans="1:33" x14ac:dyDescent="0.2">
      <c r="A118" s="12"/>
      <c r="B118" s="15"/>
      <c r="C118" s="15">
        <v>37</v>
      </c>
      <c r="D118" s="16">
        <f>Reference!B476</f>
        <v>1331.6656</v>
      </c>
      <c r="E118" s="17">
        <f>Reference!C476</f>
        <v>37.824100000000001</v>
      </c>
      <c r="F118" s="17">
        <f>Reference!D476</f>
        <v>39.531399999999998</v>
      </c>
      <c r="G118" s="17">
        <f>Reference!E476</f>
        <v>37.011400000000002</v>
      </c>
      <c r="H118" s="17">
        <f>Reference!F476</f>
        <v>33924</v>
      </c>
      <c r="I118" s="17">
        <f>Reference!G476</f>
        <v>44.002000000000002</v>
      </c>
      <c r="J118" s="17">
        <f t="shared" si="9"/>
        <v>9.4233333333333338</v>
      </c>
      <c r="K118" s="28">
        <f>Reference!H476</f>
        <v>4954964</v>
      </c>
      <c r="L118" s="29">
        <f>Reference!I476</f>
        <v>719944</v>
      </c>
      <c r="N118" s="16">
        <f>Test!B476</f>
        <v>0</v>
      </c>
      <c r="O118" s="17">
        <f>Test!C476</f>
        <v>0</v>
      </c>
      <c r="P118" s="17">
        <f>Test!D476</f>
        <v>0</v>
      </c>
      <c r="Q118" s="17">
        <f>Test!E476</f>
        <v>0</v>
      </c>
      <c r="R118" s="17">
        <f>Test!F476</f>
        <v>0</v>
      </c>
      <c r="S118" s="17">
        <f>Test!G476</f>
        <v>0</v>
      </c>
      <c r="T118" s="17">
        <f t="shared" si="10"/>
        <v>0</v>
      </c>
      <c r="U118" s="28">
        <f>Test!H476</f>
        <v>0</v>
      </c>
      <c r="V118" s="29">
        <f>Test!I476</f>
        <v>0</v>
      </c>
      <c r="W118" s="14">
        <f t="shared" si="11"/>
        <v>0</v>
      </c>
      <c r="X118" s="14">
        <f t="shared" si="12"/>
        <v>0</v>
      </c>
      <c r="Y118" s="14">
        <f t="shared" si="13"/>
        <v>0</v>
      </c>
      <c r="Z118" s="22">
        <f t="shared" si="13"/>
        <v>0</v>
      </c>
      <c r="AA118" s="39"/>
      <c r="AB118" s="43"/>
      <c r="AC118" s="44"/>
      <c r="AD118" s="44"/>
      <c r="AE118" s="43"/>
      <c r="AF118" s="44"/>
      <c r="AG118" s="45"/>
    </row>
    <row r="119" spans="1:33" x14ac:dyDescent="0.2">
      <c r="A119" s="12"/>
      <c r="B119" s="9" t="s">
        <v>120</v>
      </c>
      <c r="C119" s="9">
        <v>22</v>
      </c>
      <c r="D119" s="10">
        <f>Reference!B477</f>
        <v>2243.6624000000002</v>
      </c>
      <c r="E119" s="11">
        <f>Reference!C477</f>
        <v>48.094000000000001</v>
      </c>
      <c r="F119" s="11">
        <f>Reference!D477</f>
        <v>47.6325</v>
      </c>
      <c r="G119" s="11">
        <f>Reference!E477</f>
        <v>47.653700000000001</v>
      </c>
      <c r="H119" s="11">
        <f>Reference!F477</f>
        <v>32977</v>
      </c>
      <c r="I119" s="11">
        <f>Reference!G477</f>
        <v>18.548999999999999</v>
      </c>
      <c r="J119" s="11">
        <f t="shared" si="9"/>
        <v>9.1602777777777771</v>
      </c>
      <c r="K119" s="24">
        <f>Reference!H477</f>
        <v>5206788</v>
      </c>
      <c r="L119" s="25">
        <f>Reference!I477</f>
        <v>776108</v>
      </c>
      <c r="N119" s="10">
        <f>Test!B477</f>
        <v>0</v>
      </c>
      <c r="O119" s="11">
        <f>Test!C477</f>
        <v>0</v>
      </c>
      <c r="P119" s="11">
        <f>Test!D477</f>
        <v>0</v>
      </c>
      <c r="Q119" s="11">
        <f>Test!E477</f>
        <v>0</v>
      </c>
      <c r="R119" s="11">
        <f>Test!F477</f>
        <v>0</v>
      </c>
      <c r="S119" s="11">
        <f>Test!G477</f>
        <v>0</v>
      </c>
      <c r="T119" s="11">
        <f t="shared" si="10"/>
        <v>0</v>
      </c>
      <c r="U119" s="24">
        <f>Test!H477</f>
        <v>0</v>
      </c>
      <c r="V119" s="25">
        <f>Test!I477</f>
        <v>0</v>
      </c>
      <c r="W119" s="14">
        <f t="shared" si="11"/>
        <v>0</v>
      </c>
      <c r="X119" s="14">
        <f t="shared" si="12"/>
        <v>0</v>
      </c>
      <c r="Y119" s="14">
        <f t="shared" si="13"/>
        <v>0</v>
      </c>
      <c r="Z119" s="22">
        <f t="shared" si="13"/>
        <v>0</v>
      </c>
      <c r="AA119" s="39"/>
      <c r="AB119" s="36" t="e">
        <f>bdrate($D119:$D122,E119:E122,$N119:$N122,O119:O122)</f>
        <v>#VALUE!</v>
      </c>
      <c r="AC119" s="37" t="e">
        <f>bdrate($D119:$D122,F119:F122,$N119:$N122,P119:P122)</f>
        <v>#VALUE!</v>
      </c>
      <c r="AD119" s="37" t="e">
        <f>bdrate($D119:$D122,G119:G122,$N119:$N122,Q119:Q122)</f>
        <v>#VALUE!</v>
      </c>
      <c r="AE119" s="46" t="e">
        <f>bdrateOld($D119:$D122,E119:E122,$N119:$N122,O119:O122)</f>
        <v>#VALUE!</v>
      </c>
      <c r="AF119" s="47" t="e">
        <f>bdrateOld($D119:$D122,F119:F122,$N119:$N122,P119:P122)</f>
        <v>#VALUE!</v>
      </c>
      <c r="AG119" s="49" t="e">
        <f>bdrateOld($D119:$D122,G119:G122,$N119:$N122,Q119:Q122)</f>
        <v>#VALUE!</v>
      </c>
    </row>
    <row r="120" spans="1:33" x14ac:dyDescent="0.2">
      <c r="A120" s="12"/>
      <c r="B120" s="12"/>
      <c r="C120" s="12">
        <v>27</v>
      </c>
      <c r="D120" s="13">
        <f>Reference!B478</f>
        <v>1554.5247999999999</v>
      </c>
      <c r="E120" s="14">
        <f>Reference!C478</f>
        <v>43.433700000000002</v>
      </c>
      <c r="F120" s="14">
        <f>Reference!D478</f>
        <v>44.394799999999996</v>
      </c>
      <c r="G120" s="14">
        <f>Reference!E478</f>
        <v>44.154699999999998</v>
      </c>
      <c r="H120" s="14">
        <f>Reference!F478</f>
        <v>30650</v>
      </c>
      <c r="I120" s="14">
        <f>Reference!G478</f>
        <v>17.274000000000001</v>
      </c>
      <c r="J120" s="14">
        <f t="shared" si="9"/>
        <v>8.5138888888888893</v>
      </c>
      <c r="K120" s="26">
        <f>Reference!H478</f>
        <v>5225400</v>
      </c>
      <c r="L120" s="27">
        <f>Reference!I478</f>
        <v>805956</v>
      </c>
      <c r="N120" s="13">
        <f>Test!B478</f>
        <v>0</v>
      </c>
      <c r="O120" s="14">
        <f>Test!C478</f>
        <v>0</v>
      </c>
      <c r="P120" s="14">
        <f>Test!D478</f>
        <v>0</v>
      </c>
      <c r="Q120" s="14">
        <f>Test!E478</f>
        <v>0</v>
      </c>
      <c r="R120" s="14">
        <f>Test!F478</f>
        <v>0</v>
      </c>
      <c r="S120" s="14">
        <f>Test!G478</f>
        <v>0</v>
      </c>
      <c r="T120" s="14">
        <f t="shared" si="10"/>
        <v>0</v>
      </c>
      <c r="U120" s="26">
        <f>Test!H478</f>
        <v>0</v>
      </c>
      <c r="V120" s="27">
        <f>Test!I478</f>
        <v>0</v>
      </c>
      <c r="W120" s="14">
        <f t="shared" si="11"/>
        <v>0</v>
      </c>
      <c r="X120" s="14">
        <f t="shared" si="12"/>
        <v>0</v>
      </c>
      <c r="Y120" s="14">
        <f t="shared" si="13"/>
        <v>0</v>
      </c>
      <c r="Z120" s="22">
        <f t="shared" si="13"/>
        <v>0</v>
      </c>
      <c r="AA120" s="39"/>
      <c r="AB120" s="40"/>
      <c r="AC120" s="41"/>
      <c r="AD120" s="41"/>
      <c r="AE120" s="40"/>
      <c r="AF120" s="41"/>
      <c r="AG120" s="42"/>
    </row>
    <row r="121" spans="1:33" x14ac:dyDescent="0.2">
      <c r="A121" s="12"/>
      <c r="B121" s="12"/>
      <c r="C121" s="12">
        <v>32</v>
      </c>
      <c r="D121" s="13">
        <f>Reference!B479</f>
        <v>1099.1248000000001</v>
      </c>
      <c r="E121" s="14">
        <f>Reference!C479</f>
        <v>38.657499999999999</v>
      </c>
      <c r="F121" s="14">
        <f>Reference!D479</f>
        <v>41.700400000000002</v>
      </c>
      <c r="G121" s="14">
        <f>Reference!E479</f>
        <v>41.411099999999998</v>
      </c>
      <c r="H121" s="14">
        <f>Reference!F479</f>
        <v>28247</v>
      </c>
      <c r="I121" s="14">
        <f>Reference!G479</f>
        <v>16.701000000000001</v>
      </c>
      <c r="J121" s="14">
        <f t="shared" si="9"/>
        <v>7.8463888888888889</v>
      </c>
      <c r="K121" s="26">
        <f>Reference!H479</f>
        <v>5206100</v>
      </c>
      <c r="L121" s="27">
        <f>Reference!I479</f>
        <v>773772</v>
      </c>
      <c r="N121" s="13">
        <f>Test!B479</f>
        <v>0</v>
      </c>
      <c r="O121" s="14">
        <f>Test!C479</f>
        <v>0</v>
      </c>
      <c r="P121" s="14">
        <f>Test!D479</f>
        <v>0</v>
      </c>
      <c r="Q121" s="14">
        <f>Test!E479</f>
        <v>0</v>
      </c>
      <c r="R121" s="14">
        <f>Test!F479</f>
        <v>0</v>
      </c>
      <c r="S121" s="14">
        <f>Test!G479</f>
        <v>0</v>
      </c>
      <c r="T121" s="14">
        <f t="shared" si="10"/>
        <v>0</v>
      </c>
      <c r="U121" s="26">
        <f>Test!H479</f>
        <v>0</v>
      </c>
      <c r="V121" s="27">
        <f>Test!I479</f>
        <v>0</v>
      </c>
      <c r="W121" s="14">
        <f t="shared" si="11"/>
        <v>0</v>
      </c>
      <c r="X121" s="14">
        <f t="shared" si="12"/>
        <v>0</v>
      </c>
      <c r="Y121" s="14">
        <f t="shared" si="13"/>
        <v>0</v>
      </c>
      <c r="Z121" s="22">
        <f t="shared" si="13"/>
        <v>0</v>
      </c>
      <c r="AA121" s="39"/>
      <c r="AB121" s="40"/>
      <c r="AC121" s="41"/>
      <c r="AD121" s="41"/>
      <c r="AE121" s="40"/>
      <c r="AF121" s="41"/>
      <c r="AG121" s="42"/>
    </row>
    <row r="122" spans="1:33" x14ac:dyDescent="0.2">
      <c r="A122" s="15"/>
      <c r="B122" s="15"/>
      <c r="C122" s="15">
        <v>37</v>
      </c>
      <c r="D122" s="16">
        <f>Reference!B480</f>
        <v>768.14400000000001</v>
      </c>
      <c r="E122" s="17">
        <f>Reference!C480</f>
        <v>33.972200000000001</v>
      </c>
      <c r="F122" s="17">
        <f>Reference!D480</f>
        <v>38.810299999999998</v>
      </c>
      <c r="G122" s="17">
        <f>Reference!E480</f>
        <v>38.392800000000001</v>
      </c>
      <c r="H122" s="17">
        <f>Reference!F480</f>
        <v>26766</v>
      </c>
      <c r="I122" s="17">
        <f>Reference!G480</f>
        <v>16.824000000000002</v>
      </c>
      <c r="J122" s="17">
        <f t="shared" si="9"/>
        <v>7.4349999999999996</v>
      </c>
      <c r="K122" s="28">
        <f>Reference!H480</f>
        <v>5185416</v>
      </c>
      <c r="L122" s="29">
        <f>Reference!I480</f>
        <v>741428</v>
      </c>
      <c r="N122" s="16">
        <f>Test!B480</f>
        <v>0</v>
      </c>
      <c r="O122" s="17">
        <f>Test!C480</f>
        <v>0</v>
      </c>
      <c r="P122" s="17">
        <f>Test!D480</f>
        <v>0</v>
      </c>
      <c r="Q122" s="17">
        <f>Test!E480</f>
        <v>0</v>
      </c>
      <c r="R122" s="17">
        <f>Test!F480</f>
        <v>0</v>
      </c>
      <c r="S122" s="17">
        <f>Test!G480</f>
        <v>0</v>
      </c>
      <c r="T122" s="17">
        <f t="shared" si="10"/>
        <v>0</v>
      </c>
      <c r="U122" s="28">
        <f>Test!H480</f>
        <v>0</v>
      </c>
      <c r="V122" s="29">
        <f>Test!I480</f>
        <v>0</v>
      </c>
      <c r="W122" s="17">
        <f t="shared" si="11"/>
        <v>0</v>
      </c>
      <c r="X122" s="17">
        <f t="shared" si="12"/>
        <v>0</v>
      </c>
      <c r="Y122" s="17">
        <f t="shared" si="13"/>
        <v>0</v>
      </c>
      <c r="Z122" s="23">
        <f t="shared" si="13"/>
        <v>0</v>
      </c>
      <c r="AA122" s="48"/>
      <c r="AB122" s="43"/>
      <c r="AC122" s="44"/>
      <c r="AD122" s="44"/>
      <c r="AE122" s="43"/>
      <c r="AF122" s="44"/>
      <c r="AG122" s="45"/>
    </row>
    <row r="123" spans="1:33" x14ac:dyDescent="0.2">
      <c r="B123" s="2" t="s">
        <v>19</v>
      </c>
      <c r="I123" s="39"/>
      <c r="J123" s="39"/>
      <c r="K123" s="39"/>
      <c r="L123" s="50"/>
      <c r="S123" s="39"/>
      <c r="T123" s="39"/>
      <c r="U123" s="39"/>
      <c r="V123" s="50"/>
      <c r="W123" s="39"/>
      <c r="X123" s="39"/>
      <c r="Y123" s="39"/>
      <c r="Z123" s="50"/>
      <c r="AB123" s="36"/>
      <c r="AC123" s="37"/>
      <c r="AD123" s="38"/>
      <c r="AE123" s="36"/>
      <c r="AF123" s="37"/>
      <c r="AG123" s="38"/>
    </row>
    <row r="124" spans="1:33" x14ac:dyDescent="0.2">
      <c r="B124" s="2" t="s">
        <v>21</v>
      </c>
      <c r="I124" s="39"/>
      <c r="J124" s="39"/>
      <c r="K124" s="39"/>
      <c r="L124" s="50"/>
      <c r="S124" s="39"/>
      <c r="T124" s="39"/>
      <c r="U124" s="39"/>
      <c r="V124" s="50"/>
      <c r="W124" s="39"/>
      <c r="X124" s="39"/>
      <c r="Y124" s="39"/>
      <c r="Z124" s="50"/>
      <c r="AB124" s="46"/>
      <c r="AC124" s="47"/>
      <c r="AD124" s="49"/>
      <c r="AE124" s="46"/>
      <c r="AF124" s="47"/>
      <c r="AG124" s="49"/>
    </row>
    <row r="125" spans="1:33" x14ac:dyDescent="0.2">
      <c r="B125" s="2" t="s">
        <v>22</v>
      </c>
      <c r="I125" s="39">
        <f>GEOMEAN(I27:I46)</f>
        <v>52.046388439713716</v>
      </c>
      <c r="J125" s="39">
        <f>GEOMEAN(J27:J46)</f>
        <v>11.294362037180651</v>
      </c>
      <c r="K125" s="39"/>
      <c r="L125" s="50"/>
      <c r="S125" s="39" t="e">
        <f>GEOMEAN(S27:S46)</f>
        <v>#NUM!</v>
      </c>
      <c r="T125" s="39" t="e">
        <f>GEOMEAN(T27:T46)</f>
        <v>#NUM!</v>
      </c>
      <c r="U125" s="39"/>
      <c r="V125" s="50"/>
      <c r="W125" s="39" t="e">
        <f>GEOMEAN(W27:W46)</f>
        <v>#NUM!</v>
      </c>
      <c r="X125" s="39" t="e">
        <f>GEOMEAN(X27:X46)</f>
        <v>#NUM!</v>
      </c>
      <c r="Y125" s="39" t="e">
        <f>GEOMEAN(Y27:Y46)</f>
        <v>#NUM!</v>
      </c>
      <c r="Z125" s="50" t="e">
        <f>GEOMEAN(Z27:Z46)</f>
        <v>#NUM!</v>
      </c>
      <c r="AB125" s="46" t="e">
        <f t="shared" ref="AB125:AG125" si="14">AVERAGE(AB27:AB46)</f>
        <v>#VALUE!</v>
      </c>
      <c r="AC125" s="47" t="e">
        <f t="shared" si="14"/>
        <v>#VALUE!</v>
      </c>
      <c r="AD125" s="49" t="e">
        <f t="shared" si="14"/>
        <v>#VALUE!</v>
      </c>
      <c r="AE125" s="46" t="e">
        <f t="shared" si="14"/>
        <v>#VALUE!</v>
      </c>
      <c r="AF125" s="47" t="e">
        <f t="shared" si="14"/>
        <v>#VALUE!</v>
      </c>
      <c r="AG125" s="49" t="e">
        <f t="shared" si="14"/>
        <v>#VALUE!</v>
      </c>
    </row>
    <row r="126" spans="1:33" x14ac:dyDescent="0.2">
      <c r="B126" s="2" t="s">
        <v>23</v>
      </c>
      <c r="I126" s="39">
        <f>GEOMEAN(I47:I62)</f>
        <v>13.135876646033642</v>
      </c>
      <c r="J126" s="39">
        <f>GEOMEAN(J47:J62)</f>
        <v>3.4972296392252846</v>
      </c>
      <c r="K126" s="39"/>
      <c r="L126" s="50"/>
      <c r="S126" s="39" t="e">
        <f>GEOMEAN(S47:S62)</f>
        <v>#NUM!</v>
      </c>
      <c r="T126" s="39" t="e">
        <f>GEOMEAN(T47:T62)</f>
        <v>#NUM!</v>
      </c>
      <c r="U126" s="39"/>
      <c r="V126" s="50"/>
      <c r="W126" s="39" t="e">
        <f>GEOMEAN(W47:W62)</f>
        <v>#NUM!</v>
      </c>
      <c r="X126" s="39" t="e">
        <f>GEOMEAN(X47:X62)</f>
        <v>#NUM!</v>
      </c>
      <c r="Y126" s="39" t="e">
        <f>GEOMEAN(Y47:Y62)</f>
        <v>#NUM!</v>
      </c>
      <c r="Z126" s="50" t="e">
        <f>GEOMEAN(Z47:Z62)</f>
        <v>#NUM!</v>
      </c>
      <c r="AB126" s="46" t="e">
        <f t="shared" ref="AB126:AG126" si="15">AVERAGE(AB47:AB62)</f>
        <v>#VALUE!</v>
      </c>
      <c r="AC126" s="47" t="e">
        <f t="shared" si="15"/>
        <v>#VALUE!</v>
      </c>
      <c r="AD126" s="49" t="e">
        <f t="shared" si="15"/>
        <v>#VALUE!</v>
      </c>
      <c r="AE126" s="46" t="e">
        <f t="shared" si="15"/>
        <v>#VALUE!</v>
      </c>
      <c r="AF126" s="47" t="e">
        <f t="shared" si="15"/>
        <v>#VALUE!</v>
      </c>
      <c r="AG126" s="49" t="e">
        <f t="shared" si="15"/>
        <v>#VALUE!</v>
      </c>
    </row>
    <row r="127" spans="1:33" x14ac:dyDescent="0.2">
      <c r="B127" s="2" t="s">
        <v>27</v>
      </c>
      <c r="I127" s="39">
        <f>GEOMEAN(I63:I78)</f>
        <v>3.4944161939662308</v>
      </c>
      <c r="J127" s="39">
        <f>GEOMEAN(J63:J78)</f>
        <v>0.83604531129191073</v>
      </c>
      <c r="K127" s="39"/>
      <c r="L127" s="50"/>
      <c r="S127" s="39" t="e">
        <f>GEOMEAN(S63:S78)</f>
        <v>#NUM!</v>
      </c>
      <c r="T127" s="39" t="e">
        <f>GEOMEAN(T63:T78)</f>
        <v>#NUM!</v>
      </c>
      <c r="U127" s="39"/>
      <c r="V127" s="50"/>
      <c r="W127" s="39" t="e">
        <f>GEOMEAN(W63:W78)</f>
        <v>#NUM!</v>
      </c>
      <c r="X127" s="39" t="e">
        <f>GEOMEAN(X63:X78)</f>
        <v>#NUM!</v>
      </c>
      <c r="Y127" s="39" t="e">
        <f>GEOMEAN(Y63:Y78)</f>
        <v>#NUM!</v>
      </c>
      <c r="Z127" s="50" t="e">
        <f>GEOMEAN(Z63:Z78)</f>
        <v>#NUM!</v>
      </c>
      <c r="AB127" s="46" t="e">
        <f t="shared" ref="AB127:AG127" si="16">AVERAGE(AB63:AB78)</f>
        <v>#VALUE!</v>
      </c>
      <c r="AC127" s="47" t="e">
        <f t="shared" si="16"/>
        <v>#VALUE!</v>
      </c>
      <c r="AD127" s="49" t="e">
        <f t="shared" si="16"/>
        <v>#VALUE!</v>
      </c>
      <c r="AE127" s="46" t="e">
        <f t="shared" si="16"/>
        <v>#VALUE!</v>
      </c>
      <c r="AF127" s="47" t="e">
        <f t="shared" si="16"/>
        <v>#VALUE!</v>
      </c>
      <c r="AG127" s="49" t="e">
        <f t="shared" si="16"/>
        <v>#VALUE!</v>
      </c>
    </row>
    <row r="128" spans="1:33" x14ac:dyDescent="0.2">
      <c r="B128" s="2" t="s">
        <v>24</v>
      </c>
      <c r="I128" s="39">
        <f>GEOMEAN(I79:I90)</f>
        <v>14.086325518945568</v>
      </c>
      <c r="J128" s="39">
        <f>GEOMEAN(J79:J90)</f>
        <v>3.7149985296931427</v>
      </c>
      <c r="K128" s="39"/>
      <c r="L128" s="50"/>
      <c r="S128" s="39" t="e">
        <f>GEOMEAN(S79:S90)</f>
        <v>#NUM!</v>
      </c>
      <c r="T128" s="39" t="e">
        <f>GEOMEAN(T79:T90)</f>
        <v>#NUM!</v>
      </c>
      <c r="U128" s="39"/>
      <c r="V128" s="50"/>
      <c r="W128" s="39" t="e">
        <f>GEOMEAN(W79:W90)</f>
        <v>#NUM!</v>
      </c>
      <c r="X128" s="39" t="e">
        <f>GEOMEAN(X79:X90)</f>
        <v>#NUM!</v>
      </c>
      <c r="Y128" s="39" t="e">
        <f>GEOMEAN(Y79:Y90)</f>
        <v>#NUM!</v>
      </c>
      <c r="Z128" s="50" t="e">
        <f>GEOMEAN(Z79:Z90)</f>
        <v>#NUM!</v>
      </c>
      <c r="AB128" s="46" t="e">
        <f t="shared" ref="AB128:AG128" si="17">AVERAGE(AB79:AB88)</f>
        <v>#VALUE!</v>
      </c>
      <c r="AC128" s="47" t="e">
        <f t="shared" si="17"/>
        <v>#VALUE!</v>
      </c>
      <c r="AD128" s="49" t="e">
        <f t="shared" si="17"/>
        <v>#VALUE!</v>
      </c>
      <c r="AE128" s="46" t="e">
        <f t="shared" si="17"/>
        <v>#VALUE!</v>
      </c>
      <c r="AF128" s="47" t="e">
        <f t="shared" si="17"/>
        <v>#VALUE!</v>
      </c>
      <c r="AG128" s="49" t="e">
        <f t="shared" si="17"/>
        <v>#VALUE!</v>
      </c>
    </row>
    <row r="129" spans="1:33" x14ac:dyDescent="0.2">
      <c r="B129" s="2" t="s">
        <v>28</v>
      </c>
      <c r="I129" s="39">
        <f>GEOMEAN(I91:I106)</f>
        <v>10.220470804889919</v>
      </c>
      <c r="J129" s="39">
        <f>GEOMEAN(J91:J106)</f>
        <v>3.3704145690120799</v>
      </c>
      <c r="K129" s="39"/>
      <c r="L129" s="50"/>
      <c r="S129" s="39" t="e">
        <f>GEOMEAN(S91:S106)</f>
        <v>#NUM!</v>
      </c>
      <c r="T129" s="39" t="e">
        <f>GEOMEAN(T91:T106)</f>
        <v>#NUM!</v>
      </c>
      <c r="U129" s="39"/>
      <c r="V129" s="50"/>
      <c r="W129" s="39" t="e">
        <f>GEOMEAN(W91:W106)</f>
        <v>#NUM!</v>
      </c>
      <c r="X129" s="39" t="e">
        <f>GEOMEAN(X91:X106)</f>
        <v>#NUM!</v>
      </c>
      <c r="Y129" s="39" t="e">
        <f>GEOMEAN(Y91:Y106)</f>
        <v>#NUM!</v>
      </c>
      <c r="Z129" s="50" t="e">
        <f>GEOMEAN(Z91:Z106)</f>
        <v>#NUM!</v>
      </c>
      <c r="AB129" s="46" t="e">
        <f t="shared" ref="AB129:AG129" si="18">AVERAGE(AB91:AB106)</f>
        <v>#VALUE!</v>
      </c>
      <c r="AC129" s="47" t="e">
        <f t="shared" si="18"/>
        <v>#VALUE!</v>
      </c>
      <c r="AD129" s="49" t="e">
        <f t="shared" si="18"/>
        <v>#VALUE!</v>
      </c>
      <c r="AE129" s="46" t="e">
        <f t="shared" si="18"/>
        <v>#VALUE!</v>
      </c>
      <c r="AF129" s="47" t="e">
        <f t="shared" si="18"/>
        <v>#VALUE!</v>
      </c>
      <c r="AG129" s="49" t="e">
        <f t="shared" si="18"/>
        <v>#VALUE!</v>
      </c>
    </row>
    <row r="130" spans="1:33" x14ac:dyDescent="0.2">
      <c r="B130" s="2" t="s">
        <v>121</v>
      </c>
      <c r="I130" s="39">
        <f>GEOMEAN(I107:I122)</f>
        <v>35.482189598160659</v>
      </c>
      <c r="J130" s="39">
        <f>GEOMEAN(J107:J122)</f>
        <v>11.258687933254368</v>
      </c>
      <c r="K130" s="39"/>
      <c r="L130" s="50"/>
      <c r="S130" s="39" t="e">
        <f>GEOMEAN(S107:S122)</f>
        <v>#NUM!</v>
      </c>
      <c r="T130" s="39" t="e">
        <f>GEOMEAN(T107:T122)</f>
        <v>#NUM!</v>
      </c>
      <c r="U130" s="39"/>
      <c r="V130" s="50"/>
      <c r="W130" s="39" t="e">
        <f>GEOMEAN(W107:W122)</f>
        <v>#NUM!</v>
      </c>
      <c r="X130" s="39" t="e">
        <f>GEOMEAN(X107:X122)</f>
        <v>#NUM!</v>
      </c>
      <c r="Y130" s="39" t="e">
        <f>GEOMEAN(Y107:Y122)</f>
        <v>#NUM!</v>
      </c>
      <c r="Z130" s="50" t="e">
        <f>GEOMEAN(Z107:Z122)</f>
        <v>#NUM!</v>
      </c>
      <c r="AB130" s="46" t="e">
        <f t="shared" ref="AB130:AG130" si="19">AVERAGE(AB107:AB122)</f>
        <v>#VALUE!</v>
      </c>
      <c r="AC130" s="47" t="e">
        <f t="shared" si="19"/>
        <v>#VALUE!</v>
      </c>
      <c r="AD130" s="49" t="e">
        <f t="shared" si="19"/>
        <v>#VALUE!</v>
      </c>
      <c r="AE130" s="46" t="e">
        <f t="shared" si="19"/>
        <v>#VALUE!</v>
      </c>
      <c r="AF130" s="47" t="e">
        <f t="shared" si="19"/>
        <v>#VALUE!</v>
      </c>
      <c r="AG130" s="49" t="e">
        <f t="shared" si="19"/>
        <v>#VALUE!</v>
      </c>
    </row>
    <row r="131" spans="1:33" x14ac:dyDescent="0.2">
      <c r="A131" s="51"/>
      <c r="B131" s="52" t="s">
        <v>34</v>
      </c>
      <c r="C131" s="52"/>
      <c r="D131" s="52"/>
      <c r="E131" s="52"/>
      <c r="F131" s="52"/>
      <c r="G131" s="52"/>
      <c r="H131" s="52"/>
      <c r="I131" s="53">
        <f>GEOMEAN(I3:I62,I79:I90)</f>
        <v>23.72366958359547</v>
      </c>
      <c r="J131" s="53">
        <f>GEOMEAN(J3:J62,J79:J90)</f>
        <v>5.7865994579707225</v>
      </c>
      <c r="K131" s="53"/>
      <c r="L131" s="54"/>
      <c r="M131" s="52"/>
      <c r="N131" s="52"/>
      <c r="O131" s="52"/>
      <c r="P131" s="52"/>
      <c r="Q131" s="52"/>
      <c r="R131" s="52"/>
      <c r="S131" s="53" t="e">
        <f>GEOMEAN(S3:S62,S79:S90)</f>
        <v>#NUM!</v>
      </c>
      <c r="T131" s="53" t="e">
        <f>GEOMEAN(T3:T62,T79:T90)</f>
        <v>#NUM!</v>
      </c>
      <c r="U131" s="53"/>
      <c r="V131" s="54"/>
      <c r="W131" s="53" t="e">
        <f>GEOMEAN(W3:W62,W79:W90)</f>
        <v>#NUM!</v>
      </c>
      <c r="X131" s="53" t="e">
        <f>GEOMEAN(X3:X62,X79:X90)</f>
        <v>#NUM!</v>
      </c>
      <c r="Y131" s="53" t="e">
        <f>GEOMEAN(Y3:Y62,Y79:Y90)</f>
        <v>#NUM!</v>
      </c>
      <c r="Z131" s="54" t="e">
        <f>GEOMEAN(Z3:Z62,Z79:Z90)</f>
        <v>#NUM!</v>
      </c>
      <c r="AA131" s="52"/>
      <c r="AB131" s="59" t="e">
        <f t="shared" ref="AB131:AG131" si="20">AVERAGE(AB3:AB62,AB79:AB90)</f>
        <v>#VALUE!</v>
      </c>
      <c r="AC131" s="60" t="e">
        <f t="shared" si="20"/>
        <v>#VALUE!</v>
      </c>
      <c r="AD131" s="61" t="e">
        <f t="shared" si="20"/>
        <v>#VALUE!</v>
      </c>
      <c r="AE131" s="59" t="e">
        <f t="shared" si="20"/>
        <v>#VALUE!</v>
      </c>
      <c r="AF131" s="60" t="e">
        <f t="shared" si="20"/>
        <v>#VALUE!</v>
      </c>
      <c r="AG131" s="61" t="e">
        <f t="shared" si="20"/>
        <v>#VALUE!</v>
      </c>
    </row>
    <row r="132" spans="1:33" x14ac:dyDescent="0.2">
      <c r="B132" s="2" t="s">
        <v>122</v>
      </c>
      <c r="I132" s="55">
        <f>GEOMEAN(I3:I106)</f>
        <v>13.667158350290157</v>
      </c>
      <c r="J132" s="55">
        <f>GEOMEAN(J3:J106)</f>
        <v>3.5272535644779173</v>
      </c>
      <c r="K132" s="55"/>
      <c r="L132" s="56"/>
      <c r="S132" s="55" t="e">
        <f>GEOMEAN(S3:S106)</f>
        <v>#NUM!</v>
      </c>
      <c r="T132" s="55" t="e">
        <f>GEOMEAN(T3:T106)</f>
        <v>#NUM!</v>
      </c>
      <c r="U132" s="55"/>
      <c r="V132" s="56"/>
      <c r="W132" s="55"/>
      <c r="X132" s="55"/>
      <c r="Y132" s="55"/>
      <c r="Z132" s="55"/>
    </row>
    <row r="133" spans="1:33" x14ac:dyDescent="0.2">
      <c r="B133" s="2" t="s">
        <v>123</v>
      </c>
      <c r="S133" s="57" t="e">
        <f>S132/I132</f>
        <v>#NUM!</v>
      </c>
      <c r="T133" s="57" t="e">
        <f>T132/J132</f>
        <v>#NUM!</v>
      </c>
      <c r="U133" s="57"/>
      <c r="V133" s="58"/>
      <c r="W133" s="57"/>
      <c r="X133" s="57"/>
      <c r="Y133" s="57"/>
      <c r="Z133" s="57"/>
    </row>
    <row r="134" spans="1:33" x14ac:dyDescent="0.2">
      <c r="B134" s="2" t="s">
        <v>124</v>
      </c>
      <c r="I134" s="55"/>
      <c r="J134" s="55"/>
      <c r="K134" s="55"/>
      <c r="L134" s="56"/>
      <c r="S134" s="55"/>
      <c r="T134" s="55"/>
      <c r="U134" s="55"/>
      <c r="V134" s="56"/>
      <c r="W134" s="55"/>
      <c r="X134" s="55"/>
      <c r="Y134" s="55"/>
      <c r="Z134" s="55"/>
    </row>
    <row r="136" spans="1:33" x14ac:dyDescent="0.2">
      <c r="B136" s="2" t="s">
        <v>125</v>
      </c>
    </row>
    <row r="137" spans="1:33" x14ac:dyDescent="0.2">
      <c r="B137" s="2" t="s">
        <v>19</v>
      </c>
      <c r="I137" s="39">
        <f>SUM(I$3:I$14)</f>
        <v>0</v>
      </c>
      <c r="J137" s="39">
        <f>SUM(J$3:J$14)</f>
        <v>0</v>
      </c>
      <c r="K137" s="39"/>
      <c r="L137" s="50"/>
      <c r="S137" s="39">
        <f>SUM(S$3:S$14)</f>
        <v>0</v>
      </c>
      <c r="T137" s="39">
        <f>SUM(T$3:T$14)</f>
        <v>0</v>
      </c>
      <c r="U137" s="39"/>
      <c r="V137" s="50"/>
      <c r="W137" s="39" t="e">
        <f>T137/J137</f>
        <v>#DIV/0!</v>
      </c>
      <c r="X137" s="39" t="e">
        <f>S137/I137</f>
        <v>#DIV/0!</v>
      </c>
      <c r="Y137" s="39"/>
      <c r="Z137" s="39"/>
    </row>
    <row r="138" spans="1:33" x14ac:dyDescent="0.2">
      <c r="B138" s="2" t="s">
        <v>21</v>
      </c>
      <c r="I138" s="39">
        <f>SUM(I$15:I$26)</f>
        <v>0</v>
      </c>
      <c r="J138" s="39">
        <f>SUM(J$15:J$26)</f>
        <v>0</v>
      </c>
      <c r="K138" s="39"/>
      <c r="L138" s="50"/>
      <c r="S138" s="39">
        <f>SUM(S$15:S$26)</f>
        <v>0</v>
      </c>
      <c r="T138" s="39">
        <f>SUM(T$15:T$26)</f>
        <v>0</v>
      </c>
      <c r="U138" s="39"/>
      <c r="V138" s="50"/>
      <c r="W138" s="39" t="e">
        <f t="shared" ref="W138:W145" si="21">T138/J138</f>
        <v>#DIV/0!</v>
      </c>
      <c r="X138" s="39" t="e">
        <f t="shared" ref="X138:X145" si="22">S138/I138</f>
        <v>#DIV/0!</v>
      </c>
      <c r="Y138" s="39"/>
      <c r="Z138" s="39"/>
    </row>
    <row r="139" spans="1:33" x14ac:dyDescent="0.2">
      <c r="B139" s="2" t="s">
        <v>22</v>
      </c>
      <c r="I139" s="39">
        <f>SUM(I$27:I$46)</f>
        <v>1134.1310000000001</v>
      </c>
      <c r="J139" s="39">
        <f>SUM(J$27:J$46)</f>
        <v>279.45888888888885</v>
      </c>
      <c r="K139" s="39"/>
      <c r="L139" s="50"/>
      <c r="S139" s="39">
        <f>SUM(S$27:S$46)</f>
        <v>0</v>
      </c>
      <c r="T139" s="39">
        <f>SUM(T$27:T$46)</f>
        <v>0</v>
      </c>
      <c r="U139" s="39"/>
      <c r="V139" s="50"/>
      <c r="W139" s="39">
        <f t="shared" si="21"/>
        <v>0</v>
      </c>
      <c r="X139" s="39">
        <f t="shared" si="22"/>
        <v>0</v>
      </c>
      <c r="Y139" s="39"/>
      <c r="Z139" s="39"/>
    </row>
    <row r="140" spans="1:33" x14ac:dyDescent="0.2">
      <c r="B140" s="2" t="s">
        <v>23</v>
      </c>
      <c r="I140" s="39">
        <f>SUM(I$47:I$62)</f>
        <v>219.12900000000002</v>
      </c>
      <c r="J140" s="39">
        <f>SUM(J$47:J$62)</f>
        <v>59.845833333333339</v>
      </c>
      <c r="K140" s="39"/>
      <c r="L140" s="50"/>
      <c r="S140" s="39">
        <f>SUM(S$47:S$62)</f>
        <v>0</v>
      </c>
      <c r="T140" s="39">
        <f>SUM(T$47:T$62)</f>
        <v>0</v>
      </c>
      <c r="U140" s="39"/>
      <c r="V140" s="50"/>
      <c r="W140" s="39">
        <f t="shared" si="21"/>
        <v>0</v>
      </c>
      <c r="X140" s="39">
        <f t="shared" si="22"/>
        <v>0</v>
      </c>
      <c r="Y140" s="39"/>
      <c r="Z140" s="39"/>
    </row>
    <row r="141" spans="1:33" x14ac:dyDescent="0.2">
      <c r="B141" s="2" t="s">
        <v>27</v>
      </c>
      <c r="I141" s="39">
        <f>SUM(I$63:I$78)</f>
        <v>59.216999999999985</v>
      </c>
      <c r="J141" s="39">
        <f>SUM(J$63:J$78)</f>
        <v>14.198333333333336</v>
      </c>
      <c r="K141" s="39"/>
      <c r="L141" s="50"/>
      <c r="S141" s="39">
        <f>SUM(S$63:S$78)</f>
        <v>0</v>
      </c>
      <c r="T141" s="39">
        <f>SUM(T$63:T$78)</f>
        <v>0</v>
      </c>
      <c r="U141" s="39"/>
      <c r="V141" s="50"/>
      <c r="W141" s="39">
        <f t="shared" si="21"/>
        <v>0</v>
      </c>
      <c r="X141" s="39">
        <f t="shared" si="22"/>
        <v>0</v>
      </c>
      <c r="Y141" s="39"/>
      <c r="Z141" s="39"/>
    </row>
    <row r="142" spans="1:33" x14ac:dyDescent="0.2">
      <c r="B142" s="2" t="s">
        <v>24</v>
      </c>
      <c r="I142" s="39">
        <f>SUM(I$79:I$90)</f>
        <v>184.04599999999996</v>
      </c>
      <c r="J142" s="39">
        <f>SUM(J$79:J$90)</f>
        <v>47.49722222222222</v>
      </c>
      <c r="K142" s="39"/>
      <c r="L142" s="50"/>
      <c r="S142" s="39">
        <f>SUM(S$79:S$90)</f>
        <v>0</v>
      </c>
      <c r="T142" s="39">
        <f>SUM(T$79:T$90)</f>
        <v>0</v>
      </c>
      <c r="U142" s="39"/>
      <c r="V142" s="50"/>
      <c r="W142" s="39">
        <f t="shared" si="21"/>
        <v>0</v>
      </c>
      <c r="X142" s="39">
        <f t="shared" si="22"/>
        <v>0</v>
      </c>
      <c r="Y142" s="39"/>
      <c r="Z142" s="39"/>
    </row>
    <row r="143" spans="1:33" x14ac:dyDescent="0.2">
      <c r="B143" s="2" t="s">
        <v>28</v>
      </c>
      <c r="I143" s="39">
        <f>SUM(I$91:I$106)</f>
        <v>352.64899999999994</v>
      </c>
      <c r="J143" s="39">
        <f>SUM(J$91:J$106)</f>
        <v>107.89138888888891</v>
      </c>
      <c r="K143" s="39"/>
      <c r="L143" s="50"/>
      <c r="S143" s="39">
        <f>SUM(S$91:S$106)</f>
        <v>0</v>
      </c>
      <c r="T143" s="39">
        <f>SUM(T$91:T$106)</f>
        <v>0</v>
      </c>
      <c r="U143" s="39"/>
      <c r="V143" s="50"/>
      <c r="W143" s="39">
        <f t="shared" si="21"/>
        <v>0</v>
      </c>
      <c r="X143" s="39">
        <f t="shared" si="22"/>
        <v>0</v>
      </c>
      <c r="Y143" s="39"/>
      <c r="Z143" s="39"/>
    </row>
    <row r="144" spans="1:33" x14ac:dyDescent="0.2">
      <c r="B144" s="2" t="s">
        <v>29</v>
      </c>
      <c r="I144" s="39">
        <f>SUM(I$107:I$122)</f>
        <v>724.976</v>
      </c>
      <c r="J144" s="39">
        <f>SUM(J$107:J$122)</f>
        <v>223.73861111111111</v>
      </c>
      <c r="K144" s="39"/>
      <c r="L144" s="50"/>
      <c r="S144" s="39">
        <f>SUM(S$107:S$122)</f>
        <v>0</v>
      </c>
      <c r="T144" s="39">
        <f>SUM(T$107:T$122)</f>
        <v>0</v>
      </c>
      <c r="U144" s="39"/>
      <c r="V144" s="50"/>
      <c r="W144" s="39">
        <f t="shared" si="21"/>
        <v>0</v>
      </c>
      <c r="X144" s="39">
        <f t="shared" si="22"/>
        <v>0</v>
      </c>
      <c r="Y144" s="39"/>
      <c r="Z144" s="39"/>
    </row>
    <row r="145" spans="2:26" x14ac:dyDescent="0.2">
      <c r="B145" s="2" t="s">
        <v>34</v>
      </c>
      <c r="I145" s="39">
        <f>SUM(I137:I144)</f>
        <v>2674.1480000000001</v>
      </c>
      <c r="J145" s="39">
        <f>SUM(J137:J144)</f>
        <v>732.63027777777779</v>
      </c>
      <c r="K145" s="39"/>
      <c r="L145" s="50"/>
      <c r="S145" s="39">
        <f>SUM(S137:S144)</f>
        <v>0</v>
      </c>
      <c r="T145" s="39">
        <f>SUM(T137:T144)</f>
        <v>0</v>
      </c>
      <c r="U145" s="39"/>
      <c r="V145" s="50"/>
      <c r="W145" s="39">
        <f t="shared" si="21"/>
        <v>0</v>
      </c>
      <c r="X145" s="39">
        <f t="shared" si="22"/>
        <v>0</v>
      </c>
      <c r="Y145" s="39"/>
      <c r="Z145" s="39"/>
    </row>
    <row r="146" spans="2:26" x14ac:dyDescent="0.2">
      <c r="W146" s="39"/>
      <c r="X146" s="39"/>
      <c r="Y146" s="39"/>
      <c r="Z146" s="39"/>
    </row>
    <row r="147" spans="2:26" x14ac:dyDescent="0.2">
      <c r="B147" s="2" t="s">
        <v>126</v>
      </c>
      <c r="W147" s="39"/>
      <c r="X147" s="39"/>
      <c r="Y147" s="39"/>
      <c r="Z147" s="39"/>
    </row>
    <row r="148" spans="2:26" x14ac:dyDescent="0.2">
      <c r="B148" s="2" t="s">
        <v>19</v>
      </c>
      <c r="I148" s="39">
        <f>MAX(I$3:I$14)</f>
        <v>0</v>
      </c>
      <c r="J148" s="39">
        <f>MAX(J$3:J$14)</f>
        <v>0</v>
      </c>
      <c r="K148" s="39"/>
      <c r="L148" s="50"/>
      <c r="S148" s="39">
        <f>MAX(S$3:S$14)</f>
        <v>0</v>
      </c>
      <c r="T148" s="39">
        <f>MAX(T$3:T$14)</f>
        <v>0</v>
      </c>
      <c r="U148" s="39"/>
      <c r="V148" s="50"/>
      <c r="W148" s="39" t="e">
        <f t="shared" ref="W148:W156" si="23">T148/J148</f>
        <v>#DIV/0!</v>
      </c>
      <c r="X148" s="39" t="e">
        <f t="shared" ref="X148:X156" si="24">S148/I148</f>
        <v>#DIV/0!</v>
      </c>
      <c r="Y148" s="39"/>
      <c r="Z148" s="39"/>
    </row>
    <row r="149" spans="2:26" x14ac:dyDescent="0.2">
      <c r="B149" s="2" t="s">
        <v>21</v>
      </c>
      <c r="I149" s="39">
        <f>MAX(I$15:I$26)</f>
        <v>0</v>
      </c>
      <c r="J149" s="39">
        <f>MAX(J$15:J$26)</f>
        <v>0</v>
      </c>
      <c r="K149" s="39"/>
      <c r="L149" s="50"/>
      <c r="S149" s="39">
        <f>MAX(S$15:S$26)</f>
        <v>0</v>
      </c>
      <c r="T149" s="39">
        <f>MAX(T$15:T$26)</f>
        <v>0</v>
      </c>
      <c r="U149" s="39"/>
      <c r="V149" s="50"/>
      <c r="W149" s="39" t="e">
        <f t="shared" si="23"/>
        <v>#DIV/0!</v>
      </c>
      <c r="X149" s="39" t="e">
        <f t="shared" si="24"/>
        <v>#DIV/0!</v>
      </c>
      <c r="Y149" s="39"/>
      <c r="Z149" s="39"/>
    </row>
    <row r="150" spans="2:26" x14ac:dyDescent="0.2">
      <c r="B150" s="2" t="s">
        <v>22</v>
      </c>
      <c r="I150" s="39">
        <f>MAX(I$27:I$46)</f>
        <v>118.80200000000001</v>
      </c>
      <c r="J150" s="39">
        <f>MAX(J$27:J$46)</f>
        <v>43.835555555555558</v>
      </c>
      <c r="K150" s="39"/>
      <c r="L150" s="50"/>
      <c r="S150" s="39">
        <f>MAX(S$27:S$46)</f>
        <v>0</v>
      </c>
      <c r="T150" s="39">
        <f>MAX(T$27:T$46)</f>
        <v>0</v>
      </c>
      <c r="U150" s="39"/>
      <c r="V150" s="50"/>
      <c r="W150" s="39">
        <f t="shared" si="23"/>
        <v>0</v>
      </c>
      <c r="X150" s="39">
        <f t="shared" si="24"/>
        <v>0</v>
      </c>
      <c r="Y150" s="39"/>
      <c r="Z150" s="39"/>
    </row>
    <row r="151" spans="2:26" x14ac:dyDescent="0.2">
      <c r="B151" s="2" t="s">
        <v>23</v>
      </c>
      <c r="I151" s="39">
        <f>MAX(I$47:I$62)</f>
        <v>23.276</v>
      </c>
      <c r="J151" s="39">
        <f>MAX(J$47:J$62)</f>
        <v>6.9019444444444442</v>
      </c>
      <c r="K151" s="39"/>
      <c r="L151" s="50"/>
      <c r="S151" s="39">
        <f>MAX(S$47:S$62)</f>
        <v>0</v>
      </c>
      <c r="T151" s="39">
        <f>MAX(T$47:T$62)</f>
        <v>0</v>
      </c>
      <c r="U151" s="39"/>
      <c r="V151" s="50"/>
      <c r="W151" s="39">
        <f t="shared" si="23"/>
        <v>0</v>
      </c>
      <c r="X151" s="39">
        <f t="shared" si="24"/>
        <v>0</v>
      </c>
      <c r="Y151" s="39"/>
      <c r="Z151" s="39"/>
    </row>
    <row r="152" spans="2:26" x14ac:dyDescent="0.2">
      <c r="B152" s="2" t="s">
        <v>27</v>
      </c>
      <c r="I152" s="39">
        <f>MAX(I$63:I$78)</f>
        <v>6.5979999999999999</v>
      </c>
      <c r="J152" s="39">
        <f>MAX(J$63:J$78)</f>
        <v>1.52</v>
      </c>
      <c r="K152" s="39"/>
      <c r="L152" s="50"/>
      <c r="S152" s="39">
        <f>MAX(S$63:S$78)</f>
        <v>0</v>
      </c>
      <c r="T152" s="39">
        <f>MAX(T$63:T$78)</f>
        <v>0</v>
      </c>
      <c r="U152" s="39"/>
      <c r="V152" s="50"/>
      <c r="W152" s="39">
        <f t="shared" si="23"/>
        <v>0</v>
      </c>
      <c r="X152" s="39">
        <f t="shared" si="24"/>
        <v>0</v>
      </c>
      <c r="Y152" s="39"/>
      <c r="Z152" s="39"/>
    </row>
    <row r="153" spans="2:26" x14ac:dyDescent="0.2">
      <c r="B153" s="2" t="s">
        <v>24</v>
      </c>
      <c r="I153" s="39">
        <f>MAX(I$79:I$90)</f>
        <v>27.248000000000001</v>
      </c>
      <c r="J153" s="39">
        <f>MAX(J$79:J$90)</f>
        <v>6.6022222222222222</v>
      </c>
      <c r="K153" s="39"/>
      <c r="L153" s="50"/>
      <c r="S153" s="39">
        <f>MAX(S$79:S$90)</f>
        <v>0</v>
      </c>
      <c r="T153" s="39">
        <f>MAX(T$79:T$90)</f>
        <v>0</v>
      </c>
      <c r="U153" s="39"/>
      <c r="V153" s="50"/>
      <c r="W153" s="39">
        <f t="shared" si="23"/>
        <v>0</v>
      </c>
      <c r="X153" s="39">
        <f t="shared" si="24"/>
        <v>0</v>
      </c>
      <c r="Y153" s="39"/>
      <c r="Z153" s="39"/>
    </row>
    <row r="154" spans="2:26" x14ac:dyDescent="0.2">
      <c r="B154" s="2" t="s">
        <v>28</v>
      </c>
      <c r="I154" s="39">
        <f>MAX(I$91:I$106)</f>
        <v>98.781000000000006</v>
      </c>
      <c r="J154" s="39">
        <f>MAX(J$91:J$106)</f>
        <v>33.587777777777781</v>
      </c>
      <c r="K154" s="39"/>
      <c r="L154" s="50"/>
      <c r="S154" s="39">
        <f>MAX(S$91:S$106)</f>
        <v>0</v>
      </c>
      <c r="T154" s="39">
        <f>MAX(T$91:T$106)</f>
        <v>0</v>
      </c>
      <c r="U154" s="39"/>
      <c r="V154" s="50"/>
      <c r="W154" s="39">
        <f t="shared" si="23"/>
        <v>0</v>
      </c>
      <c r="X154" s="39">
        <f t="shared" si="24"/>
        <v>0</v>
      </c>
      <c r="Y154" s="39"/>
      <c r="Z154" s="39"/>
    </row>
    <row r="155" spans="2:26" x14ac:dyDescent="0.2">
      <c r="B155" s="2" t="s">
        <v>29</v>
      </c>
      <c r="I155" s="39">
        <f>MAX(I$107:I$122)</f>
        <v>109.61</v>
      </c>
      <c r="J155" s="39">
        <f>MAX(J$107:J$122)</f>
        <v>40.141944444444448</v>
      </c>
      <c r="K155" s="39"/>
      <c r="L155" s="50"/>
      <c r="S155" s="39">
        <f>MAX(S$107:S$122)</f>
        <v>0</v>
      </c>
      <c r="T155" s="39">
        <f>MAX(T$107:T$122)</f>
        <v>0</v>
      </c>
      <c r="U155" s="39"/>
      <c r="V155" s="50"/>
      <c r="W155" s="39">
        <f t="shared" si="23"/>
        <v>0</v>
      </c>
      <c r="X155" s="39">
        <f t="shared" si="24"/>
        <v>0</v>
      </c>
      <c r="Y155" s="39"/>
      <c r="Z155" s="39"/>
    </row>
    <row r="156" spans="2:26" x14ac:dyDescent="0.2">
      <c r="B156" s="2" t="s">
        <v>34</v>
      </c>
      <c r="I156" s="39">
        <f>MAX(I148:I155)</f>
        <v>118.80200000000001</v>
      </c>
      <c r="J156" s="39">
        <f>MAX(J148:J155)</f>
        <v>43.835555555555558</v>
      </c>
      <c r="K156" s="39"/>
      <c r="L156" s="50"/>
      <c r="S156" s="39">
        <f>MAX(S148:S155)</f>
        <v>0</v>
      </c>
      <c r="T156" s="39">
        <f>MAX(T148:T155)</f>
        <v>0</v>
      </c>
      <c r="U156" s="39"/>
      <c r="V156" s="50"/>
      <c r="W156" s="39">
        <f t="shared" si="23"/>
        <v>0</v>
      </c>
      <c r="X156" s="39">
        <f t="shared" si="24"/>
        <v>0</v>
      </c>
      <c r="Y156" s="39"/>
      <c r="Z156" s="39"/>
    </row>
  </sheetData>
  <mergeCells count="4">
    <mergeCell ref="D1:L1"/>
    <mergeCell ref="N1:V1"/>
    <mergeCell ref="AB1:AD1"/>
    <mergeCell ref="AE1:AG1"/>
  </mergeCells>
  <phoneticPr fontId="7" type="noConversion"/>
  <conditionalFormatting sqref="AE3">
    <cfRule type="cellIs" dxfId="335" priority="271" operator="greaterThan">
      <formula>0.03</formula>
    </cfRule>
    <cfRule type="cellIs" dxfId="334" priority="272" stopIfTrue="1" operator="lessThan">
      <formula>-0.03</formula>
    </cfRule>
  </conditionalFormatting>
  <conditionalFormatting sqref="AF3">
    <cfRule type="cellIs" dxfId="333" priority="269" operator="greaterThan">
      <formula>0.03</formula>
    </cfRule>
    <cfRule type="cellIs" dxfId="332" priority="270" stopIfTrue="1" operator="lessThan">
      <formula>-0.03</formula>
    </cfRule>
  </conditionalFormatting>
  <conditionalFormatting sqref="AG3">
    <cfRule type="cellIs" dxfId="331" priority="267" operator="greaterThan">
      <formula>0.03</formula>
    </cfRule>
    <cfRule type="cellIs" dxfId="330" priority="268" stopIfTrue="1" operator="lessThan">
      <formula>-0.03</formula>
    </cfRule>
  </conditionalFormatting>
  <conditionalFormatting sqref="AE6:AF6">
    <cfRule type="cellIs" dxfId="329" priority="253" operator="greaterThan">
      <formula>0.03</formula>
    </cfRule>
    <cfRule type="cellIs" dxfId="328" priority="254" stopIfTrue="1" operator="lessThan">
      <formula>-0.03</formula>
    </cfRule>
  </conditionalFormatting>
  <conditionalFormatting sqref="AE7">
    <cfRule type="cellIs" dxfId="327" priority="265" operator="greaterThan">
      <formula>0.03</formula>
    </cfRule>
    <cfRule type="cellIs" dxfId="326" priority="266" stopIfTrue="1" operator="lessThan">
      <formula>-0.03</formula>
    </cfRule>
  </conditionalFormatting>
  <conditionalFormatting sqref="AF7">
    <cfRule type="cellIs" dxfId="325" priority="263" operator="greaterThan">
      <formula>0.03</formula>
    </cfRule>
    <cfRule type="cellIs" dxfId="324" priority="264" stopIfTrue="1" operator="lessThan">
      <formula>-0.03</formula>
    </cfRule>
  </conditionalFormatting>
  <conditionalFormatting sqref="AG7">
    <cfRule type="cellIs" dxfId="323" priority="261" operator="greaterThan">
      <formula>0.03</formula>
    </cfRule>
    <cfRule type="cellIs" dxfId="322" priority="262" stopIfTrue="1" operator="lessThan">
      <formula>-0.03</formula>
    </cfRule>
  </conditionalFormatting>
  <conditionalFormatting sqref="AE10:AF10">
    <cfRule type="cellIs" dxfId="321" priority="251" operator="greaterThan">
      <formula>0.03</formula>
    </cfRule>
    <cfRule type="cellIs" dxfId="320" priority="252" stopIfTrue="1" operator="lessThan">
      <formula>-0.03</formula>
    </cfRule>
  </conditionalFormatting>
  <conditionalFormatting sqref="AE11">
    <cfRule type="cellIs" dxfId="319" priority="259" operator="greaterThan">
      <formula>0.03</formula>
    </cfRule>
    <cfRule type="cellIs" dxfId="318" priority="260" stopIfTrue="1" operator="lessThan">
      <formula>-0.03</formula>
    </cfRule>
  </conditionalFormatting>
  <conditionalFormatting sqref="AF11">
    <cfRule type="cellIs" dxfId="317" priority="257" operator="greaterThan">
      <formula>0.03</formula>
    </cfRule>
    <cfRule type="cellIs" dxfId="316" priority="258" stopIfTrue="1" operator="lessThan">
      <formula>-0.03</formula>
    </cfRule>
  </conditionalFormatting>
  <conditionalFormatting sqref="AG11">
    <cfRule type="cellIs" dxfId="315" priority="255" operator="greaterThan">
      <formula>0.03</formula>
    </cfRule>
    <cfRule type="cellIs" dxfId="314" priority="256" stopIfTrue="1" operator="lessThan">
      <formula>-0.03</formula>
    </cfRule>
  </conditionalFormatting>
  <conditionalFormatting sqref="AE14:AF14">
    <cfRule type="cellIs" dxfId="313" priority="249" operator="greaterThan">
      <formula>0.03</formula>
    </cfRule>
    <cfRule type="cellIs" dxfId="312" priority="250" stopIfTrue="1" operator="lessThan">
      <formula>-0.03</formula>
    </cfRule>
  </conditionalFormatting>
  <conditionalFormatting sqref="AE15">
    <cfRule type="cellIs" dxfId="311" priority="233" operator="greaterThan">
      <formula>0.03</formula>
    </cfRule>
    <cfRule type="cellIs" dxfId="310" priority="234" stopIfTrue="1" operator="lessThan">
      <formula>-0.03</formula>
    </cfRule>
  </conditionalFormatting>
  <conditionalFormatting sqref="AF15">
    <cfRule type="cellIs" dxfId="309" priority="231" operator="greaterThan">
      <formula>0.03</formula>
    </cfRule>
    <cfRule type="cellIs" dxfId="308" priority="232" stopIfTrue="1" operator="lessThan">
      <formula>-0.03</formula>
    </cfRule>
  </conditionalFormatting>
  <conditionalFormatting sqref="AG15">
    <cfRule type="cellIs" dxfId="307" priority="229" operator="greaterThan">
      <formula>0.03</formula>
    </cfRule>
    <cfRule type="cellIs" dxfId="306" priority="230" stopIfTrue="1" operator="lessThan">
      <formula>-0.03</formula>
    </cfRule>
  </conditionalFormatting>
  <conditionalFormatting sqref="AE18:AF18">
    <cfRule type="cellIs" dxfId="305" priority="215" operator="greaterThan">
      <formula>0.03</formula>
    </cfRule>
    <cfRule type="cellIs" dxfId="304" priority="216" stopIfTrue="1" operator="lessThan">
      <formula>-0.03</formula>
    </cfRule>
  </conditionalFormatting>
  <conditionalFormatting sqref="AE19">
    <cfRule type="cellIs" dxfId="303" priority="227" operator="greaterThan">
      <formula>0.03</formula>
    </cfRule>
    <cfRule type="cellIs" dxfId="302" priority="228" stopIfTrue="1" operator="lessThan">
      <formula>-0.03</formula>
    </cfRule>
  </conditionalFormatting>
  <conditionalFormatting sqref="AF19">
    <cfRule type="cellIs" dxfId="301" priority="225" operator="greaterThan">
      <formula>0.03</formula>
    </cfRule>
    <cfRule type="cellIs" dxfId="300" priority="226" stopIfTrue="1" operator="lessThan">
      <formula>-0.03</formula>
    </cfRule>
  </conditionalFormatting>
  <conditionalFormatting sqref="AG19">
    <cfRule type="cellIs" dxfId="299" priority="223" operator="greaterThan">
      <formula>0.03</formula>
    </cfRule>
    <cfRule type="cellIs" dxfId="298" priority="224" stopIfTrue="1" operator="lessThan">
      <formula>-0.03</formula>
    </cfRule>
  </conditionalFormatting>
  <conditionalFormatting sqref="AE22:AF22">
    <cfRule type="cellIs" dxfId="297" priority="213" operator="greaterThan">
      <formula>0.03</formula>
    </cfRule>
    <cfRule type="cellIs" dxfId="296" priority="214" stopIfTrue="1" operator="lessThan">
      <formula>-0.03</formula>
    </cfRule>
  </conditionalFormatting>
  <conditionalFormatting sqref="AE23">
    <cfRule type="cellIs" dxfId="295" priority="221" operator="greaterThan">
      <formula>0.03</formula>
    </cfRule>
    <cfRule type="cellIs" dxfId="294" priority="222" stopIfTrue="1" operator="lessThan">
      <formula>-0.03</formula>
    </cfRule>
  </conditionalFormatting>
  <conditionalFormatting sqref="AF23">
    <cfRule type="cellIs" dxfId="293" priority="219" operator="greaterThan">
      <formula>0.03</formula>
    </cfRule>
    <cfRule type="cellIs" dxfId="292" priority="220" stopIfTrue="1" operator="lessThan">
      <formula>-0.03</formula>
    </cfRule>
  </conditionalFormatting>
  <conditionalFormatting sqref="AG23">
    <cfRule type="cellIs" dxfId="291" priority="217" operator="greaterThan">
      <formula>0.03</formula>
    </cfRule>
    <cfRule type="cellIs" dxfId="290" priority="218" stopIfTrue="1" operator="lessThan">
      <formula>-0.03</formula>
    </cfRule>
  </conditionalFormatting>
  <conditionalFormatting sqref="AE26:AF26">
    <cfRule type="cellIs" dxfId="289" priority="211" operator="greaterThan">
      <formula>0.03</formula>
    </cfRule>
    <cfRule type="cellIs" dxfId="288" priority="212" stopIfTrue="1" operator="lessThan">
      <formula>-0.03</formula>
    </cfRule>
  </conditionalFormatting>
  <conditionalFormatting sqref="AE27">
    <cfRule type="cellIs" dxfId="287" priority="207" operator="greaterThan">
      <formula>0.03</formula>
    </cfRule>
    <cfRule type="cellIs" dxfId="286" priority="208" stopIfTrue="1" operator="lessThan">
      <formula>-0.03</formula>
    </cfRule>
  </conditionalFormatting>
  <conditionalFormatting sqref="AF27">
    <cfRule type="cellIs" dxfId="285" priority="205" operator="greaterThan">
      <formula>0.03</formula>
    </cfRule>
    <cfRule type="cellIs" dxfId="284" priority="206" stopIfTrue="1" operator="lessThan">
      <formula>-0.03</formula>
    </cfRule>
  </conditionalFormatting>
  <conditionalFormatting sqref="AG27">
    <cfRule type="cellIs" dxfId="283" priority="203" operator="greaterThan">
      <formula>0.03</formula>
    </cfRule>
    <cfRule type="cellIs" dxfId="282" priority="204" stopIfTrue="1" operator="lessThan">
      <formula>-0.03</formula>
    </cfRule>
  </conditionalFormatting>
  <conditionalFormatting sqref="AE30:AF30">
    <cfRule type="cellIs" dxfId="281" priority="201" operator="greaterThan">
      <formula>0.03</formula>
    </cfRule>
    <cfRule type="cellIs" dxfId="280" priority="202" stopIfTrue="1" operator="lessThan">
      <formula>-0.03</formula>
    </cfRule>
  </conditionalFormatting>
  <conditionalFormatting sqref="AE31">
    <cfRule type="cellIs" dxfId="279" priority="197" operator="greaterThan">
      <formula>0.03</formula>
    </cfRule>
    <cfRule type="cellIs" dxfId="278" priority="198" stopIfTrue="1" operator="lessThan">
      <formula>-0.03</formula>
    </cfRule>
  </conditionalFormatting>
  <conditionalFormatting sqref="AF31">
    <cfRule type="cellIs" dxfId="277" priority="195" operator="greaterThan">
      <formula>0.03</formula>
    </cfRule>
    <cfRule type="cellIs" dxfId="276" priority="196" stopIfTrue="1" operator="lessThan">
      <formula>-0.03</formula>
    </cfRule>
  </conditionalFormatting>
  <conditionalFormatting sqref="AG31">
    <cfRule type="cellIs" dxfId="275" priority="193" operator="greaterThan">
      <formula>0.03</formula>
    </cfRule>
    <cfRule type="cellIs" dxfId="274" priority="194" stopIfTrue="1" operator="lessThan">
      <formula>-0.03</formula>
    </cfRule>
  </conditionalFormatting>
  <conditionalFormatting sqref="AE34:AF34">
    <cfRule type="cellIs" dxfId="273" priority="185" operator="greaterThan">
      <formula>0.03</formula>
    </cfRule>
    <cfRule type="cellIs" dxfId="272" priority="186" stopIfTrue="1" operator="lessThan">
      <formula>-0.03</formula>
    </cfRule>
  </conditionalFormatting>
  <conditionalFormatting sqref="AE35">
    <cfRule type="cellIs" dxfId="271" priority="191" operator="greaterThan">
      <formula>0.03</formula>
    </cfRule>
    <cfRule type="cellIs" dxfId="270" priority="192" stopIfTrue="1" operator="lessThan">
      <formula>-0.03</formula>
    </cfRule>
  </conditionalFormatting>
  <conditionalFormatting sqref="AF35">
    <cfRule type="cellIs" dxfId="269" priority="189" operator="greaterThan">
      <formula>0.03</formula>
    </cfRule>
    <cfRule type="cellIs" dxfId="268" priority="190" stopIfTrue="1" operator="lessThan">
      <formula>-0.03</formula>
    </cfRule>
  </conditionalFormatting>
  <conditionalFormatting sqref="AG35">
    <cfRule type="cellIs" dxfId="267" priority="187" operator="greaterThan">
      <formula>0.03</formula>
    </cfRule>
    <cfRule type="cellIs" dxfId="266" priority="188" stopIfTrue="1" operator="lessThan">
      <formula>-0.03</formula>
    </cfRule>
  </conditionalFormatting>
  <conditionalFormatting sqref="AE38:AF38">
    <cfRule type="cellIs" dxfId="265" priority="183" operator="greaterThan">
      <formula>0.03</formula>
    </cfRule>
    <cfRule type="cellIs" dxfId="264" priority="184" stopIfTrue="1" operator="lessThan">
      <formula>-0.03</formula>
    </cfRule>
  </conditionalFormatting>
  <conditionalFormatting sqref="AE39">
    <cfRule type="cellIs" dxfId="263" priority="179" operator="greaterThan">
      <formula>0.03</formula>
    </cfRule>
    <cfRule type="cellIs" dxfId="262" priority="180" stopIfTrue="1" operator="lessThan">
      <formula>-0.03</formula>
    </cfRule>
  </conditionalFormatting>
  <conditionalFormatting sqref="AF39">
    <cfRule type="cellIs" dxfId="261" priority="177" operator="greaterThan">
      <formula>0.03</formula>
    </cfRule>
    <cfRule type="cellIs" dxfId="260" priority="178" stopIfTrue="1" operator="lessThan">
      <formula>-0.03</formula>
    </cfRule>
  </conditionalFormatting>
  <conditionalFormatting sqref="AG39">
    <cfRule type="cellIs" dxfId="259" priority="175" operator="greaterThan">
      <formula>0.03</formula>
    </cfRule>
    <cfRule type="cellIs" dxfId="258" priority="176" stopIfTrue="1" operator="lessThan">
      <formula>-0.03</formula>
    </cfRule>
  </conditionalFormatting>
  <conditionalFormatting sqref="AE42:AF42">
    <cfRule type="cellIs" dxfId="257" priority="167" operator="greaterThan">
      <formula>0.03</formula>
    </cfRule>
    <cfRule type="cellIs" dxfId="256" priority="168" stopIfTrue="1" operator="lessThan">
      <formula>-0.03</formula>
    </cfRule>
  </conditionalFormatting>
  <conditionalFormatting sqref="AE43">
    <cfRule type="cellIs" dxfId="255" priority="173" operator="greaterThan">
      <formula>0.03</formula>
    </cfRule>
    <cfRule type="cellIs" dxfId="254" priority="174" stopIfTrue="1" operator="lessThan">
      <formula>-0.03</formula>
    </cfRule>
  </conditionalFormatting>
  <conditionalFormatting sqref="AF43">
    <cfRule type="cellIs" dxfId="253" priority="171" operator="greaterThan">
      <formula>0.03</formula>
    </cfRule>
    <cfRule type="cellIs" dxfId="252" priority="172" stopIfTrue="1" operator="lessThan">
      <formula>-0.03</formula>
    </cfRule>
  </conditionalFormatting>
  <conditionalFormatting sqref="AG43">
    <cfRule type="cellIs" dxfId="251" priority="169" operator="greaterThan">
      <formula>0.03</formula>
    </cfRule>
    <cfRule type="cellIs" dxfId="250" priority="170" stopIfTrue="1" operator="lessThan">
      <formula>-0.03</formula>
    </cfRule>
  </conditionalFormatting>
  <conditionalFormatting sqref="AE46:AF46">
    <cfRule type="cellIs" dxfId="249" priority="165" operator="greaterThan">
      <formula>0.03</formula>
    </cfRule>
    <cfRule type="cellIs" dxfId="248" priority="166" stopIfTrue="1" operator="lessThan">
      <formula>-0.03</formula>
    </cfRule>
  </conditionalFormatting>
  <conditionalFormatting sqref="AE47">
    <cfRule type="cellIs" dxfId="247" priority="161" operator="greaterThan">
      <formula>0.03</formula>
    </cfRule>
    <cfRule type="cellIs" dxfId="246" priority="162" stopIfTrue="1" operator="lessThan">
      <formula>-0.03</formula>
    </cfRule>
  </conditionalFormatting>
  <conditionalFormatting sqref="AF47">
    <cfRule type="cellIs" dxfId="245" priority="159" operator="greaterThan">
      <formula>0.03</formula>
    </cfRule>
    <cfRule type="cellIs" dxfId="244" priority="160" stopIfTrue="1" operator="lessThan">
      <formula>-0.03</formula>
    </cfRule>
  </conditionalFormatting>
  <conditionalFormatting sqref="AG47">
    <cfRule type="cellIs" dxfId="243" priority="157" operator="greaterThan">
      <formula>0.03</formula>
    </cfRule>
    <cfRule type="cellIs" dxfId="242" priority="158" stopIfTrue="1" operator="lessThan">
      <formula>-0.03</formula>
    </cfRule>
  </conditionalFormatting>
  <conditionalFormatting sqref="AE50:AF50">
    <cfRule type="cellIs" dxfId="241" priority="137" operator="greaterThan">
      <formula>0.03</formula>
    </cfRule>
    <cfRule type="cellIs" dxfId="240" priority="138" stopIfTrue="1" operator="lessThan">
      <formula>-0.03</formula>
    </cfRule>
  </conditionalFormatting>
  <conditionalFormatting sqref="AE51">
    <cfRule type="cellIs" dxfId="239" priority="155" operator="greaterThan">
      <formula>0.03</formula>
    </cfRule>
    <cfRule type="cellIs" dxfId="238" priority="156" stopIfTrue="1" operator="lessThan">
      <formula>-0.03</formula>
    </cfRule>
  </conditionalFormatting>
  <conditionalFormatting sqref="AF51">
    <cfRule type="cellIs" dxfId="237" priority="153" operator="greaterThan">
      <formula>0.03</formula>
    </cfRule>
    <cfRule type="cellIs" dxfId="236" priority="154" stopIfTrue="1" operator="lessThan">
      <formula>-0.03</formula>
    </cfRule>
  </conditionalFormatting>
  <conditionalFormatting sqref="AG51">
    <cfRule type="cellIs" dxfId="235" priority="151" operator="greaterThan">
      <formula>0.03</formula>
    </cfRule>
    <cfRule type="cellIs" dxfId="234" priority="152" stopIfTrue="1" operator="lessThan">
      <formula>-0.03</formula>
    </cfRule>
  </conditionalFormatting>
  <conditionalFormatting sqref="AE54:AF54">
    <cfRule type="cellIs" dxfId="233" priority="135" operator="greaterThan">
      <formula>0.03</formula>
    </cfRule>
    <cfRule type="cellIs" dxfId="232" priority="136" stopIfTrue="1" operator="lessThan">
      <formula>-0.03</formula>
    </cfRule>
  </conditionalFormatting>
  <conditionalFormatting sqref="AE55">
    <cfRule type="cellIs" dxfId="231" priority="149" operator="greaterThan">
      <formula>0.03</formula>
    </cfRule>
    <cfRule type="cellIs" dxfId="230" priority="150" stopIfTrue="1" operator="lessThan">
      <formula>-0.03</formula>
    </cfRule>
  </conditionalFormatting>
  <conditionalFormatting sqref="AF55">
    <cfRule type="cellIs" dxfId="229" priority="147" operator="greaterThan">
      <formula>0.03</formula>
    </cfRule>
    <cfRule type="cellIs" dxfId="228" priority="148" stopIfTrue="1" operator="lessThan">
      <formula>-0.03</formula>
    </cfRule>
  </conditionalFormatting>
  <conditionalFormatting sqref="AG55">
    <cfRule type="cellIs" dxfId="227" priority="145" operator="greaterThan">
      <formula>0.03</formula>
    </cfRule>
    <cfRule type="cellIs" dxfId="226" priority="146" stopIfTrue="1" operator="lessThan">
      <formula>-0.03</formula>
    </cfRule>
  </conditionalFormatting>
  <conditionalFormatting sqref="AE58:AF58">
    <cfRule type="cellIs" dxfId="225" priority="133" operator="greaterThan">
      <formula>0.03</formula>
    </cfRule>
    <cfRule type="cellIs" dxfId="224" priority="134" stopIfTrue="1" operator="lessThan">
      <formula>-0.03</formula>
    </cfRule>
  </conditionalFormatting>
  <conditionalFormatting sqref="AE59">
    <cfRule type="cellIs" dxfId="223" priority="143" operator="greaterThan">
      <formula>0.03</formula>
    </cfRule>
    <cfRule type="cellIs" dxfId="222" priority="144" stopIfTrue="1" operator="lessThan">
      <formula>-0.03</formula>
    </cfRule>
  </conditionalFormatting>
  <conditionalFormatting sqref="AF59">
    <cfRule type="cellIs" dxfId="221" priority="141" operator="greaterThan">
      <formula>0.03</formula>
    </cfRule>
    <cfRule type="cellIs" dxfId="220" priority="142" stopIfTrue="1" operator="lessThan">
      <formula>-0.03</formula>
    </cfRule>
  </conditionalFormatting>
  <conditionalFormatting sqref="AG59">
    <cfRule type="cellIs" dxfId="219" priority="139" operator="greaterThan">
      <formula>0.03</formula>
    </cfRule>
    <cfRule type="cellIs" dxfId="218" priority="140" stopIfTrue="1" operator="lessThan">
      <formula>-0.03</formula>
    </cfRule>
  </conditionalFormatting>
  <conditionalFormatting sqref="AE62:AF62">
    <cfRule type="cellIs" dxfId="217" priority="131" operator="greaterThan">
      <formula>0.03</formula>
    </cfRule>
    <cfRule type="cellIs" dxfId="216" priority="132" stopIfTrue="1" operator="lessThan">
      <formula>-0.03</formula>
    </cfRule>
  </conditionalFormatting>
  <conditionalFormatting sqref="AE63">
    <cfRule type="cellIs" dxfId="215" priority="127" operator="greaterThan">
      <formula>0.03</formula>
    </cfRule>
    <cfRule type="cellIs" dxfId="214" priority="128" stopIfTrue="1" operator="lessThan">
      <formula>-0.03</formula>
    </cfRule>
  </conditionalFormatting>
  <conditionalFormatting sqref="AF63">
    <cfRule type="cellIs" dxfId="213" priority="125" operator="greaterThan">
      <formula>0.03</formula>
    </cfRule>
    <cfRule type="cellIs" dxfId="212" priority="126" stopIfTrue="1" operator="lessThan">
      <formula>-0.03</formula>
    </cfRule>
  </conditionalFormatting>
  <conditionalFormatting sqref="AG63">
    <cfRule type="cellIs" dxfId="211" priority="123" operator="greaterThan">
      <formula>0.03</formula>
    </cfRule>
    <cfRule type="cellIs" dxfId="210" priority="124" stopIfTrue="1" operator="lessThan">
      <formula>-0.03</formula>
    </cfRule>
  </conditionalFormatting>
  <conditionalFormatting sqref="AE66:AF66">
    <cfRule type="cellIs" dxfId="209" priority="103" operator="greaterThan">
      <formula>0.03</formula>
    </cfRule>
    <cfRule type="cellIs" dxfId="208" priority="104" stopIfTrue="1" operator="lessThan">
      <formula>-0.03</formula>
    </cfRule>
  </conditionalFormatting>
  <conditionalFormatting sqref="AE67">
    <cfRule type="cellIs" dxfId="207" priority="121" operator="greaterThan">
      <formula>0.03</formula>
    </cfRule>
    <cfRule type="cellIs" dxfId="206" priority="122" stopIfTrue="1" operator="lessThan">
      <formula>-0.03</formula>
    </cfRule>
  </conditionalFormatting>
  <conditionalFormatting sqref="AF67">
    <cfRule type="cellIs" dxfId="205" priority="119" operator="greaterThan">
      <formula>0.03</formula>
    </cfRule>
    <cfRule type="cellIs" dxfId="204" priority="120" stopIfTrue="1" operator="lessThan">
      <formula>-0.03</formula>
    </cfRule>
  </conditionalFormatting>
  <conditionalFormatting sqref="AG67">
    <cfRule type="cellIs" dxfId="203" priority="117" operator="greaterThan">
      <formula>0.03</formula>
    </cfRule>
    <cfRule type="cellIs" dxfId="202" priority="118" stopIfTrue="1" operator="lessThan">
      <formula>-0.03</formula>
    </cfRule>
  </conditionalFormatting>
  <conditionalFormatting sqref="AE70:AF70">
    <cfRule type="cellIs" dxfId="201" priority="101" operator="greaterThan">
      <formula>0.03</formula>
    </cfRule>
    <cfRule type="cellIs" dxfId="200" priority="102" stopIfTrue="1" operator="lessThan">
      <formula>-0.03</formula>
    </cfRule>
  </conditionalFormatting>
  <conditionalFormatting sqref="AE71">
    <cfRule type="cellIs" dxfId="199" priority="115" operator="greaterThan">
      <formula>0.03</formula>
    </cfRule>
    <cfRule type="cellIs" dxfId="198" priority="116" stopIfTrue="1" operator="lessThan">
      <formula>-0.03</formula>
    </cfRule>
  </conditionalFormatting>
  <conditionalFormatting sqref="AF71">
    <cfRule type="cellIs" dxfId="197" priority="113" operator="greaterThan">
      <formula>0.03</formula>
    </cfRule>
    <cfRule type="cellIs" dxfId="196" priority="114" stopIfTrue="1" operator="lessThan">
      <formula>-0.03</formula>
    </cfRule>
  </conditionalFormatting>
  <conditionalFormatting sqref="AG71">
    <cfRule type="cellIs" dxfId="195" priority="111" operator="greaterThan">
      <formula>0.03</formula>
    </cfRule>
    <cfRule type="cellIs" dxfId="194" priority="112" stopIfTrue="1" operator="lessThan">
      <formula>-0.03</formula>
    </cfRule>
  </conditionalFormatting>
  <conditionalFormatting sqref="AE74:AF74">
    <cfRule type="cellIs" dxfId="193" priority="99" operator="greaterThan">
      <formula>0.03</formula>
    </cfRule>
    <cfRule type="cellIs" dxfId="192" priority="100" stopIfTrue="1" operator="lessThan">
      <formula>-0.03</formula>
    </cfRule>
  </conditionalFormatting>
  <conditionalFormatting sqref="AE75">
    <cfRule type="cellIs" dxfId="191" priority="109" operator="greaterThan">
      <formula>0.03</formula>
    </cfRule>
    <cfRule type="cellIs" dxfId="190" priority="110" stopIfTrue="1" operator="lessThan">
      <formula>-0.03</formula>
    </cfRule>
  </conditionalFormatting>
  <conditionalFormatting sqref="AF75">
    <cfRule type="cellIs" dxfId="189" priority="107" operator="greaterThan">
      <formula>0.03</formula>
    </cfRule>
    <cfRule type="cellIs" dxfId="188" priority="108" stopIfTrue="1" operator="lessThan">
      <formula>-0.03</formula>
    </cfRule>
  </conditionalFormatting>
  <conditionalFormatting sqref="AG75">
    <cfRule type="cellIs" dxfId="187" priority="105" operator="greaterThan">
      <formula>0.03</formula>
    </cfRule>
    <cfRule type="cellIs" dxfId="186" priority="106" stopIfTrue="1" operator="lessThan">
      <formula>-0.03</formula>
    </cfRule>
  </conditionalFormatting>
  <conditionalFormatting sqref="AE78:AF78">
    <cfRule type="cellIs" dxfId="185" priority="97" operator="greaterThan">
      <formula>0.03</formula>
    </cfRule>
    <cfRule type="cellIs" dxfId="184" priority="98" stopIfTrue="1" operator="lessThan">
      <formula>-0.03</formula>
    </cfRule>
  </conditionalFormatting>
  <conditionalFormatting sqref="AE79">
    <cfRule type="cellIs" dxfId="183" priority="59" operator="greaterThan">
      <formula>0.03</formula>
    </cfRule>
    <cfRule type="cellIs" dxfId="182" priority="60" stopIfTrue="1" operator="lessThan">
      <formula>-0.03</formula>
    </cfRule>
  </conditionalFormatting>
  <conditionalFormatting sqref="AF79">
    <cfRule type="cellIs" dxfId="181" priority="57" operator="greaterThan">
      <formula>0.03</formula>
    </cfRule>
    <cfRule type="cellIs" dxfId="180" priority="58" stopIfTrue="1" operator="lessThan">
      <formula>-0.03</formula>
    </cfRule>
  </conditionalFormatting>
  <conditionalFormatting sqref="AG79">
    <cfRule type="cellIs" dxfId="179" priority="55" operator="greaterThan">
      <formula>0.03</formula>
    </cfRule>
    <cfRule type="cellIs" dxfId="178" priority="56" stopIfTrue="1" operator="lessThan">
      <formula>-0.03</formula>
    </cfRule>
  </conditionalFormatting>
  <conditionalFormatting sqref="AE82:AF82">
    <cfRule type="cellIs" dxfId="177" priority="41" operator="greaterThan">
      <formula>0.03</formula>
    </cfRule>
    <cfRule type="cellIs" dxfId="176" priority="42" stopIfTrue="1" operator="lessThan">
      <formula>-0.03</formula>
    </cfRule>
  </conditionalFormatting>
  <conditionalFormatting sqref="AE83">
    <cfRule type="cellIs" dxfId="175" priority="53" operator="greaterThan">
      <formula>0.03</formula>
    </cfRule>
    <cfRule type="cellIs" dxfId="174" priority="54" stopIfTrue="1" operator="lessThan">
      <formula>-0.03</formula>
    </cfRule>
  </conditionalFormatting>
  <conditionalFormatting sqref="AF83">
    <cfRule type="cellIs" dxfId="173" priority="51" operator="greaterThan">
      <formula>0.03</formula>
    </cfRule>
    <cfRule type="cellIs" dxfId="172" priority="52" stopIfTrue="1" operator="lessThan">
      <formula>-0.03</formula>
    </cfRule>
  </conditionalFormatting>
  <conditionalFormatting sqref="AG83">
    <cfRule type="cellIs" dxfId="171" priority="49" operator="greaterThan">
      <formula>0.03</formula>
    </cfRule>
    <cfRule type="cellIs" dxfId="170" priority="50" stopIfTrue="1" operator="lessThan">
      <formula>-0.03</formula>
    </cfRule>
  </conditionalFormatting>
  <conditionalFormatting sqref="AE86:AF86">
    <cfRule type="cellIs" dxfId="169" priority="39" operator="greaterThan">
      <formula>0.03</formula>
    </cfRule>
    <cfRule type="cellIs" dxfId="168" priority="40" stopIfTrue="1" operator="lessThan">
      <formula>-0.03</formula>
    </cfRule>
  </conditionalFormatting>
  <conditionalFormatting sqref="AE87">
    <cfRule type="cellIs" dxfId="167" priority="47" operator="greaterThan">
      <formula>0.03</formula>
    </cfRule>
    <cfRule type="cellIs" dxfId="166" priority="48" stopIfTrue="1" operator="lessThan">
      <formula>-0.03</formula>
    </cfRule>
  </conditionalFormatting>
  <conditionalFormatting sqref="AF87">
    <cfRule type="cellIs" dxfId="165" priority="45" operator="greaterThan">
      <formula>0.03</formula>
    </cfRule>
    <cfRule type="cellIs" dxfId="164" priority="46" stopIfTrue="1" operator="lessThan">
      <formula>-0.03</formula>
    </cfRule>
  </conditionalFormatting>
  <conditionalFormatting sqref="AG87">
    <cfRule type="cellIs" dxfId="163" priority="43" operator="greaterThan">
      <formula>0.03</formula>
    </cfRule>
    <cfRule type="cellIs" dxfId="162" priority="44" stopIfTrue="1" operator="lessThan">
      <formula>-0.03</formula>
    </cfRule>
  </conditionalFormatting>
  <conditionalFormatting sqref="AE90:AF90">
    <cfRule type="cellIs" dxfId="161" priority="37" operator="greaterThan">
      <formula>0.03</formula>
    </cfRule>
    <cfRule type="cellIs" dxfId="160" priority="38" stopIfTrue="1" operator="lessThan">
      <formula>-0.03</formula>
    </cfRule>
  </conditionalFormatting>
  <conditionalFormatting sqref="AE91">
    <cfRule type="cellIs" dxfId="159" priority="93" operator="greaterThan">
      <formula>0.03</formula>
    </cfRule>
    <cfRule type="cellIs" dxfId="158" priority="94" stopIfTrue="1" operator="lessThan">
      <formula>-0.03</formula>
    </cfRule>
  </conditionalFormatting>
  <conditionalFormatting sqref="AF91">
    <cfRule type="cellIs" dxfId="157" priority="91" operator="greaterThan">
      <formula>0.03</formula>
    </cfRule>
    <cfRule type="cellIs" dxfId="156" priority="92" stopIfTrue="1" operator="lessThan">
      <formula>-0.03</formula>
    </cfRule>
  </conditionalFormatting>
  <conditionalFormatting sqref="AG91">
    <cfRule type="cellIs" dxfId="155" priority="89" operator="greaterThan">
      <formula>0.03</formula>
    </cfRule>
    <cfRule type="cellIs" dxfId="154" priority="90" stopIfTrue="1" operator="lessThan">
      <formula>-0.03</formula>
    </cfRule>
  </conditionalFormatting>
  <conditionalFormatting sqref="AE94:AF94">
    <cfRule type="cellIs" dxfId="153" priority="69" operator="greaterThan">
      <formula>0.03</formula>
    </cfRule>
    <cfRule type="cellIs" dxfId="152" priority="70" stopIfTrue="1" operator="lessThan">
      <formula>-0.03</formula>
    </cfRule>
  </conditionalFormatting>
  <conditionalFormatting sqref="AE95">
    <cfRule type="cellIs" dxfId="151" priority="87" operator="greaterThan">
      <formula>0.03</formula>
    </cfRule>
    <cfRule type="cellIs" dxfId="150" priority="88" stopIfTrue="1" operator="lessThan">
      <formula>-0.03</formula>
    </cfRule>
  </conditionalFormatting>
  <conditionalFormatting sqref="AF95">
    <cfRule type="cellIs" dxfId="149" priority="85" operator="greaterThan">
      <formula>0.03</formula>
    </cfRule>
    <cfRule type="cellIs" dxfId="148" priority="86" stopIfTrue="1" operator="lessThan">
      <formula>-0.03</formula>
    </cfRule>
  </conditionalFormatting>
  <conditionalFormatting sqref="AG95">
    <cfRule type="cellIs" dxfId="147" priority="83" operator="greaterThan">
      <formula>0.03</formula>
    </cfRule>
    <cfRule type="cellIs" dxfId="146" priority="84" stopIfTrue="1" operator="lessThan">
      <formula>-0.03</formula>
    </cfRule>
  </conditionalFormatting>
  <conditionalFormatting sqref="AE98:AF98">
    <cfRule type="cellIs" dxfId="145" priority="67" operator="greaterThan">
      <formula>0.03</formula>
    </cfRule>
    <cfRule type="cellIs" dxfId="144" priority="68" stopIfTrue="1" operator="lessThan">
      <formula>-0.03</formula>
    </cfRule>
  </conditionalFormatting>
  <conditionalFormatting sqref="AE99">
    <cfRule type="cellIs" dxfId="143" priority="81" operator="greaterThan">
      <formula>0.03</formula>
    </cfRule>
    <cfRule type="cellIs" dxfId="142" priority="82" stopIfTrue="1" operator="lessThan">
      <formula>-0.03</formula>
    </cfRule>
  </conditionalFormatting>
  <conditionalFormatting sqref="AF99">
    <cfRule type="cellIs" dxfId="141" priority="79" operator="greaterThan">
      <formula>0.03</formula>
    </cfRule>
    <cfRule type="cellIs" dxfId="140" priority="80" stopIfTrue="1" operator="lessThan">
      <formula>-0.03</formula>
    </cfRule>
  </conditionalFormatting>
  <conditionalFormatting sqref="AG99">
    <cfRule type="cellIs" dxfId="139" priority="77" operator="greaterThan">
      <formula>0.03</formula>
    </cfRule>
    <cfRule type="cellIs" dxfId="138" priority="78" stopIfTrue="1" operator="lessThan">
      <formula>-0.03</formula>
    </cfRule>
  </conditionalFormatting>
  <conditionalFormatting sqref="AE102:AF102">
    <cfRule type="cellIs" dxfId="137" priority="65" operator="greaterThan">
      <formula>0.03</formula>
    </cfRule>
    <cfRule type="cellIs" dxfId="136" priority="66" stopIfTrue="1" operator="lessThan">
      <formula>-0.03</formula>
    </cfRule>
  </conditionalFormatting>
  <conditionalFormatting sqref="AE103">
    <cfRule type="cellIs" dxfId="135" priority="75" operator="greaterThan">
      <formula>0.03</formula>
    </cfRule>
    <cfRule type="cellIs" dxfId="134" priority="76" stopIfTrue="1" operator="lessThan">
      <formula>-0.03</formula>
    </cfRule>
  </conditionalFormatting>
  <conditionalFormatting sqref="AF103">
    <cfRule type="cellIs" dxfId="133" priority="73" operator="greaterThan">
      <formula>0.03</formula>
    </cfRule>
    <cfRule type="cellIs" dxfId="132" priority="74" stopIfTrue="1" operator="lessThan">
      <formula>-0.03</formula>
    </cfRule>
  </conditionalFormatting>
  <conditionalFormatting sqref="AG103">
    <cfRule type="cellIs" dxfId="131" priority="71" operator="greaterThan">
      <formula>0.03</formula>
    </cfRule>
    <cfRule type="cellIs" dxfId="130" priority="72" stopIfTrue="1" operator="lessThan">
      <formula>-0.03</formula>
    </cfRule>
  </conditionalFormatting>
  <conditionalFormatting sqref="AE106:AF106">
    <cfRule type="cellIs" dxfId="129" priority="63" operator="greaterThan">
      <formula>0.03</formula>
    </cfRule>
    <cfRule type="cellIs" dxfId="128" priority="64" stopIfTrue="1" operator="lessThan">
      <formula>-0.03</formula>
    </cfRule>
  </conditionalFormatting>
  <conditionalFormatting sqref="AE107">
    <cfRule type="cellIs" dxfId="127" priority="33" operator="greaterThan">
      <formula>0.03</formula>
    </cfRule>
    <cfRule type="cellIs" dxfId="126" priority="34" stopIfTrue="1" operator="lessThan">
      <formula>-0.03</formula>
    </cfRule>
  </conditionalFormatting>
  <conditionalFormatting sqref="AF107">
    <cfRule type="cellIs" dxfId="125" priority="31" operator="greaterThan">
      <formula>0.03</formula>
    </cfRule>
    <cfRule type="cellIs" dxfId="124" priority="32" stopIfTrue="1" operator="lessThan">
      <formula>-0.03</formula>
    </cfRule>
  </conditionalFormatting>
  <conditionalFormatting sqref="AG107">
    <cfRule type="cellIs" dxfId="123" priority="29" operator="greaterThan">
      <formula>0.03</formula>
    </cfRule>
    <cfRule type="cellIs" dxfId="122" priority="30" stopIfTrue="1" operator="lessThan">
      <formula>-0.03</formula>
    </cfRule>
  </conditionalFormatting>
  <conditionalFormatting sqref="AE110:AF110">
    <cfRule type="cellIs" dxfId="121" priority="9" operator="greaterThan">
      <formula>0.03</formula>
    </cfRule>
    <cfRule type="cellIs" dxfId="120" priority="10" stopIfTrue="1" operator="lessThan">
      <formula>-0.03</formula>
    </cfRule>
  </conditionalFormatting>
  <conditionalFormatting sqref="AE111">
    <cfRule type="cellIs" dxfId="119" priority="27" operator="greaterThan">
      <formula>0.03</formula>
    </cfRule>
    <cfRule type="cellIs" dxfId="118" priority="28" stopIfTrue="1" operator="lessThan">
      <formula>-0.03</formula>
    </cfRule>
  </conditionalFormatting>
  <conditionalFormatting sqref="AF111">
    <cfRule type="cellIs" dxfId="117" priority="25" operator="greaterThan">
      <formula>0.03</formula>
    </cfRule>
    <cfRule type="cellIs" dxfId="116" priority="26" stopIfTrue="1" operator="lessThan">
      <formula>-0.03</formula>
    </cfRule>
  </conditionalFormatting>
  <conditionalFormatting sqref="AG111">
    <cfRule type="cellIs" dxfId="115" priority="23" operator="greaterThan">
      <formula>0.03</formula>
    </cfRule>
    <cfRule type="cellIs" dxfId="114" priority="24" stopIfTrue="1" operator="lessThan">
      <formula>-0.03</formula>
    </cfRule>
  </conditionalFormatting>
  <conditionalFormatting sqref="AE114:AF114">
    <cfRule type="cellIs" dxfId="113" priority="7" operator="greaterThan">
      <formula>0.03</formula>
    </cfRule>
    <cfRule type="cellIs" dxfId="112" priority="8" stopIfTrue="1" operator="lessThan">
      <formula>-0.03</formula>
    </cfRule>
  </conditionalFormatting>
  <conditionalFormatting sqref="AE115">
    <cfRule type="cellIs" dxfId="111" priority="21" operator="greaterThan">
      <formula>0.03</formula>
    </cfRule>
    <cfRule type="cellIs" dxfId="110" priority="22" stopIfTrue="1" operator="lessThan">
      <formula>-0.03</formula>
    </cfRule>
  </conditionalFormatting>
  <conditionalFormatting sqref="AF115">
    <cfRule type="cellIs" dxfId="109" priority="19" operator="greaterThan">
      <formula>0.03</formula>
    </cfRule>
    <cfRule type="cellIs" dxfId="108" priority="20" stopIfTrue="1" operator="lessThan">
      <formula>-0.03</formula>
    </cfRule>
  </conditionalFormatting>
  <conditionalFormatting sqref="AG115">
    <cfRule type="cellIs" dxfId="107" priority="17" operator="greaterThan">
      <formula>0.03</formula>
    </cfRule>
    <cfRule type="cellIs" dxfId="106" priority="18" stopIfTrue="1" operator="lessThan">
      <formula>-0.03</formula>
    </cfRule>
  </conditionalFormatting>
  <conditionalFormatting sqref="AE118:AF118">
    <cfRule type="cellIs" dxfId="105" priority="5" operator="greaterThan">
      <formula>0.03</formula>
    </cfRule>
    <cfRule type="cellIs" dxfId="104" priority="6" stopIfTrue="1" operator="lessThan">
      <formula>-0.03</formula>
    </cfRule>
  </conditionalFormatting>
  <conditionalFormatting sqref="AE119">
    <cfRule type="cellIs" dxfId="103" priority="15" operator="greaterThan">
      <formula>0.03</formula>
    </cfRule>
    <cfRule type="cellIs" dxfId="102" priority="16" stopIfTrue="1" operator="lessThan">
      <formula>-0.03</formula>
    </cfRule>
  </conditionalFormatting>
  <conditionalFormatting sqref="AF119">
    <cfRule type="cellIs" dxfId="101" priority="13" operator="greaterThan">
      <formula>0.03</formula>
    </cfRule>
    <cfRule type="cellIs" dxfId="100" priority="14" stopIfTrue="1" operator="lessThan">
      <formula>-0.03</formula>
    </cfRule>
  </conditionalFormatting>
  <conditionalFormatting sqref="AG119">
    <cfRule type="cellIs" dxfId="99" priority="11" operator="greaterThan">
      <formula>0.03</formula>
    </cfRule>
    <cfRule type="cellIs" dxfId="98" priority="12" stopIfTrue="1" operator="lessThan">
      <formula>-0.03</formula>
    </cfRule>
  </conditionalFormatting>
  <conditionalFormatting sqref="AE122:AF122">
    <cfRule type="cellIs" dxfId="97" priority="3" operator="greaterThan">
      <formula>0.03</formula>
    </cfRule>
    <cfRule type="cellIs" dxfId="96" priority="4" stopIfTrue="1" operator="lessThan">
      <formula>-0.03</formula>
    </cfRule>
  </conditionalFormatting>
  <conditionalFormatting sqref="AB124:AG124">
    <cfRule type="cellIs" dxfId="95" priority="237" operator="greaterThan">
      <formula>0.03</formula>
    </cfRule>
    <cfRule type="cellIs" dxfId="94" priority="238" stopIfTrue="1" operator="lessThan">
      <formula>-0.03</formula>
    </cfRule>
  </conditionalFormatting>
  <conditionalFormatting sqref="AB126:AG126">
    <cfRule type="cellIs" dxfId="93" priority="241" operator="greaterThan">
      <formula>0.03</formula>
    </cfRule>
    <cfRule type="cellIs" dxfId="92" priority="242" stopIfTrue="1" operator="lessThan">
      <formula>-0.03</formula>
    </cfRule>
  </conditionalFormatting>
  <conditionalFormatting sqref="AB129:AG129">
    <cfRule type="cellIs" dxfId="91" priority="239" operator="greaterThan">
      <formula>0.03</formula>
    </cfRule>
    <cfRule type="cellIs" dxfId="90" priority="240" stopIfTrue="1" operator="lessThan">
      <formula>-0.03</formula>
    </cfRule>
  </conditionalFormatting>
  <conditionalFormatting sqref="AB130:AG130">
    <cfRule type="cellIs" dxfId="89" priority="1" operator="greaterThan">
      <formula>0.03</formula>
    </cfRule>
    <cfRule type="cellIs" dxfId="88" priority="2" stopIfTrue="1" operator="lessThan">
      <formula>-0.03</formula>
    </cfRule>
  </conditionalFormatting>
  <conditionalFormatting sqref="AB131:AG131">
    <cfRule type="cellIs" dxfId="87" priority="247" operator="greaterThan">
      <formula>0.03</formula>
    </cfRule>
    <cfRule type="cellIs" dxfId="86" priority="248" stopIfTrue="1" operator="lessThan">
      <formula>-0.03</formula>
    </cfRule>
  </conditionalFormatting>
  <conditionalFormatting sqref="AB3:AD14">
    <cfRule type="cellIs" dxfId="85" priority="273" operator="greaterThan">
      <formula>0.03</formula>
    </cfRule>
    <cfRule type="cellIs" dxfId="84" priority="274" stopIfTrue="1" operator="lessThan">
      <formula>-0.03</formula>
    </cfRule>
  </conditionalFormatting>
  <conditionalFormatting sqref="AB15:AD26">
    <cfRule type="cellIs" dxfId="83" priority="235" operator="greaterThan">
      <formula>0.03</formula>
    </cfRule>
    <cfRule type="cellIs" dxfId="82" priority="236" stopIfTrue="1" operator="lessThan">
      <formula>-0.03</formula>
    </cfRule>
  </conditionalFormatting>
  <conditionalFormatting sqref="AB27:AD30">
    <cfRule type="cellIs" dxfId="81" priority="209" operator="greaterThan">
      <formula>0.03</formula>
    </cfRule>
    <cfRule type="cellIs" dxfId="80" priority="210" stopIfTrue="1" operator="lessThan">
      <formula>-0.03</formula>
    </cfRule>
  </conditionalFormatting>
  <conditionalFormatting sqref="AB31:AD38">
    <cfRule type="cellIs" dxfId="79" priority="199" operator="greaterThan">
      <formula>0.03</formula>
    </cfRule>
    <cfRule type="cellIs" dxfId="78" priority="200" stopIfTrue="1" operator="lessThan">
      <formula>-0.03</formula>
    </cfRule>
  </conditionalFormatting>
  <conditionalFormatting sqref="AB39:AD46">
    <cfRule type="cellIs" dxfId="77" priority="181" operator="greaterThan">
      <formula>0.03</formula>
    </cfRule>
    <cfRule type="cellIs" dxfId="76" priority="182" stopIfTrue="1" operator="lessThan">
      <formula>-0.03</formula>
    </cfRule>
  </conditionalFormatting>
  <conditionalFormatting sqref="AB47:AD62">
    <cfRule type="cellIs" dxfId="75" priority="163" operator="greaterThan">
      <formula>0.03</formula>
    </cfRule>
    <cfRule type="cellIs" dxfId="74" priority="164" stopIfTrue="1" operator="lessThan">
      <formula>-0.03</formula>
    </cfRule>
  </conditionalFormatting>
  <conditionalFormatting sqref="AB63:AD78">
    <cfRule type="cellIs" dxfId="73" priority="129" operator="greaterThan">
      <formula>0.03</formula>
    </cfRule>
    <cfRule type="cellIs" dxfId="72" priority="130" stopIfTrue="1" operator="lessThan">
      <formula>-0.03</formula>
    </cfRule>
  </conditionalFormatting>
  <conditionalFormatting sqref="AB79:AD90">
    <cfRule type="cellIs" dxfId="71" priority="61" operator="greaterThan">
      <formula>0.03</formula>
    </cfRule>
    <cfRule type="cellIs" dxfId="70" priority="62" stopIfTrue="1" operator="lessThan">
      <formula>-0.03</formula>
    </cfRule>
  </conditionalFormatting>
  <conditionalFormatting sqref="AB91:AD106">
    <cfRule type="cellIs" dxfId="69" priority="95" operator="greaterThan">
      <formula>0.03</formula>
    </cfRule>
    <cfRule type="cellIs" dxfId="68" priority="96" stopIfTrue="1" operator="lessThan">
      <formula>-0.03</formula>
    </cfRule>
  </conditionalFormatting>
  <conditionalFormatting sqref="AB107:AD122">
    <cfRule type="cellIs" dxfId="67" priority="35" operator="greaterThan">
      <formula>0.03</formula>
    </cfRule>
    <cfRule type="cellIs" dxfId="66" priority="36" stopIfTrue="1" operator="lessThan">
      <formula>-0.03</formula>
    </cfRule>
  </conditionalFormatting>
  <conditionalFormatting sqref="AB123:AG123 AB125:AG125">
    <cfRule type="cellIs" dxfId="65" priority="243" operator="greaterThan">
      <formula>0.03</formula>
    </cfRule>
    <cfRule type="cellIs" dxfId="64" priority="244" stopIfTrue="1" operator="lessThan">
      <formula>-0.03</formula>
    </cfRule>
  </conditionalFormatting>
  <conditionalFormatting sqref="AB127:AG128">
    <cfRule type="cellIs" dxfId="63" priority="245" operator="greaterThan">
      <formula>0.03</formula>
    </cfRule>
    <cfRule type="cellIs" dxfId="62" priority="246" stopIfTrue="1" operator="lessThan">
      <formula>-0.03</formula>
    </cfRule>
  </conditionalFormatting>
  <pageMargins left="0.75" right="0.75" top="1" bottom="1" header="0.5" footer="0.5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K481"/>
  <sheetViews>
    <sheetView topLeftCell="A29" zoomScale="115" zoomScaleNormal="115" workbookViewId="0">
      <selection activeCell="H12" sqref="H12"/>
    </sheetView>
  </sheetViews>
  <sheetFormatPr defaultColWidth="9" defaultRowHeight="13.5" x14ac:dyDescent="0.15"/>
  <cols>
    <col min="1" max="16384" width="9" style="1"/>
  </cols>
  <sheetData>
    <row r="1" spans="1:11" x14ac:dyDescent="0.15">
      <c r="A1" s="1" t="s">
        <v>127</v>
      </c>
      <c r="B1" s="1">
        <v>19999.8714</v>
      </c>
      <c r="C1" s="1">
        <v>42.097700000000003</v>
      </c>
      <c r="D1" s="1">
        <v>49.834299999999999</v>
      </c>
      <c r="E1" s="1">
        <v>48.776600000000002</v>
      </c>
      <c r="F1" s="1">
        <v>104742</v>
      </c>
      <c r="G1" s="1">
        <v>55.514000000000003</v>
      </c>
      <c r="H1" s="1">
        <v>4980056</v>
      </c>
      <c r="I1" s="1">
        <v>999388</v>
      </c>
      <c r="J1" s="1" t="s">
        <v>128</v>
      </c>
      <c r="K1" s="1" t="s">
        <v>129</v>
      </c>
    </row>
    <row r="2" spans="1:11" x14ac:dyDescent="0.15">
      <c r="A2" s="1" t="s">
        <v>130</v>
      </c>
      <c r="B2" s="1">
        <v>4350.0357000000004</v>
      </c>
      <c r="C2" s="1">
        <v>40.142600000000002</v>
      </c>
      <c r="D2" s="1">
        <v>48.889800000000001</v>
      </c>
      <c r="E2" s="1">
        <v>46.987299999999998</v>
      </c>
      <c r="F2" s="1">
        <v>33415</v>
      </c>
      <c r="G2" s="1">
        <v>38.354999999999997</v>
      </c>
      <c r="H2" s="1">
        <v>4901764</v>
      </c>
      <c r="I2" s="1">
        <v>1117176</v>
      </c>
      <c r="J2" s="1" t="s">
        <v>128</v>
      </c>
      <c r="K2" s="1" t="s">
        <v>131</v>
      </c>
    </row>
    <row r="3" spans="1:11" x14ac:dyDescent="0.15">
      <c r="A3" s="1" t="s">
        <v>132</v>
      </c>
      <c r="B3" s="1">
        <v>2444.8377999999998</v>
      </c>
      <c r="C3" s="1">
        <v>39.360300000000002</v>
      </c>
      <c r="D3" s="1">
        <v>47.590800000000002</v>
      </c>
      <c r="E3" s="1">
        <v>45.067399999999999</v>
      </c>
      <c r="F3" s="1">
        <v>16750</v>
      </c>
      <c r="G3" s="1">
        <v>34.515000000000001</v>
      </c>
      <c r="H3" s="1">
        <v>4892736</v>
      </c>
      <c r="I3" s="1">
        <v>1104920</v>
      </c>
      <c r="J3" s="1" t="s">
        <v>128</v>
      </c>
      <c r="K3" s="1" t="s">
        <v>133</v>
      </c>
    </row>
    <row r="4" spans="1:11" x14ac:dyDescent="0.15">
      <c r="A4" s="1" t="s">
        <v>134</v>
      </c>
      <c r="B4" s="1">
        <v>1513.3751</v>
      </c>
      <c r="C4" s="1">
        <v>38.3459</v>
      </c>
      <c r="D4" s="1">
        <v>46.817399999999999</v>
      </c>
      <c r="E4" s="1">
        <v>43.887999999999998</v>
      </c>
      <c r="F4" s="1">
        <v>9218</v>
      </c>
      <c r="G4" s="1">
        <v>25.577999999999999</v>
      </c>
      <c r="H4" s="1">
        <v>3577428</v>
      </c>
      <c r="I4" s="1">
        <v>728020</v>
      </c>
      <c r="J4" s="1" t="s">
        <v>128</v>
      </c>
      <c r="K4" s="1" t="s">
        <v>135</v>
      </c>
    </row>
    <row r="5" spans="1:11" x14ac:dyDescent="0.15">
      <c r="A5" s="1" t="s">
        <v>136</v>
      </c>
      <c r="B5" s="1">
        <v>13540.981599999999</v>
      </c>
      <c r="C5" s="1">
        <v>45.315600000000003</v>
      </c>
      <c r="D5" s="1">
        <v>50.308700000000002</v>
      </c>
      <c r="E5" s="1">
        <v>51.082500000000003</v>
      </c>
      <c r="F5" s="1">
        <v>63981</v>
      </c>
      <c r="G5" s="1">
        <v>46.531999999999996</v>
      </c>
      <c r="H5" s="1">
        <v>4996280</v>
      </c>
      <c r="I5" s="1">
        <v>1092780</v>
      </c>
      <c r="J5" s="1" t="s">
        <v>128</v>
      </c>
      <c r="K5" s="1" t="s">
        <v>137</v>
      </c>
    </row>
    <row r="6" spans="1:11" x14ac:dyDescent="0.15">
      <c r="A6" s="1" t="s">
        <v>138</v>
      </c>
      <c r="B6" s="1">
        <v>7273.7462999999998</v>
      </c>
      <c r="C6" s="1">
        <v>43.751399999999997</v>
      </c>
      <c r="D6" s="1">
        <v>48.1569</v>
      </c>
      <c r="E6" s="1">
        <v>48.683300000000003</v>
      </c>
      <c r="F6" s="1">
        <v>37549</v>
      </c>
      <c r="G6" s="1">
        <v>48.161999999999999</v>
      </c>
      <c r="H6" s="1">
        <v>4961704</v>
      </c>
      <c r="I6" s="1">
        <v>1104388</v>
      </c>
      <c r="J6" s="1" t="s">
        <v>128</v>
      </c>
      <c r="K6" s="1" t="s">
        <v>139</v>
      </c>
    </row>
    <row r="7" spans="1:11" x14ac:dyDescent="0.15">
      <c r="A7" s="1" t="s">
        <v>140</v>
      </c>
      <c r="B7" s="1">
        <v>4398.5541999999996</v>
      </c>
      <c r="C7" s="1">
        <v>42.213000000000001</v>
      </c>
      <c r="D7" s="1">
        <v>45.9574</v>
      </c>
      <c r="E7" s="1">
        <v>46.234000000000002</v>
      </c>
      <c r="F7" s="1">
        <v>20311</v>
      </c>
      <c r="G7" s="1">
        <v>28.641999999999999</v>
      </c>
      <c r="H7" s="1">
        <v>4937060</v>
      </c>
      <c r="I7" s="1">
        <v>918772</v>
      </c>
      <c r="J7" s="1" t="s">
        <v>128</v>
      </c>
      <c r="K7" s="1" t="s">
        <v>141</v>
      </c>
    </row>
    <row r="8" spans="1:11" x14ac:dyDescent="0.15">
      <c r="A8" s="1" t="s">
        <v>142</v>
      </c>
      <c r="B8" s="1">
        <v>2742.75</v>
      </c>
      <c r="C8" s="1">
        <v>40.373600000000003</v>
      </c>
      <c r="D8" s="1">
        <v>44.603700000000003</v>
      </c>
      <c r="E8" s="1">
        <v>44.775700000000001</v>
      </c>
      <c r="F8" s="1">
        <v>15544</v>
      </c>
      <c r="G8" s="1">
        <v>20.608000000000001</v>
      </c>
      <c r="H8" s="1">
        <v>3604092</v>
      </c>
      <c r="I8" s="1">
        <v>688632</v>
      </c>
      <c r="J8" s="1" t="s">
        <v>128</v>
      </c>
      <c r="K8" s="1" t="s">
        <v>143</v>
      </c>
    </row>
    <row r="9" spans="1:11" x14ac:dyDescent="0.15">
      <c r="A9" s="1" t="s">
        <v>144</v>
      </c>
      <c r="B9" s="1">
        <v>20972.817599999998</v>
      </c>
      <c r="C9" s="1">
        <v>44.061</v>
      </c>
      <c r="D9" s="1">
        <v>46.5291</v>
      </c>
      <c r="E9" s="1">
        <v>44.490900000000003</v>
      </c>
      <c r="F9" s="1">
        <v>89003</v>
      </c>
      <c r="G9" s="1">
        <v>67.393000000000001</v>
      </c>
      <c r="H9" s="1">
        <v>4948148</v>
      </c>
      <c r="I9" s="1">
        <v>1163968</v>
      </c>
      <c r="J9" s="1" t="s">
        <v>128</v>
      </c>
      <c r="K9" s="1" t="s">
        <v>145</v>
      </c>
    </row>
    <row r="10" spans="1:11" x14ac:dyDescent="0.15">
      <c r="A10" s="1" t="s">
        <v>146</v>
      </c>
      <c r="B10" s="1">
        <v>8951.7576000000008</v>
      </c>
      <c r="C10" s="1">
        <v>40.301400000000001</v>
      </c>
      <c r="D10" s="1">
        <v>41.903399999999998</v>
      </c>
      <c r="E10" s="1">
        <v>42.793599999999998</v>
      </c>
      <c r="F10" s="1">
        <v>72954</v>
      </c>
      <c r="G10" s="1">
        <v>55.466999999999999</v>
      </c>
      <c r="H10" s="1">
        <v>4888464</v>
      </c>
      <c r="I10" s="1">
        <v>1121428</v>
      </c>
      <c r="J10" s="1" t="s">
        <v>128</v>
      </c>
      <c r="K10" s="1" t="s">
        <v>147</v>
      </c>
    </row>
    <row r="11" spans="1:11" x14ac:dyDescent="0.15">
      <c r="A11" s="1" t="s">
        <v>148</v>
      </c>
      <c r="B11" s="1">
        <v>2700.42</v>
      </c>
      <c r="C11" s="1">
        <v>37.637099999999997</v>
      </c>
      <c r="D11" s="1">
        <v>38.269799999999996</v>
      </c>
      <c r="E11" s="1">
        <v>41.393500000000003</v>
      </c>
      <c r="F11" s="1">
        <v>43912</v>
      </c>
      <c r="G11" s="1">
        <v>47.484000000000002</v>
      </c>
      <c r="H11" s="1">
        <v>4821612</v>
      </c>
      <c r="I11" s="1">
        <v>979456</v>
      </c>
      <c r="J11" s="1" t="s">
        <v>128</v>
      </c>
      <c r="K11" s="1" t="s">
        <v>149</v>
      </c>
    </row>
    <row r="12" spans="1:11" x14ac:dyDescent="0.15">
      <c r="A12" s="1" t="s">
        <v>150</v>
      </c>
      <c r="B12" s="1">
        <v>1367.6076</v>
      </c>
      <c r="C12" s="1">
        <v>36.341500000000003</v>
      </c>
      <c r="D12" s="1">
        <v>36.413899999999998</v>
      </c>
      <c r="E12" s="1">
        <v>39.9236</v>
      </c>
      <c r="F12" s="1">
        <v>22089</v>
      </c>
      <c r="G12" s="1">
        <v>37.664999999999999</v>
      </c>
      <c r="H12" s="1">
        <v>4802996</v>
      </c>
      <c r="I12" s="1">
        <v>1105164</v>
      </c>
      <c r="J12" s="1" t="s">
        <v>128</v>
      </c>
      <c r="K12" s="1" t="s">
        <v>151</v>
      </c>
    </row>
    <row r="13" spans="1:11" x14ac:dyDescent="0.15">
      <c r="A13" s="1" t="s">
        <v>152</v>
      </c>
      <c r="B13" s="1">
        <v>34092.221100000002</v>
      </c>
      <c r="C13" s="1">
        <v>42.8504</v>
      </c>
      <c r="D13" s="1">
        <v>42.748699999999999</v>
      </c>
      <c r="E13" s="1">
        <v>44.586199999999998</v>
      </c>
      <c r="F13" s="1">
        <v>102965</v>
      </c>
      <c r="G13" s="1">
        <v>67.242000000000004</v>
      </c>
      <c r="H13" s="1">
        <v>5020032</v>
      </c>
      <c r="I13" s="1">
        <v>1282888</v>
      </c>
      <c r="J13" s="1" t="s">
        <v>128</v>
      </c>
      <c r="K13" s="1" t="s">
        <v>153</v>
      </c>
    </row>
    <row r="14" spans="1:11" x14ac:dyDescent="0.15">
      <c r="A14" s="1" t="s">
        <v>154</v>
      </c>
      <c r="B14" s="1">
        <v>9246.1879000000008</v>
      </c>
      <c r="C14" s="1">
        <v>39.8735</v>
      </c>
      <c r="D14" s="1">
        <v>41.625700000000002</v>
      </c>
      <c r="E14" s="1">
        <v>43.007599999999996</v>
      </c>
      <c r="F14" s="1">
        <v>50292</v>
      </c>
      <c r="G14" s="1">
        <v>44.908999999999999</v>
      </c>
      <c r="H14" s="1">
        <v>4936232</v>
      </c>
      <c r="I14" s="1">
        <v>1200916</v>
      </c>
      <c r="J14" s="1" t="s">
        <v>128</v>
      </c>
      <c r="K14" s="1" t="s">
        <v>155</v>
      </c>
    </row>
    <row r="15" spans="1:11" x14ac:dyDescent="0.15">
      <c r="A15" s="1" t="s">
        <v>156</v>
      </c>
      <c r="B15" s="1">
        <v>5298.3095000000003</v>
      </c>
      <c r="C15" s="1">
        <v>38.583599999999997</v>
      </c>
      <c r="D15" s="1">
        <v>40.648699999999998</v>
      </c>
      <c r="E15" s="1">
        <v>41.115299999999998</v>
      </c>
      <c r="F15" s="1">
        <v>34563</v>
      </c>
      <c r="G15" s="1">
        <v>44.680999999999997</v>
      </c>
      <c r="H15" s="1">
        <v>4906748</v>
      </c>
      <c r="I15" s="1">
        <v>1165496</v>
      </c>
      <c r="J15" s="1" t="s">
        <v>128</v>
      </c>
      <c r="K15" s="1" t="s">
        <v>157</v>
      </c>
    </row>
    <row r="16" spans="1:11" x14ac:dyDescent="0.15">
      <c r="A16" s="1" t="s">
        <v>158</v>
      </c>
      <c r="B16" s="1">
        <v>3174.4737</v>
      </c>
      <c r="C16" s="1">
        <v>36.786200000000001</v>
      </c>
      <c r="D16" s="1">
        <v>39.875399999999999</v>
      </c>
      <c r="E16" s="1">
        <v>39.740699999999997</v>
      </c>
      <c r="F16" s="1">
        <v>21635</v>
      </c>
      <c r="G16" s="1">
        <v>41.393000000000001</v>
      </c>
      <c r="H16" s="1">
        <v>4884984</v>
      </c>
      <c r="I16" s="1">
        <v>1121180</v>
      </c>
      <c r="J16" s="1" t="s">
        <v>128</v>
      </c>
      <c r="K16" s="1" t="s">
        <v>159</v>
      </c>
    </row>
    <row r="17" spans="1:11" x14ac:dyDescent="0.15">
      <c r="A17" s="1" t="s">
        <v>160</v>
      </c>
      <c r="B17" s="1">
        <v>58224.66</v>
      </c>
      <c r="C17" s="1">
        <v>41.939900000000002</v>
      </c>
      <c r="D17" s="1">
        <v>46.526299999999999</v>
      </c>
      <c r="E17" s="1">
        <v>44.4771</v>
      </c>
      <c r="F17" s="1">
        <v>129590</v>
      </c>
      <c r="G17" s="1">
        <v>80.703000000000003</v>
      </c>
      <c r="H17" s="1">
        <v>5105736</v>
      </c>
      <c r="I17" s="1">
        <v>1038020</v>
      </c>
      <c r="J17" s="1" t="s">
        <v>128</v>
      </c>
      <c r="K17" s="1" t="s">
        <v>161</v>
      </c>
    </row>
    <row r="18" spans="1:11" x14ac:dyDescent="0.15">
      <c r="A18" s="1" t="s">
        <v>162</v>
      </c>
      <c r="B18" s="1">
        <v>9069.4357999999993</v>
      </c>
      <c r="C18" s="1">
        <v>37.72</v>
      </c>
      <c r="D18" s="1">
        <v>45.259500000000003</v>
      </c>
      <c r="E18" s="1">
        <v>43.126800000000003</v>
      </c>
      <c r="F18" s="1">
        <v>62870</v>
      </c>
      <c r="G18" s="1">
        <v>52.677</v>
      </c>
      <c r="H18" s="1">
        <v>4973440</v>
      </c>
      <c r="I18" s="1">
        <v>964752</v>
      </c>
      <c r="J18" s="1" t="s">
        <v>128</v>
      </c>
      <c r="K18" s="1" t="s">
        <v>163</v>
      </c>
    </row>
    <row r="19" spans="1:11" x14ac:dyDescent="0.15">
      <c r="A19" s="1" t="s">
        <v>164</v>
      </c>
      <c r="B19" s="1">
        <v>4894.3437000000004</v>
      </c>
      <c r="C19" s="1">
        <v>36.746600000000001</v>
      </c>
      <c r="D19" s="1">
        <v>43.861400000000003</v>
      </c>
      <c r="E19" s="1">
        <v>41.692300000000003</v>
      </c>
      <c r="F19" s="1">
        <v>34718</v>
      </c>
      <c r="G19" s="1">
        <v>45.164999999999999</v>
      </c>
      <c r="H19" s="1">
        <v>4934068</v>
      </c>
      <c r="I19" s="1">
        <v>915036</v>
      </c>
      <c r="J19" s="1" t="s">
        <v>128</v>
      </c>
      <c r="K19" s="1" t="s">
        <v>165</v>
      </c>
    </row>
    <row r="20" spans="1:11" x14ac:dyDescent="0.15">
      <c r="A20" s="1" t="s">
        <v>166</v>
      </c>
      <c r="B20" s="1">
        <v>2743.6532000000002</v>
      </c>
      <c r="C20" s="1">
        <v>35.330199999999998</v>
      </c>
      <c r="D20" s="1">
        <v>42.838700000000003</v>
      </c>
      <c r="E20" s="1">
        <v>40.527099999999997</v>
      </c>
      <c r="F20" s="1">
        <v>20871</v>
      </c>
      <c r="G20" s="1">
        <v>42.347000000000001</v>
      </c>
      <c r="H20" s="1">
        <v>4910224</v>
      </c>
      <c r="I20" s="1">
        <v>905568</v>
      </c>
      <c r="J20" s="1" t="s">
        <v>128</v>
      </c>
      <c r="K20" s="1" t="s">
        <v>167</v>
      </c>
    </row>
    <row r="21" spans="1:11" x14ac:dyDescent="0.15">
      <c r="A21" s="1" t="s">
        <v>168</v>
      </c>
      <c r="B21" s="1">
        <v>40549.1158</v>
      </c>
      <c r="C21" s="1">
        <v>47.415199999999999</v>
      </c>
      <c r="D21" s="1">
        <v>40.777099999999997</v>
      </c>
      <c r="E21" s="1">
        <v>41.339799999999997</v>
      </c>
      <c r="F21" s="1">
        <v>101790</v>
      </c>
      <c r="G21" s="1">
        <v>66.34</v>
      </c>
      <c r="H21" s="1">
        <v>5026356</v>
      </c>
      <c r="I21" s="1">
        <v>1010972</v>
      </c>
      <c r="J21" s="1" t="s">
        <v>128</v>
      </c>
      <c r="K21" s="1" t="s">
        <v>169</v>
      </c>
    </row>
    <row r="22" spans="1:11" x14ac:dyDescent="0.15">
      <c r="A22" s="1" t="s">
        <v>170</v>
      </c>
      <c r="B22" s="1">
        <v>21537.9882</v>
      </c>
      <c r="C22" s="1">
        <v>43.629899999999999</v>
      </c>
      <c r="D22" s="1">
        <v>37.061700000000002</v>
      </c>
      <c r="E22" s="1">
        <v>38.051499999999997</v>
      </c>
      <c r="F22" s="1">
        <v>83367</v>
      </c>
      <c r="G22" s="1">
        <v>63.372999999999998</v>
      </c>
      <c r="H22" s="1">
        <v>4995336</v>
      </c>
      <c r="I22" s="1">
        <v>993000</v>
      </c>
      <c r="J22" s="1" t="s">
        <v>128</v>
      </c>
      <c r="K22" s="1" t="s">
        <v>171</v>
      </c>
    </row>
    <row r="23" spans="1:11" x14ac:dyDescent="0.15">
      <c r="A23" s="1" t="s">
        <v>172</v>
      </c>
      <c r="B23" s="1">
        <v>11310.9105</v>
      </c>
      <c r="C23" s="1">
        <v>39.950000000000003</v>
      </c>
      <c r="D23" s="1">
        <v>33.9071</v>
      </c>
      <c r="E23" s="1">
        <v>35.927599999999998</v>
      </c>
      <c r="F23" s="1">
        <v>61054</v>
      </c>
      <c r="G23" s="1">
        <v>52.997999999999998</v>
      </c>
      <c r="H23" s="1">
        <v>4962052</v>
      </c>
      <c r="I23" s="1">
        <v>934568</v>
      </c>
      <c r="J23" s="1" t="s">
        <v>128</v>
      </c>
      <c r="K23" s="1" t="s">
        <v>173</v>
      </c>
    </row>
    <row r="24" spans="1:11" x14ac:dyDescent="0.15">
      <c r="A24" s="1" t="s">
        <v>174</v>
      </c>
      <c r="B24" s="1">
        <v>6158.6566000000003</v>
      </c>
      <c r="C24" s="1">
        <v>36.447699999999998</v>
      </c>
      <c r="D24" s="1">
        <v>32.1982</v>
      </c>
      <c r="E24" s="1">
        <v>34.514499999999998</v>
      </c>
      <c r="F24" s="1">
        <v>44941</v>
      </c>
      <c r="G24" s="1">
        <v>48.226999999999997</v>
      </c>
      <c r="H24" s="1">
        <v>4938416</v>
      </c>
      <c r="I24" s="1">
        <v>919788</v>
      </c>
      <c r="J24" s="1" t="s">
        <v>128</v>
      </c>
      <c r="K24" s="1" t="s">
        <v>175</v>
      </c>
    </row>
    <row r="25" spans="1:11" x14ac:dyDescent="0.15">
      <c r="A25" s="1" t="s">
        <v>176</v>
      </c>
      <c r="B25" s="1">
        <v>9979.9896000000008</v>
      </c>
      <c r="C25" s="1">
        <v>43.266399999999997</v>
      </c>
      <c r="D25" s="1">
        <v>45.755499999999998</v>
      </c>
      <c r="E25" s="1">
        <v>46.387099999999997</v>
      </c>
      <c r="F25" s="1">
        <v>61865</v>
      </c>
      <c r="G25" s="1">
        <v>37.024000000000001</v>
      </c>
      <c r="H25" s="1">
        <v>3146248</v>
      </c>
      <c r="I25" s="1">
        <v>446880</v>
      </c>
      <c r="J25" s="1" t="s">
        <v>128</v>
      </c>
      <c r="K25" s="1" t="s">
        <v>177</v>
      </c>
    </row>
    <row r="26" spans="1:11" x14ac:dyDescent="0.15">
      <c r="A26" s="1" t="s">
        <v>178</v>
      </c>
      <c r="B26" s="1">
        <v>5165.1863999999996</v>
      </c>
      <c r="C26" s="1">
        <v>40.529600000000002</v>
      </c>
      <c r="D26" s="1">
        <v>43.753999999999998</v>
      </c>
      <c r="E26" s="1">
        <v>44.529800000000002</v>
      </c>
      <c r="F26" s="1">
        <v>42574</v>
      </c>
      <c r="G26" s="1">
        <v>32.176000000000002</v>
      </c>
      <c r="H26" s="1">
        <v>3137232</v>
      </c>
      <c r="I26" s="1">
        <v>439516</v>
      </c>
      <c r="J26" s="1" t="s">
        <v>128</v>
      </c>
      <c r="K26" s="1" t="s">
        <v>179</v>
      </c>
    </row>
    <row r="27" spans="1:11" x14ac:dyDescent="0.15">
      <c r="A27" s="1" t="s">
        <v>180</v>
      </c>
      <c r="B27" s="1">
        <v>2861.0792000000001</v>
      </c>
      <c r="C27" s="1">
        <v>38.1432</v>
      </c>
      <c r="D27" s="1">
        <v>41.984000000000002</v>
      </c>
      <c r="E27" s="1">
        <v>42.522500000000001</v>
      </c>
      <c r="F27" s="1">
        <v>27258</v>
      </c>
      <c r="G27" s="1">
        <v>25.73</v>
      </c>
      <c r="H27" s="1">
        <v>3126840</v>
      </c>
      <c r="I27" s="1">
        <v>445296</v>
      </c>
      <c r="J27" s="1" t="s">
        <v>128</v>
      </c>
      <c r="K27" s="1" t="s">
        <v>181</v>
      </c>
    </row>
    <row r="28" spans="1:11" x14ac:dyDescent="0.15">
      <c r="A28" s="1" t="s">
        <v>182</v>
      </c>
      <c r="B28" s="1">
        <v>1538.1672000000001</v>
      </c>
      <c r="C28" s="1">
        <v>35.652299999999997</v>
      </c>
      <c r="D28" s="1">
        <v>40.794899999999998</v>
      </c>
      <c r="E28" s="1">
        <v>41.341000000000001</v>
      </c>
      <c r="F28" s="1">
        <v>15992</v>
      </c>
      <c r="G28" s="1">
        <v>18.324000000000002</v>
      </c>
      <c r="H28" s="1">
        <v>3118896</v>
      </c>
      <c r="I28" s="1">
        <v>424376</v>
      </c>
      <c r="J28" s="1" t="s">
        <v>128</v>
      </c>
      <c r="K28" s="1" t="s">
        <v>183</v>
      </c>
    </row>
    <row r="29" spans="1:11" x14ac:dyDescent="0.15">
      <c r="A29" s="1" t="s">
        <v>184</v>
      </c>
      <c r="B29" s="1">
        <v>5740.5847999999996</v>
      </c>
      <c r="C29" s="1">
        <v>46.583399999999997</v>
      </c>
      <c r="D29" s="1">
        <v>49.686599999999999</v>
      </c>
      <c r="E29" s="1">
        <v>50.546900000000001</v>
      </c>
      <c r="F29" s="1">
        <v>46960</v>
      </c>
      <c r="G29" s="1">
        <v>38.656999999999996</v>
      </c>
      <c r="H29" s="1">
        <v>3142100</v>
      </c>
      <c r="I29" s="1">
        <v>448276</v>
      </c>
      <c r="J29" s="1" t="s">
        <v>128</v>
      </c>
      <c r="K29" s="1" t="s">
        <v>185</v>
      </c>
    </row>
    <row r="30" spans="1:11" x14ac:dyDescent="0.15">
      <c r="A30" s="1" t="s">
        <v>186</v>
      </c>
      <c r="B30" s="1">
        <v>3363.3616000000002</v>
      </c>
      <c r="C30" s="1">
        <v>43.845100000000002</v>
      </c>
      <c r="D30" s="1">
        <v>47.3626</v>
      </c>
      <c r="E30" s="1">
        <v>47.735100000000003</v>
      </c>
      <c r="F30" s="1">
        <v>32655</v>
      </c>
      <c r="G30" s="1">
        <v>34.082000000000001</v>
      </c>
      <c r="H30" s="1">
        <v>3129664</v>
      </c>
      <c r="I30" s="1">
        <v>434984</v>
      </c>
      <c r="J30" s="1" t="s">
        <v>128</v>
      </c>
      <c r="K30" s="1" t="s">
        <v>187</v>
      </c>
    </row>
    <row r="31" spans="1:11" x14ac:dyDescent="0.15">
      <c r="A31" s="1" t="s">
        <v>188</v>
      </c>
      <c r="B31" s="1">
        <v>1894.5319999999999</v>
      </c>
      <c r="C31" s="1">
        <v>40.830599999999997</v>
      </c>
      <c r="D31" s="1">
        <v>44.850099999999998</v>
      </c>
      <c r="E31" s="1">
        <v>44.7468</v>
      </c>
      <c r="F31" s="1">
        <v>18073</v>
      </c>
      <c r="G31" s="1">
        <v>23.058</v>
      </c>
      <c r="H31" s="1">
        <v>3118780</v>
      </c>
      <c r="I31" s="1">
        <v>456880</v>
      </c>
      <c r="J31" s="1" t="s">
        <v>128</v>
      </c>
      <c r="K31" s="1" t="s">
        <v>189</v>
      </c>
    </row>
    <row r="32" spans="1:11" x14ac:dyDescent="0.15">
      <c r="A32" s="1" t="s">
        <v>190</v>
      </c>
      <c r="B32" s="1">
        <v>1057.8504</v>
      </c>
      <c r="C32" s="1">
        <v>37.968899999999998</v>
      </c>
      <c r="D32" s="1">
        <v>43.266100000000002</v>
      </c>
      <c r="E32" s="1">
        <v>43.226300000000002</v>
      </c>
      <c r="F32" s="1">
        <v>10801</v>
      </c>
      <c r="G32" s="1">
        <v>15.715999999999999</v>
      </c>
      <c r="H32" s="1">
        <v>3091716</v>
      </c>
      <c r="I32" s="1">
        <v>422944</v>
      </c>
      <c r="J32" s="1" t="s">
        <v>128</v>
      </c>
      <c r="K32" s="1" t="s">
        <v>191</v>
      </c>
    </row>
    <row r="33" spans="1:11" x14ac:dyDescent="0.15">
      <c r="A33" s="1" t="s">
        <v>192</v>
      </c>
      <c r="B33" s="1">
        <v>11835.9611</v>
      </c>
      <c r="C33" s="1">
        <v>41.352899999999998</v>
      </c>
      <c r="D33" s="1">
        <v>41.7943</v>
      </c>
      <c r="E33" s="1">
        <v>45.130899999999997</v>
      </c>
      <c r="F33" s="1">
        <v>62131</v>
      </c>
      <c r="G33" s="1">
        <v>43.872</v>
      </c>
      <c r="H33" s="1">
        <v>3160576</v>
      </c>
      <c r="I33" s="1">
        <v>463164</v>
      </c>
      <c r="J33" s="1" t="s">
        <v>128</v>
      </c>
      <c r="K33" s="1" t="s">
        <v>193</v>
      </c>
    </row>
    <row r="34" spans="1:11" x14ac:dyDescent="0.15">
      <c r="A34" s="1" t="s">
        <v>194</v>
      </c>
      <c r="B34" s="1">
        <v>4836.1126999999997</v>
      </c>
      <c r="C34" s="1">
        <v>38.387099999999997</v>
      </c>
      <c r="D34" s="1">
        <v>39.958199999999998</v>
      </c>
      <c r="E34" s="1">
        <v>43.220199999999998</v>
      </c>
      <c r="F34" s="1">
        <v>44290</v>
      </c>
      <c r="G34" s="1">
        <v>33.231000000000002</v>
      </c>
      <c r="H34" s="1">
        <v>3136964</v>
      </c>
      <c r="I34" s="1">
        <v>451772</v>
      </c>
      <c r="J34" s="1" t="s">
        <v>128</v>
      </c>
      <c r="K34" s="1" t="s">
        <v>195</v>
      </c>
    </row>
    <row r="35" spans="1:11" x14ac:dyDescent="0.15">
      <c r="A35" s="1" t="s">
        <v>196</v>
      </c>
      <c r="B35" s="1">
        <v>2576.4476</v>
      </c>
      <c r="C35" s="1">
        <v>36.386600000000001</v>
      </c>
      <c r="D35" s="1">
        <v>38.850099999999998</v>
      </c>
      <c r="E35" s="1">
        <v>40.909100000000002</v>
      </c>
      <c r="F35" s="1">
        <v>27260</v>
      </c>
      <c r="G35" s="1">
        <v>25.856000000000002</v>
      </c>
      <c r="H35" s="1">
        <v>3123304</v>
      </c>
      <c r="I35" s="1">
        <v>435676</v>
      </c>
      <c r="J35" s="1" t="s">
        <v>128</v>
      </c>
      <c r="K35" s="1" t="s">
        <v>197</v>
      </c>
    </row>
    <row r="36" spans="1:11" x14ac:dyDescent="0.15">
      <c r="A36" s="1" t="s">
        <v>198</v>
      </c>
      <c r="B36" s="1">
        <v>1399.4571000000001</v>
      </c>
      <c r="C36" s="1">
        <v>34.120899999999999</v>
      </c>
      <c r="D36" s="1">
        <v>37.891599999999997</v>
      </c>
      <c r="E36" s="1">
        <v>39.329700000000003</v>
      </c>
      <c r="F36" s="1">
        <v>15997</v>
      </c>
      <c r="G36" s="1">
        <v>20.663</v>
      </c>
      <c r="H36" s="1">
        <v>3112872</v>
      </c>
      <c r="I36" s="1">
        <v>430428</v>
      </c>
      <c r="J36" s="1" t="s">
        <v>128</v>
      </c>
      <c r="K36" s="1" t="s">
        <v>199</v>
      </c>
    </row>
    <row r="37" spans="1:11" x14ac:dyDescent="0.15">
      <c r="A37" s="1" t="s">
        <v>200</v>
      </c>
      <c r="B37" s="1">
        <v>8467.5095000000001</v>
      </c>
      <c r="C37" s="1">
        <v>41.970199999999998</v>
      </c>
      <c r="D37" s="1">
        <v>45.093499999999999</v>
      </c>
      <c r="E37" s="1">
        <v>47.32</v>
      </c>
      <c r="F37" s="1">
        <v>48830</v>
      </c>
      <c r="G37" s="1">
        <v>39.106999999999999</v>
      </c>
      <c r="H37" s="1">
        <v>3170180</v>
      </c>
      <c r="I37" s="1">
        <v>464588</v>
      </c>
      <c r="J37" s="1" t="s">
        <v>128</v>
      </c>
      <c r="K37" s="1" t="s">
        <v>201</v>
      </c>
    </row>
    <row r="38" spans="1:11" x14ac:dyDescent="0.15">
      <c r="A38" s="1" t="s">
        <v>202</v>
      </c>
      <c r="B38" s="1">
        <v>3041.8087</v>
      </c>
      <c r="C38" s="1">
        <v>39.2943</v>
      </c>
      <c r="D38" s="1">
        <v>43.886000000000003</v>
      </c>
      <c r="E38" s="1">
        <v>45.3429</v>
      </c>
      <c r="F38" s="1">
        <v>30252</v>
      </c>
      <c r="G38" s="1">
        <v>27.696000000000002</v>
      </c>
      <c r="H38" s="1">
        <v>3136940</v>
      </c>
      <c r="I38" s="1">
        <v>440700</v>
      </c>
      <c r="J38" s="1" t="s">
        <v>128</v>
      </c>
      <c r="K38" s="1" t="s">
        <v>203</v>
      </c>
    </row>
    <row r="39" spans="1:11" x14ac:dyDescent="0.15">
      <c r="A39" s="1" t="s">
        <v>204</v>
      </c>
      <c r="B39" s="1">
        <v>1501.0968</v>
      </c>
      <c r="C39" s="1">
        <v>37.6982</v>
      </c>
      <c r="D39" s="1">
        <v>42.311599999999999</v>
      </c>
      <c r="E39" s="1">
        <v>42.897599999999997</v>
      </c>
      <c r="F39" s="1">
        <v>18198</v>
      </c>
      <c r="G39" s="1">
        <v>23.943999999999999</v>
      </c>
      <c r="H39" s="1">
        <v>3119288</v>
      </c>
      <c r="I39" s="1">
        <v>430424</v>
      </c>
      <c r="J39" s="1" t="s">
        <v>128</v>
      </c>
      <c r="K39" s="1" t="s">
        <v>205</v>
      </c>
    </row>
    <row r="40" spans="1:11" x14ac:dyDescent="0.15">
      <c r="A40" s="1" t="s">
        <v>206</v>
      </c>
      <c r="B40" s="1">
        <v>847.62139999999999</v>
      </c>
      <c r="C40" s="1">
        <v>35.988399999999999</v>
      </c>
      <c r="D40" s="1">
        <v>41.192</v>
      </c>
      <c r="E40" s="1">
        <v>41.254899999999999</v>
      </c>
      <c r="F40" s="1">
        <v>11076</v>
      </c>
      <c r="G40" s="1">
        <v>21.402000000000001</v>
      </c>
      <c r="H40" s="1">
        <v>3109568</v>
      </c>
      <c r="I40" s="1">
        <v>425196</v>
      </c>
      <c r="J40" s="1" t="s">
        <v>128</v>
      </c>
      <c r="K40" s="1" t="s">
        <v>207</v>
      </c>
    </row>
    <row r="41" spans="1:11" x14ac:dyDescent="0.15">
      <c r="A41" s="1" t="s">
        <v>208</v>
      </c>
      <c r="B41" s="1">
        <v>20481.191200000001</v>
      </c>
      <c r="C41" s="1">
        <v>42.842300000000002</v>
      </c>
      <c r="D41" s="1">
        <v>43.319800000000001</v>
      </c>
      <c r="E41" s="1">
        <v>45.372999999999998</v>
      </c>
      <c r="F41" s="1">
        <v>55221</v>
      </c>
      <c r="G41" s="1">
        <v>60.439</v>
      </c>
      <c r="H41" s="1">
        <v>3192788</v>
      </c>
      <c r="I41" s="1">
        <v>478124</v>
      </c>
      <c r="J41" s="1" t="s">
        <v>128</v>
      </c>
      <c r="K41" s="1" t="s">
        <v>209</v>
      </c>
    </row>
    <row r="42" spans="1:11" x14ac:dyDescent="0.15">
      <c r="A42" s="1" t="s">
        <v>210</v>
      </c>
      <c r="B42" s="1">
        <v>7290.9759999999997</v>
      </c>
      <c r="C42" s="1">
        <v>37.144300000000001</v>
      </c>
      <c r="D42" s="1">
        <v>41.900300000000001</v>
      </c>
      <c r="E42" s="1">
        <v>44.219900000000003</v>
      </c>
      <c r="F42" s="1">
        <v>53370</v>
      </c>
      <c r="G42" s="1">
        <v>40.741999999999997</v>
      </c>
      <c r="H42" s="1">
        <v>3155980</v>
      </c>
      <c r="I42" s="1">
        <v>450596</v>
      </c>
      <c r="J42" s="1" t="s">
        <v>128</v>
      </c>
      <c r="K42" s="1" t="s">
        <v>211</v>
      </c>
    </row>
    <row r="43" spans="1:11" x14ac:dyDescent="0.15">
      <c r="A43" s="1" t="s">
        <v>212</v>
      </c>
      <c r="B43" s="1">
        <v>3569.0551999999998</v>
      </c>
      <c r="C43" s="1">
        <v>34.919600000000003</v>
      </c>
      <c r="D43" s="1">
        <v>40.416899999999998</v>
      </c>
      <c r="E43" s="1">
        <v>42.877299999999998</v>
      </c>
      <c r="F43" s="1">
        <v>36437</v>
      </c>
      <c r="G43" s="1">
        <v>33.064</v>
      </c>
      <c r="H43" s="1">
        <v>3140704</v>
      </c>
      <c r="I43" s="1">
        <v>444080</v>
      </c>
      <c r="J43" s="1" t="s">
        <v>128</v>
      </c>
      <c r="K43" s="1" t="s">
        <v>213</v>
      </c>
    </row>
    <row r="44" spans="1:11" x14ac:dyDescent="0.15">
      <c r="A44" s="1" t="s">
        <v>214</v>
      </c>
      <c r="B44" s="1">
        <v>1893.9376</v>
      </c>
      <c r="C44" s="1">
        <v>32.777500000000003</v>
      </c>
      <c r="D44" s="1">
        <v>39.311999999999998</v>
      </c>
      <c r="E44" s="1">
        <v>41.813099999999999</v>
      </c>
      <c r="F44" s="1">
        <v>21536</v>
      </c>
      <c r="G44" s="1">
        <v>25.222000000000001</v>
      </c>
      <c r="H44" s="1">
        <v>3123272</v>
      </c>
      <c r="I44" s="1">
        <v>428868</v>
      </c>
      <c r="J44" s="1" t="s">
        <v>128</v>
      </c>
      <c r="K44" s="1" t="s">
        <v>215</v>
      </c>
    </row>
    <row r="45" spans="1:11" x14ac:dyDescent="0.15">
      <c r="A45" s="1" t="s">
        <v>216</v>
      </c>
      <c r="B45" s="1">
        <v>2067.0365000000002</v>
      </c>
      <c r="C45" s="1">
        <v>43.181800000000003</v>
      </c>
      <c r="D45" s="1">
        <v>45.192700000000002</v>
      </c>
      <c r="E45" s="1">
        <v>46.5623</v>
      </c>
      <c r="F45" s="1">
        <v>9375</v>
      </c>
      <c r="G45" s="1">
        <v>9.3800000000000008</v>
      </c>
      <c r="H45" s="1">
        <v>1349168</v>
      </c>
      <c r="I45" s="1">
        <v>303280</v>
      </c>
      <c r="J45" s="1" t="s">
        <v>128</v>
      </c>
      <c r="K45" s="1" t="s">
        <v>217</v>
      </c>
    </row>
    <row r="46" spans="1:11" x14ac:dyDescent="0.15">
      <c r="A46" s="1" t="s">
        <v>218</v>
      </c>
      <c r="B46" s="1">
        <v>1117.2023999999999</v>
      </c>
      <c r="C46" s="1">
        <v>40.073500000000003</v>
      </c>
      <c r="D46" s="1">
        <v>42.772599999999997</v>
      </c>
      <c r="E46" s="1">
        <v>43.733699999999999</v>
      </c>
      <c r="F46" s="1">
        <v>7964</v>
      </c>
      <c r="G46" s="1">
        <v>7.4589999999999996</v>
      </c>
      <c r="H46" s="1">
        <v>1341592</v>
      </c>
      <c r="I46" s="1">
        <v>297468</v>
      </c>
      <c r="J46" s="1" t="s">
        <v>128</v>
      </c>
      <c r="K46" s="1" t="s">
        <v>219</v>
      </c>
    </row>
    <row r="47" spans="1:11" x14ac:dyDescent="0.15">
      <c r="A47" s="1" t="s">
        <v>220</v>
      </c>
      <c r="B47" s="1">
        <v>598.54049999999995</v>
      </c>
      <c r="C47" s="1">
        <v>37.136899999999997</v>
      </c>
      <c r="D47" s="1">
        <v>40.1526</v>
      </c>
      <c r="E47" s="1">
        <v>40.733899999999998</v>
      </c>
      <c r="F47" s="1">
        <v>5640</v>
      </c>
      <c r="G47" s="1">
        <v>5.9880000000000004</v>
      </c>
      <c r="H47" s="1">
        <v>1335432</v>
      </c>
      <c r="I47" s="1">
        <v>293576</v>
      </c>
      <c r="J47" s="1" t="s">
        <v>128</v>
      </c>
      <c r="K47" s="1" t="s">
        <v>221</v>
      </c>
    </row>
    <row r="48" spans="1:11" x14ac:dyDescent="0.15">
      <c r="A48" s="1" t="s">
        <v>222</v>
      </c>
      <c r="B48" s="1">
        <v>332.11349999999999</v>
      </c>
      <c r="C48" s="1">
        <v>34.418199999999999</v>
      </c>
      <c r="D48" s="1">
        <v>38.573500000000003</v>
      </c>
      <c r="E48" s="1">
        <v>38.856299999999997</v>
      </c>
      <c r="F48" s="1">
        <v>3686</v>
      </c>
      <c r="G48" s="1">
        <v>5.2380000000000004</v>
      </c>
      <c r="H48" s="1">
        <v>1331368</v>
      </c>
      <c r="I48" s="1">
        <v>291204</v>
      </c>
      <c r="J48" s="1" t="s">
        <v>128</v>
      </c>
      <c r="K48" s="1" t="s">
        <v>223</v>
      </c>
    </row>
    <row r="49" spans="1:11" x14ac:dyDescent="0.15">
      <c r="A49" s="1" t="s">
        <v>224</v>
      </c>
      <c r="B49" s="1">
        <v>2561.0136000000002</v>
      </c>
      <c r="C49" s="1">
        <v>42.756999999999998</v>
      </c>
      <c r="D49" s="1">
        <v>45.011600000000001</v>
      </c>
      <c r="E49" s="1">
        <v>46.778599999999997</v>
      </c>
      <c r="F49" s="1">
        <v>10445</v>
      </c>
      <c r="G49" s="1">
        <v>10.41</v>
      </c>
      <c r="H49" s="1">
        <v>1348040</v>
      </c>
      <c r="I49" s="1">
        <v>305436</v>
      </c>
      <c r="J49" s="1" t="s">
        <v>128</v>
      </c>
      <c r="K49" s="1" t="s">
        <v>225</v>
      </c>
    </row>
    <row r="50" spans="1:11" x14ac:dyDescent="0.15">
      <c r="A50" s="1" t="s">
        <v>226</v>
      </c>
      <c r="B50" s="1">
        <v>1512.3224</v>
      </c>
      <c r="C50" s="1">
        <v>40.110799999999998</v>
      </c>
      <c r="D50" s="1">
        <v>42.766199999999998</v>
      </c>
      <c r="E50" s="1">
        <v>44.131799999999998</v>
      </c>
      <c r="F50" s="1">
        <v>8700</v>
      </c>
      <c r="G50" s="1">
        <v>8.7759999999999998</v>
      </c>
      <c r="H50" s="1">
        <v>1342936</v>
      </c>
      <c r="I50" s="1">
        <v>298612</v>
      </c>
      <c r="J50" s="1" t="s">
        <v>128</v>
      </c>
      <c r="K50" s="1" t="s">
        <v>227</v>
      </c>
    </row>
    <row r="51" spans="1:11" x14ac:dyDescent="0.15">
      <c r="A51" s="1" t="s">
        <v>228</v>
      </c>
      <c r="B51" s="1">
        <v>881.05759999999998</v>
      </c>
      <c r="C51" s="1">
        <v>37.267600000000002</v>
      </c>
      <c r="D51" s="1">
        <v>40.2346</v>
      </c>
      <c r="E51" s="1">
        <v>41.220700000000001</v>
      </c>
      <c r="F51" s="1">
        <v>6569</v>
      </c>
      <c r="G51" s="1">
        <v>7.2</v>
      </c>
      <c r="H51" s="1">
        <v>1338912</v>
      </c>
      <c r="I51" s="1">
        <v>296384</v>
      </c>
      <c r="J51" s="1" t="s">
        <v>128</v>
      </c>
      <c r="K51" s="1" t="s">
        <v>229</v>
      </c>
    </row>
    <row r="52" spans="1:11" x14ac:dyDescent="0.15">
      <c r="A52" s="1" t="s">
        <v>230</v>
      </c>
      <c r="B52" s="1">
        <v>510.2688</v>
      </c>
      <c r="C52" s="1">
        <v>34.296900000000001</v>
      </c>
      <c r="D52" s="1">
        <v>38.843299999999999</v>
      </c>
      <c r="E52" s="1">
        <v>39.715400000000002</v>
      </c>
      <c r="F52" s="1">
        <v>4827</v>
      </c>
      <c r="G52" s="1">
        <v>6.351</v>
      </c>
      <c r="H52" s="1">
        <v>1335296</v>
      </c>
      <c r="I52" s="1">
        <v>293300</v>
      </c>
      <c r="J52" s="1" t="s">
        <v>128</v>
      </c>
      <c r="K52" s="1" t="s">
        <v>231</v>
      </c>
    </row>
    <row r="53" spans="1:11" x14ac:dyDescent="0.15">
      <c r="A53" s="1" t="s">
        <v>232</v>
      </c>
      <c r="B53" s="1">
        <v>5026.9357</v>
      </c>
      <c r="C53" s="1">
        <v>42.104100000000003</v>
      </c>
      <c r="D53" s="1">
        <v>43.656999999999996</v>
      </c>
      <c r="E53" s="1">
        <v>44.743499999999997</v>
      </c>
      <c r="F53" s="1">
        <v>11151</v>
      </c>
      <c r="G53" s="1">
        <v>12.961</v>
      </c>
      <c r="H53" s="1">
        <v>1356056</v>
      </c>
      <c r="I53" s="1">
        <v>318904</v>
      </c>
      <c r="J53" s="1" t="s">
        <v>128</v>
      </c>
      <c r="K53" s="1" t="s">
        <v>233</v>
      </c>
    </row>
    <row r="54" spans="1:11" x14ac:dyDescent="0.15">
      <c r="A54" s="1" t="s">
        <v>234</v>
      </c>
      <c r="B54" s="1">
        <v>3075.6705999999999</v>
      </c>
      <c r="C54" s="1">
        <v>37.856699999999996</v>
      </c>
      <c r="D54" s="1">
        <v>40.491500000000002</v>
      </c>
      <c r="E54" s="1">
        <v>41.312899999999999</v>
      </c>
      <c r="F54" s="1">
        <v>10451</v>
      </c>
      <c r="G54" s="1">
        <v>10.374000000000001</v>
      </c>
      <c r="H54" s="1">
        <v>1352668</v>
      </c>
      <c r="I54" s="1">
        <v>308944</v>
      </c>
      <c r="J54" s="1" t="s">
        <v>128</v>
      </c>
      <c r="K54" s="1" t="s">
        <v>235</v>
      </c>
    </row>
    <row r="55" spans="1:11" x14ac:dyDescent="0.15">
      <c r="A55" s="1" t="s">
        <v>236</v>
      </c>
      <c r="B55" s="1">
        <v>1802.0889</v>
      </c>
      <c r="C55" s="1">
        <v>34.158900000000003</v>
      </c>
      <c r="D55" s="1">
        <v>37.576799999999999</v>
      </c>
      <c r="E55" s="1">
        <v>38.154299999999999</v>
      </c>
      <c r="F55" s="1">
        <v>10833</v>
      </c>
      <c r="G55" s="1">
        <v>9.8320000000000007</v>
      </c>
      <c r="H55" s="1">
        <v>1347492</v>
      </c>
      <c r="I55" s="1">
        <v>301932</v>
      </c>
      <c r="J55" s="1" t="s">
        <v>128</v>
      </c>
      <c r="K55" s="1" t="s">
        <v>237</v>
      </c>
    </row>
    <row r="56" spans="1:11" x14ac:dyDescent="0.15">
      <c r="A56" s="1" t="s">
        <v>238</v>
      </c>
      <c r="B56" s="1">
        <v>975.06110000000001</v>
      </c>
      <c r="C56" s="1">
        <v>30.560700000000001</v>
      </c>
      <c r="D56" s="1">
        <v>36.008400000000002</v>
      </c>
      <c r="E56" s="1">
        <v>36.574399999999997</v>
      </c>
      <c r="F56" s="1">
        <v>7440</v>
      </c>
      <c r="G56" s="1">
        <v>7.0359999999999996</v>
      </c>
      <c r="H56" s="1">
        <v>1341740</v>
      </c>
      <c r="I56" s="1">
        <v>298060</v>
      </c>
      <c r="J56" s="1" t="s">
        <v>128</v>
      </c>
      <c r="K56" s="1" t="s">
        <v>239</v>
      </c>
    </row>
    <row r="57" spans="1:11" x14ac:dyDescent="0.15">
      <c r="A57" s="1" t="s">
        <v>240</v>
      </c>
      <c r="B57" s="1">
        <v>1736.5018</v>
      </c>
      <c r="C57" s="1">
        <v>43.475999999999999</v>
      </c>
      <c r="D57" s="1">
        <v>44.225999999999999</v>
      </c>
      <c r="E57" s="1">
        <v>45.203699999999998</v>
      </c>
      <c r="F57" s="1">
        <v>7320</v>
      </c>
      <c r="G57" s="1">
        <v>5.91</v>
      </c>
      <c r="H57" s="1">
        <v>1343924</v>
      </c>
      <c r="I57" s="1">
        <v>299508</v>
      </c>
      <c r="J57" s="1" t="s">
        <v>128</v>
      </c>
      <c r="K57" s="1" t="s">
        <v>241</v>
      </c>
    </row>
    <row r="58" spans="1:11" x14ac:dyDescent="0.15">
      <c r="A58" s="1" t="s">
        <v>242</v>
      </c>
      <c r="B58" s="1">
        <v>1011.0196999999999</v>
      </c>
      <c r="C58" s="1">
        <v>40.102899999999998</v>
      </c>
      <c r="D58" s="1">
        <v>40.524299999999997</v>
      </c>
      <c r="E58" s="1">
        <v>42.353000000000002</v>
      </c>
      <c r="F58" s="1">
        <v>5580</v>
      </c>
      <c r="G58" s="1">
        <v>4.4660000000000002</v>
      </c>
      <c r="H58" s="1">
        <v>1340696</v>
      </c>
      <c r="I58" s="1">
        <v>297324</v>
      </c>
      <c r="J58" s="1" t="s">
        <v>128</v>
      </c>
      <c r="K58" s="1" t="s">
        <v>243</v>
      </c>
    </row>
    <row r="59" spans="1:11" x14ac:dyDescent="0.15">
      <c r="A59" s="1" t="s">
        <v>244</v>
      </c>
      <c r="B59" s="1">
        <v>579.91340000000002</v>
      </c>
      <c r="C59" s="1">
        <v>36.862200000000001</v>
      </c>
      <c r="D59" s="1">
        <v>37.618000000000002</v>
      </c>
      <c r="E59" s="1">
        <v>39.998800000000003</v>
      </c>
      <c r="F59" s="1">
        <v>4149</v>
      </c>
      <c r="G59" s="1">
        <v>3.7429999999999999</v>
      </c>
      <c r="H59" s="1">
        <v>1338216</v>
      </c>
      <c r="I59" s="1">
        <v>295584</v>
      </c>
      <c r="J59" s="1" t="s">
        <v>128</v>
      </c>
      <c r="K59" s="1" t="s">
        <v>245</v>
      </c>
    </row>
    <row r="60" spans="1:11" x14ac:dyDescent="0.15">
      <c r="A60" s="1" t="s">
        <v>246</v>
      </c>
      <c r="B60" s="1">
        <v>303.14999999999998</v>
      </c>
      <c r="C60" s="1">
        <v>33.4709</v>
      </c>
      <c r="D60" s="1">
        <v>36.5351</v>
      </c>
      <c r="E60" s="1">
        <v>38.609000000000002</v>
      </c>
      <c r="F60" s="1">
        <v>3009</v>
      </c>
      <c r="G60" s="1">
        <v>3.2850000000000001</v>
      </c>
      <c r="H60" s="1">
        <v>1334764</v>
      </c>
      <c r="I60" s="1">
        <v>293948</v>
      </c>
      <c r="J60" s="1" t="s">
        <v>128</v>
      </c>
      <c r="K60" s="1" t="s">
        <v>247</v>
      </c>
    </row>
    <row r="61" spans="1:11" x14ac:dyDescent="0.15">
      <c r="A61" s="1" t="s">
        <v>248</v>
      </c>
      <c r="B61" s="1">
        <v>558.66830000000004</v>
      </c>
      <c r="C61" s="1">
        <v>44.114400000000003</v>
      </c>
      <c r="D61" s="1">
        <v>46.404899999999998</v>
      </c>
      <c r="E61" s="1">
        <v>46.335099999999997</v>
      </c>
      <c r="F61" s="1">
        <v>2466</v>
      </c>
      <c r="G61" s="1">
        <v>2.3490000000000002</v>
      </c>
      <c r="H61" s="1">
        <v>998300</v>
      </c>
      <c r="I61" s="1">
        <v>266764</v>
      </c>
      <c r="J61" s="1" t="s">
        <v>128</v>
      </c>
      <c r="K61" s="1" t="s">
        <v>249</v>
      </c>
    </row>
    <row r="62" spans="1:11" x14ac:dyDescent="0.15">
      <c r="A62" s="1" t="s">
        <v>250</v>
      </c>
      <c r="B62" s="1">
        <v>334.67140000000001</v>
      </c>
      <c r="C62" s="1">
        <v>40.636200000000002</v>
      </c>
      <c r="D62" s="1">
        <v>43.248699999999999</v>
      </c>
      <c r="E62" s="1">
        <v>42.796900000000001</v>
      </c>
      <c r="F62" s="1">
        <v>1940</v>
      </c>
      <c r="G62" s="1">
        <v>1.9590000000000001</v>
      </c>
      <c r="H62" s="1">
        <v>997056</v>
      </c>
      <c r="I62" s="1">
        <v>266040</v>
      </c>
      <c r="J62" s="1" t="s">
        <v>128</v>
      </c>
      <c r="K62" s="1" t="s">
        <v>251</v>
      </c>
    </row>
    <row r="63" spans="1:11" x14ac:dyDescent="0.15">
      <c r="A63" s="1" t="s">
        <v>252</v>
      </c>
      <c r="B63" s="1">
        <v>193.98330000000001</v>
      </c>
      <c r="C63" s="1">
        <v>37.313200000000002</v>
      </c>
      <c r="D63" s="1">
        <v>39.966200000000001</v>
      </c>
      <c r="E63" s="1">
        <v>39.2438</v>
      </c>
      <c r="F63" s="1">
        <v>1602</v>
      </c>
      <c r="G63" s="1">
        <v>1.762</v>
      </c>
      <c r="H63" s="1">
        <v>995024</v>
      </c>
      <c r="I63" s="1">
        <v>265344</v>
      </c>
      <c r="J63" s="1" t="s">
        <v>128</v>
      </c>
      <c r="K63" s="1" t="s">
        <v>253</v>
      </c>
    </row>
    <row r="64" spans="1:11" x14ac:dyDescent="0.15">
      <c r="A64" s="1" t="s">
        <v>254</v>
      </c>
      <c r="B64" s="1">
        <v>111.0119</v>
      </c>
      <c r="C64" s="1">
        <v>34.118299999999998</v>
      </c>
      <c r="D64" s="1">
        <v>38.299199999999999</v>
      </c>
      <c r="E64" s="1">
        <v>37.348399999999998</v>
      </c>
      <c r="F64" s="1">
        <v>1038</v>
      </c>
      <c r="G64" s="1">
        <v>1.3169999999999999</v>
      </c>
      <c r="H64" s="1">
        <v>993096</v>
      </c>
      <c r="I64" s="1">
        <v>264672</v>
      </c>
      <c r="J64" s="1" t="s">
        <v>128</v>
      </c>
      <c r="K64" s="1" t="s">
        <v>255</v>
      </c>
    </row>
    <row r="65" spans="1:11" x14ac:dyDescent="0.15">
      <c r="A65" s="1" t="s">
        <v>256</v>
      </c>
      <c r="B65" s="1">
        <v>1473.2159999999999</v>
      </c>
      <c r="C65" s="1">
        <v>42.185000000000002</v>
      </c>
      <c r="D65" s="1">
        <v>44.505699999999997</v>
      </c>
      <c r="E65" s="1">
        <v>45.758099999999999</v>
      </c>
      <c r="F65" s="1">
        <v>3424</v>
      </c>
      <c r="G65" s="1">
        <v>3.5870000000000002</v>
      </c>
      <c r="H65" s="1">
        <v>1000376</v>
      </c>
      <c r="I65" s="1">
        <v>268024</v>
      </c>
      <c r="J65" s="1" t="s">
        <v>128</v>
      </c>
      <c r="K65" s="1" t="s">
        <v>257</v>
      </c>
    </row>
    <row r="66" spans="1:11" x14ac:dyDescent="0.15">
      <c r="A66" s="1" t="s">
        <v>258</v>
      </c>
      <c r="B66" s="1">
        <v>941.09839999999997</v>
      </c>
      <c r="C66" s="1">
        <v>37.793399999999998</v>
      </c>
      <c r="D66" s="1">
        <v>42.016800000000003</v>
      </c>
      <c r="E66" s="1">
        <v>43.137799999999999</v>
      </c>
      <c r="F66" s="1">
        <v>2880</v>
      </c>
      <c r="G66" s="1">
        <v>2.9239999999999999</v>
      </c>
      <c r="H66" s="1">
        <v>999208</v>
      </c>
      <c r="I66" s="1">
        <v>267104</v>
      </c>
      <c r="J66" s="1" t="s">
        <v>128</v>
      </c>
      <c r="K66" s="1" t="s">
        <v>259</v>
      </c>
    </row>
    <row r="67" spans="1:11" x14ac:dyDescent="0.15">
      <c r="A67" s="1" t="s">
        <v>260</v>
      </c>
      <c r="B67" s="1">
        <v>565.89359999999999</v>
      </c>
      <c r="C67" s="1">
        <v>34.001199999999997</v>
      </c>
      <c r="D67" s="1">
        <v>39.576500000000003</v>
      </c>
      <c r="E67" s="1">
        <v>40.286299999999997</v>
      </c>
      <c r="F67" s="1">
        <v>2448</v>
      </c>
      <c r="G67" s="1">
        <v>2.4060000000000001</v>
      </c>
      <c r="H67" s="1">
        <v>997684</v>
      </c>
      <c r="I67" s="1">
        <v>266216</v>
      </c>
      <c r="J67" s="1" t="s">
        <v>128</v>
      </c>
      <c r="K67" s="1" t="s">
        <v>261</v>
      </c>
    </row>
    <row r="68" spans="1:11" x14ac:dyDescent="0.15">
      <c r="A68" s="1" t="s">
        <v>262</v>
      </c>
      <c r="B68" s="1">
        <v>335.76960000000003</v>
      </c>
      <c r="C68" s="1">
        <v>30.596800000000002</v>
      </c>
      <c r="D68" s="1">
        <v>38.165999999999997</v>
      </c>
      <c r="E68" s="1">
        <v>38.823599999999999</v>
      </c>
      <c r="F68" s="1">
        <v>1907</v>
      </c>
      <c r="G68" s="1">
        <v>1.9930000000000001</v>
      </c>
      <c r="H68" s="1">
        <v>996032</v>
      </c>
      <c r="I68" s="1">
        <v>265612</v>
      </c>
      <c r="J68" s="1" t="s">
        <v>128</v>
      </c>
      <c r="K68" s="1" t="s">
        <v>263</v>
      </c>
    </row>
    <row r="69" spans="1:11" x14ac:dyDescent="0.15">
      <c r="A69" s="1" t="s">
        <v>264</v>
      </c>
      <c r="B69" s="1">
        <v>1307.7889</v>
      </c>
      <c r="C69" s="1">
        <v>42.005699999999997</v>
      </c>
      <c r="D69" s="1">
        <v>42.992100000000001</v>
      </c>
      <c r="E69" s="1">
        <v>43.911299999999997</v>
      </c>
      <c r="F69" s="1">
        <v>2866</v>
      </c>
      <c r="G69" s="1">
        <v>3.202</v>
      </c>
      <c r="H69" s="1">
        <v>1000036</v>
      </c>
      <c r="I69" s="1">
        <v>268552</v>
      </c>
      <c r="J69" s="1" t="s">
        <v>128</v>
      </c>
      <c r="K69" s="1" t="s">
        <v>265</v>
      </c>
    </row>
    <row r="70" spans="1:11" x14ac:dyDescent="0.15">
      <c r="A70" s="1" t="s">
        <v>266</v>
      </c>
      <c r="B70" s="1">
        <v>798.42619999999999</v>
      </c>
      <c r="C70" s="1">
        <v>37.794199999999996</v>
      </c>
      <c r="D70" s="1">
        <v>39.740400000000001</v>
      </c>
      <c r="E70" s="1">
        <v>40.311999999999998</v>
      </c>
      <c r="F70" s="1">
        <v>2959</v>
      </c>
      <c r="G70" s="1">
        <v>3.012</v>
      </c>
      <c r="H70" s="1">
        <v>999712</v>
      </c>
      <c r="I70" s="1">
        <v>267724</v>
      </c>
      <c r="J70" s="1" t="s">
        <v>128</v>
      </c>
      <c r="K70" s="1" t="s">
        <v>267</v>
      </c>
    </row>
    <row r="71" spans="1:11" x14ac:dyDescent="0.15">
      <c r="A71" s="1" t="s">
        <v>268</v>
      </c>
      <c r="B71" s="1">
        <v>454.15629999999999</v>
      </c>
      <c r="C71" s="1">
        <v>33.9542</v>
      </c>
      <c r="D71" s="1">
        <v>36.632599999999996</v>
      </c>
      <c r="E71" s="1">
        <v>37.042099999999998</v>
      </c>
      <c r="F71" s="1">
        <v>2549</v>
      </c>
      <c r="G71" s="1">
        <v>2.4350000000000001</v>
      </c>
      <c r="H71" s="1">
        <v>998104</v>
      </c>
      <c r="I71" s="1">
        <v>266456</v>
      </c>
      <c r="J71" s="1" t="s">
        <v>128</v>
      </c>
      <c r="K71" s="1" t="s">
        <v>269</v>
      </c>
    </row>
    <row r="72" spans="1:11" x14ac:dyDescent="0.15">
      <c r="A72" s="1" t="s">
        <v>270</v>
      </c>
      <c r="B72" s="1">
        <v>237.67939999999999</v>
      </c>
      <c r="C72" s="1">
        <v>30.371400000000001</v>
      </c>
      <c r="D72" s="1">
        <v>35.113700000000001</v>
      </c>
      <c r="E72" s="1">
        <v>35.5212</v>
      </c>
      <c r="F72" s="1">
        <v>1860</v>
      </c>
      <c r="G72" s="1">
        <v>1.91</v>
      </c>
      <c r="H72" s="1">
        <v>995888</v>
      </c>
      <c r="I72" s="1">
        <v>265556</v>
      </c>
      <c r="J72" s="1" t="s">
        <v>128</v>
      </c>
      <c r="K72" s="1" t="s">
        <v>271</v>
      </c>
    </row>
    <row r="73" spans="1:11" x14ac:dyDescent="0.15">
      <c r="A73" s="1" t="s">
        <v>272</v>
      </c>
      <c r="B73" s="1">
        <v>500.79790000000003</v>
      </c>
      <c r="C73" s="1">
        <v>43.972499999999997</v>
      </c>
      <c r="D73" s="1">
        <v>43.960099999999997</v>
      </c>
      <c r="E73" s="1">
        <v>44.996000000000002</v>
      </c>
      <c r="F73" s="1">
        <v>1833</v>
      </c>
      <c r="G73" s="1">
        <v>1.6220000000000001</v>
      </c>
      <c r="H73" s="1">
        <v>998680</v>
      </c>
      <c r="I73" s="1">
        <v>267196</v>
      </c>
      <c r="J73" s="1" t="s">
        <v>128</v>
      </c>
      <c r="K73" s="1" t="s">
        <v>273</v>
      </c>
    </row>
    <row r="74" spans="1:11" x14ac:dyDescent="0.15">
      <c r="A74" s="1" t="s">
        <v>274</v>
      </c>
      <c r="B74" s="1">
        <v>303.64659999999998</v>
      </c>
      <c r="C74" s="1">
        <v>40.055799999999998</v>
      </c>
      <c r="D74" s="1">
        <v>40.233600000000003</v>
      </c>
      <c r="E74" s="1">
        <v>41.849800000000002</v>
      </c>
      <c r="F74" s="1">
        <v>1502</v>
      </c>
      <c r="G74" s="1">
        <v>1.3029999999999999</v>
      </c>
      <c r="H74" s="1">
        <v>997560</v>
      </c>
      <c r="I74" s="1">
        <v>266368</v>
      </c>
      <c r="J74" s="1" t="s">
        <v>128</v>
      </c>
      <c r="K74" s="1" t="s">
        <v>275</v>
      </c>
    </row>
    <row r="75" spans="1:11" x14ac:dyDescent="0.15">
      <c r="A75" s="1" t="s">
        <v>276</v>
      </c>
      <c r="B75" s="1">
        <v>170.60679999999999</v>
      </c>
      <c r="C75" s="1">
        <v>36.224699999999999</v>
      </c>
      <c r="D75" s="1">
        <v>37.448300000000003</v>
      </c>
      <c r="E75" s="1">
        <v>38.7988</v>
      </c>
      <c r="F75" s="1">
        <v>1280</v>
      </c>
      <c r="G75" s="1">
        <v>1.2290000000000001</v>
      </c>
      <c r="H75" s="1">
        <v>996272</v>
      </c>
      <c r="I75" s="1">
        <v>265648</v>
      </c>
      <c r="J75" s="1" t="s">
        <v>128</v>
      </c>
      <c r="K75" s="1" t="s">
        <v>277</v>
      </c>
    </row>
    <row r="76" spans="1:11" x14ac:dyDescent="0.15">
      <c r="A76" s="1" t="s">
        <v>278</v>
      </c>
      <c r="B76" s="1">
        <v>86.961299999999994</v>
      </c>
      <c r="C76" s="1">
        <v>32.665599999999998</v>
      </c>
      <c r="D76" s="1">
        <v>36.018300000000004</v>
      </c>
      <c r="E76" s="1">
        <v>37.080399999999997</v>
      </c>
      <c r="F76" s="1">
        <v>803</v>
      </c>
      <c r="G76" s="1">
        <v>0.95</v>
      </c>
      <c r="H76" s="1">
        <v>994284</v>
      </c>
      <c r="I76" s="1">
        <v>264812</v>
      </c>
      <c r="J76" s="1" t="s">
        <v>128</v>
      </c>
      <c r="K76" s="1" t="s">
        <v>279</v>
      </c>
    </row>
    <row r="77" spans="1:11" x14ac:dyDescent="0.15">
      <c r="A77" s="1" t="s">
        <v>280</v>
      </c>
      <c r="B77" s="1">
        <v>3142.9895999999999</v>
      </c>
      <c r="C77" s="1">
        <v>44.754800000000003</v>
      </c>
      <c r="D77" s="1">
        <v>48.112099999999998</v>
      </c>
      <c r="E77" s="1">
        <v>49.358499999999999</v>
      </c>
      <c r="F77" s="1">
        <v>19756</v>
      </c>
      <c r="G77" s="1">
        <v>18.437999999999999</v>
      </c>
      <c r="H77" s="1">
        <v>1885920</v>
      </c>
      <c r="I77" s="1">
        <v>342680</v>
      </c>
      <c r="J77" s="1" t="s">
        <v>128</v>
      </c>
      <c r="K77" s="1" t="s">
        <v>281</v>
      </c>
    </row>
    <row r="78" spans="1:11" x14ac:dyDescent="0.15">
      <c r="A78" s="1" t="s">
        <v>282</v>
      </c>
      <c r="B78" s="1">
        <v>1891.3624</v>
      </c>
      <c r="C78" s="1">
        <v>42.468800000000002</v>
      </c>
      <c r="D78" s="1">
        <v>46.065199999999997</v>
      </c>
      <c r="E78" s="1">
        <v>47.222499999999997</v>
      </c>
      <c r="F78" s="1">
        <v>14424</v>
      </c>
      <c r="G78" s="1">
        <v>16.146000000000001</v>
      </c>
      <c r="H78" s="1">
        <v>1879728</v>
      </c>
      <c r="I78" s="1">
        <v>339456</v>
      </c>
      <c r="J78" s="1" t="s">
        <v>128</v>
      </c>
      <c r="K78" s="1" t="s">
        <v>283</v>
      </c>
    </row>
    <row r="79" spans="1:11" x14ac:dyDescent="0.15">
      <c r="A79" s="1" t="s">
        <v>284</v>
      </c>
      <c r="B79" s="1">
        <v>1160.9952000000001</v>
      </c>
      <c r="C79" s="1">
        <v>39.896700000000003</v>
      </c>
      <c r="D79" s="1">
        <v>43.603400000000001</v>
      </c>
      <c r="E79" s="1">
        <v>44.616300000000003</v>
      </c>
      <c r="F79" s="1">
        <v>10834</v>
      </c>
      <c r="G79" s="1">
        <v>14.082000000000001</v>
      </c>
      <c r="H79" s="1">
        <v>1875540</v>
      </c>
      <c r="I79" s="1">
        <v>336396</v>
      </c>
      <c r="J79" s="1" t="s">
        <v>128</v>
      </c>
      <c r="K79" s="1" t="s">
        <v>285</v>
      </c>
    </row>
    <row r="80" spans="1:11" x14ac:dyDescent="0.15">
      <c r="A80" s="1" t="s">
        <v>286</v>
      </c>
      <c r="B80" s="1">
        <v>716.48159999999996</v>
      </c>
      <c r="C80" s="1">
        <v>36.921399999999998</v>
      </c>
      <c r="D80" s="1">
        <v>42.052599999999998</v>
      </c>
      <c r="E80" s="1">
        <v>42.982199999999999</v>
      </c>
      <c r="F80" s="1">
        <v>7523</v>
      </c>
      <c r="G80" s="1">
        <v>12.034000000000001</v>
      </c>
      <c r="H80" s="1">
        <v>1870228</v>
      </c>
      <c r="I80" s="1">
        <v>334144</v>
      </c>
      <c r="J80" s="1" t="s">
        <v>128</v>
      </c>
      <c r="K80" s="1" t="s">
        <v>287</v>
      </c>
    </row>
    <row r="81" spans="1:11" x14ac:dyDescent="0.15">
      <c r="A81" s="1" t="s">
        <v>288</v>
      </c>
      <c r="B81" s="1">
        <v>2205.1432</v>
      </c>
      <c r="C81" s="1">
        <v>44.915399999999998</v>
      </c>
      <c r="D81" s="1">
        <v>49.273600000000002</v>
      </c>
      <c r="E81" s="1">
        <v>49.8795</v>
      </c>
      <c r="F81" s="1">
        <v>14599</v>
      </c>
      <c r="G81" s="1">
        <v>13.449</v>
      </c>
      <c r="H81" s="1">
        <v>1875432</v>
      </c>
      <c r="I81" s="1">
        <v>337156</v>
      </c>
      <c r="J81" s="1" t="s">
        <v>128</v>
      </c>
      <c r="K81" s="1" t="s">
        <v>289</v>
      </c>
    </row>
    <row r="82" spans="1:11" x14ac:dyDescent="0.15">
      <c r="A82" s="1" t="s">
        <v>290</v>
      </c>
      <c r="B82" s="1">
        <v>1162.4864</v>
      </c>
      <c r="C82" s="1">
        <v>42.901400000000002</v>
      </c>
      <c r="D82" s="1">
        <v>47.790799999999997</v>
      </c>
      <c r="E82" s="1">
        <v>48.177300000000002</v>
      </c>
      <c r="F82" s="1">
        <v>10331</v>
      </c>
      <c r="G82" s="1">
        <v>12.472</v>
      </c>
      <c r="H82" s="1">
        <v>1870928</v>
      </c>
      <c r="I82" s="1">
        <v>334992</v>
      </c>
      <c r="J82" s="1" t="s">
        <v>128</v>
      </c>
      <c r="K82" s="1" t="s">
        <v>291</v>
      </c>
    </row>
    <row r="83" spans="1:11" x14ac:dyDescent="0.15">
      <c r="A83" s="1" t="s">
        <v>292</v>
      </c>
      <c r="B83" s="1">
        <v>649.82320000000004</v>
      </c>
      <c r="C83" s="1">
        <v>40.849800000000002</v>
      </c>
      <c r="D83" s="1">
        <v>45.589399999999998</v>
      </c>
      <c r="E83" s="1">
        <v>45.8902</v>
      </c>
      <c r="F83" s="1">
        <v>7219</v>
      </c>
      <c r="G83" s="1">
        <v>11.215</v>
      </c>
      <c r="H83" s="1">
        <v>1867964</v>
      </c>
      <c r="I83" s="1">
        <v>331516</v>
      </c>
      <c r="J83" s="1" t="s">
        <v>128</v>
      </c>
      <c r="K83" s="1" t="s">
        <v>293</v>
      </c>
    </row>
    <row r="84" spans="1:11" x14ac:dyDescent="0.15">
      <c r="A84" s="1" t="s">
        <v>294</v>
      </c>
      <c r="B84" s="1">
        <v>382.54239999999999</v>
      </c>
      <c r="C84" s="1">
        <v>38.470399999999998</v>
      </c>
      <c r="D84" s="1">
        <v>44.057499999999997</v>
      </c>
      <c r="E84" s="1">
        <v>44.462800000000001</v>
      </c>
      <c r="F84" s="1">
        <v>4301</v>
      </c>
      <c r="G84" s="1">
        <v>9.2439999999999998</v>
      </c>
      <c r="H84" s="1">
        <v>1865404</v>
      </c>
      <c r="I84" s="1">
        <v>329528</v>
      </c>
      <c r="J84" s="1" t="s">
        <v>128</v>
      </c>
      <c r="K84" s="1" t="s">
        <v>295</v>
      </c>
    </row>
    <row r="85" spans="1:11" x14ac:dyDescent="0.15">
      <c r="A85" s="1" t="s">
        <v>296</v>
      </c>
      <c r="B85" s="1">
        <v>2343.3975999999998</v>
      </c>
      <c r="C85" s="1">
        <v>45.308700000000002</v>
      </c>
      <c r="D85" s="1">
        <v>48.679099999999998</v>
      </c>
      <c r="E85" s="1">
        <v>49.591500000000003</v>
      </c>
      <c r="F85" s="1">
        <v>16785</v>
      </c>
      <c r="G85" s="1">
        <v>16.093</v>
      </c>
      <c r="H85" s="1">
        <v>1878120</v>
      </c>
      <c r="I85" s="1">
        <v>337772</v>
      </c>
      <c r="J85" s="1" t="s">
        <v>128</v>
      </c>
      <c r="K85" s="1" t="s">
        <v>297</v>
      </c>
    </row>
    <row r="86" spans="1:11" x14ac:dyDescent="0.15">
      <c r="A86" s="1" t="s">
        <v>298</v>
      </c>
      <c r="B86" s="1">
        <v>1361.6335999999999</v>
      </c>
      <c r="C86" s="1">
        <v>43.244300000000003</v>
      </c>
      <c r="D86" s="1">
        <v>46.898800000000001</v>
      </c>
      <c r="E86" s="1">
        <v>47.764400000000002</v>
      </c>
      <c r="F86" s="1">
        <v>10441</v>
      </c>
      <c r="G86" s="1">
        <v>13.098000000000001</v>
      </c>
      <c r="H86" s="1">
        <v>1874252</v>
      </c>
      <c r="I86" s="1">
        <v>335672</v>
      </c>
      <c r="J86" s="1" t="s">
        <v>128</v>
      </c>
      <c r="K86" s="1" t="s">
        <v>299</v>
      </c>
    </row>
    <row r="87" spans="1:11" x14ac:dyDescent="0.15">
      <c r="A87" s="1" t="s">
        <v>300</v>
      </c>
      <c r="B87" s="1">
        <v>810.8288</v>
      </c>
      <c r="C87" s="1">
        <v>40.8872</v>
      </c>
      <c r="D87" s="1">
        <v>44.775399999999998</v>
      </c>
      <c r="E87" s="1">
        <v>45.429699999999997</v>
      </c>
      <c r="F87" s="1">
        <v>7611</v>
      </c>
      <c r="G87" s="1">
        <v>11.920999999999999</v>
      </c>
      <c r="H87" s="1">
        <v>1868972</v>
      </c>
      <c r="I87" s="1">
        <v>333924</v>
      </c>
      <c r="J87" s="1" t="s">
        <v>128</v>
      </c>
      <c r="K87" s="1" t="s">
        <v>301</v>
      </c>
    </row>
    <row r="88" spans="1:11" x14ac:dyDescent="0.15">
      <c r="A88" s="1" t="s">
        <v>302</v>
      </c>
      <c r="B88" s="1">
        <v>496.04079999999999</v>
      </c>
      <c r="C88" s="1">
        <v>38.235999999999997</v>
      </c>
      <c r="D88" s="1">
        <v>43.283999999999999</v>
      </c>
      <c r="E88" s="1">
        <v>43.844299999999997</v>
      </c>
      <c r="F88" s="1">
        <v>5672</v>
      </c>
      <c r="G88" s="1">
        <v>11.388</v>
      </c>
      <c r="H88" s="1">
        <v>1866148</v>
      </c>
      <c r="I88" s="1">
        <v>330784</v>
      </c>
      <c r="J88" s="1" t="s">
        <v>128</v>
      </c>
      <c r="K88" s="1" t="s">
        <v>303</v>
      </c>
    </row>
    <row r="89" spans="1:11" x14ac:dyDescent="0.15">
      <c r="A89" s="1" t="s">
        <v>304</v>
      </c>
      <c r="B89" s="1">
        <v>2113.8166999999999</v>
      </c>
      <c r="C89" s="1">
        <v>43.229300000000002</v>
      </c>
      <c r="D89" s="1">
        <v>45.1492</v>
      </c>
      <c r="E89" s="1">
        <v>46.406199999999998</v>
      </c>
      <c r="F89" s="1">
        <v>15216</v>
      </c>
      <c r="G89" s="1">
        <v>9.6180000000000003</v>
      </c>
      <c r="H89" s="1">
        <v>1492496</v>
      </c>
      <c r="I89" s="1">
        <v>304972</v>
      </c>
      <c r="J89" s="1" t="s">
        <v>128</v>
      </c>
      <c r="K89" s="1" t="s">
        <v>305</v>
      </c>
    </row>
    <row r="90" spans="1:11" x14ac:dyDescent="0.15">
      <c r="A90" s="1" t="s">
        <v>306</v>
      </c>
      <c r="B90" s="1">
        <v>1194.4421</v>
      </c>
      <c r="C90" s="1">
        <v>40.043700000000001</v>
      </c>
      <c r="D90" s="1">
        <v>42.527900000000002</v>
      </c>
      <c r="E90" s="1">
        <v>43.407200000000003</v>
      </c>
      <c r="F90" s="1">
        <v>13181</v>
      </c>
      <c r="G90" s="1">
        <v>7.9119999999999999</v>
      </c>
      <c r="H90" s="1">
        <v>1486528</v>
      </c>
      <c r="I90" s="1">
        <v>299900</v>
      </c>
      <c r="J90" s="1" t="s">
        <v>128</v>
      </c>
      <c r="K90" s="1" t="s">
        <v>307</v>
      </c>
    </row>
    <row r="91" spans="1:11" x14ac:dyDescent="0.15">
      <c r="A91" s="1" t="s">
        <v>308</v>
      </c>
      <c r="B91" s="1">
        <v>670.36590000000001</v>
      </c>
      <c r="C91" s="1">
        <v>37.022399999999998</v>
      </c>
      <c r="D91" s="1">
        <v>39.695399999999999</v>
      </c>
      <c r="E91" s="1">
        <v>40.1678</v>
      </c>
      <c r="F91" s="1">
        <v>8506</v>
      </c>
      <c r="G91" s="1">
        <v>5.8479999999999999</v>
      </c>
      <c r="H91" s="1">
        <v>1480592</v>
      </c>
      <c r="I91" s="1">
        <v>296844</v>
      </c>
      <c r="J91" s="1" t="s">
        <v>128</v>
      </c>
      <c r="K91" s="1" t="s">
        <v>309</v>
      </c>
    </row>
    <row r="92" spans="1:11" x14ac:dyDescent="0.15">
      <c r="A92" s="1" t="s">
        <v>310</v>
      </c>
      <c r="B92" s="1">
        <v>390.7627</v>
      </c>
      <c r="C92" s="1">
        <v>34.162300000000002</v>
      </c>
      <c r="D92" s="1">
        <v>37.979399999999998</v>
      </c>
      <c r="E92" s="1">
        <v>38.274999999999999</v>
      </c>
      <c r="F92" s="1">
        <v>5629</v>
      </c>
      <c r="G92" s="1">
        <v>5.133</v>
      </c>
      <c r="H92" s="1">
        <v>1477812</v>
      </c>
      <c r="I92" s="1">
        <v>293288</v>
      </c>
      <c r="J92" s="1" t="s">
        <v>128</v>
      </c>
      <c r="K92" s="1" t="s">
        <v>311</v>
      </c>
    </row>
    <row r="93" spans="1:11" x14ac:dyDescent="0.15">
      <c r="A93" s="1" t="s">
        <v>312</v>
      </c>
      <c r="B93" s="1">
        <v>11262.936</v>
      </c>
      <c r="C93" s="1">
        <v>45.355200000000004</v>
      </c>
      <c r="D93" s="1">
        <v>46.140599999999999</v>
      </c>
      <c r="E93" s="1">
        <v>46.880099999999999</v>
      </c>
      <c r="F93" s="1">
        <v>89927</v>
      </c>
      <c r="G93" s="1">
        <v>51.226999999999997</v>
      </c>
      <c r="H93" s="1">
        <v>3332824</v>
      </c>
      <c r="I93" s="1">
        <v>582752</v>
      </c>
      <c r="J93" s="1" t="s">
        <v>128</v>
      </c>
      <c r="K93" s="1" t="s">
        <v>313</v>
      </c>
    </row>
    <row r="94" spans="1:11" x14ac:dyDescent="0.15">
      <c r="A94" s="1" t="s">
        <v>314</v>
      </c>
      <c r="B94" s="1">
        <v>6408.2439999999997</v>
      </c>
      <c r="C94" s="1">
        <v>41.910400000000003</v>
      </c>
      <c r="D94" s="1">
        <v>43.064</v>
      </c>
      <c r="E94" s="1">
        <v>43.596400000000003</v>
      </c>
      <c r="F94" s="1">
        <v>75537</v>
      </c>
      <c r="G94" s="1">
        <v>45.055999999999997</v>
      </c>
      <c r="H94" s="1">
        <v>3307176</v>
      </c>
      <c r="I94" s="1">
        <v>558404</v>
      </c>
      <c r="J94" s="1" t="s">
        <v>128</v>
      </c>
      <c r="K94" s="1" t="s">
        <v>315</v>
      </c>
    </row>
    <row r="95" spans="1:11" x14ac:dyDescent="0.15">
      <c r="A95" s="1" t="s">
        <v>316</v>
      </c>
      <c r="B95" s="1">
        <v>3530.1152000000002</v>
      </c>
      <c r="C95" s="1">
        <v>38.670499999999997</v>
      </c>
      <c r="D95" s="1">
        <v>39.987400000000001</v>
      </c>
      <c r="E95" s="1">
        <v>40.268000000000001</v>
      </c>
      <c r="F95" s="1">
        <v>54978</v>
      </c>
      <c r="G95" s="1">
        <v>36.073999999999998</v>
      </c>
      <c r="H95" s="1">
        <v>3290832</v>
      </c>
      <c r="I95" s="1">
        <v>536784</v>
      </c>
      <c r="J95" s="1" t="s">
        <v>128</v>
      </c>
      <c r="K95" s="1" t="s">
        <v>317</v>
      </c>
    </row>
    <row r="96" spans="1:11" x14ac:dyDescent="0.15">
      <c r="A96" s="1" t="s">
        <v>318</v>
      </c>
      <c r="B96" s="1">
        <v>1989.6384</v>
      </c>
      <c r="C96" s="1">
        <v>35.598300000000002</v>
      </c>
      <c r="D96" s="1">
        <v>38.359499999999997</v>
      </c>
      <c r="E96" s="1">
        <v>38.492400000000004</v>
      </c>
      <c r="F96" s="1">
        <v>32062</v>
      </c>
      <c r="G96" s="1">
        <v>28.67</v>
      </c>
      <c r="H96" s="1">
        <v>3275992</v>
      </c>
      <c r="I96" s="1">
        <v>492012</v>
      </c>
      <c r="J96" s="1" t="s">
        <v>128</v>
      </c>
      <c r="K96" s="1" t="s">
        <v>319</v>
      </c>
    </row>
    <row r="97" spans="1:11" x14ac:dyDescent="0.15">
      <c r="A97" s="1" t="s">
        <v>320</v>
      </c>
      <c r="B97" s="1">
        <v>1501.2055</v>
      </c>
      <c r="C97" s="1">
        <v>49.096800000000002</v>
      </c>
      <c r="D97" s="1">
        <v>48.298299999999998</v>
      </c>
      <c r="E97" s="1">
        <v>48.632399999999997</v>
      </c>
      <c r="F97" s="1">
        <v>10840</v>
      </c>
      <c r="G97" s="1">
        <v>7.1040000000000001</v>
      </c>
      <c r="H97" s="1">
        <v>1987860</v>
      </c>
      <c r="I97" s="1">
        <v>365152</v>
      </c>
      <c r="J97" s="1" t="s">
        <v>128</v>
      </c>
      <c r="K97" s="1" t="s">
        <v>321</v>
      </c>
    </row>
    <row r="98" spans="1:11" x14ac:dyDescent="0.15">
      <c r="A98" s="1" t="s">
        <v>322</v>
      </c>
      <c r="B98" s="1">
        <v>1179.0853</v>
      </c>
      <c r="C98" s="1">
        <v>45.224800000000002</v>
      </c>
      <c r="D98" s="1">
        <v>45.731499999999997</v>
      </c>
      <c r="E98" s="1">
        <v>46.253500000000003</v>
      </c>
      <c r="F98" s="1">
        <v>11543</v>
      </c>
      <c r="G98" s="1">
        <v>7.125</v>
      </c>
      <c r="H98" s="1">
        <v>1981672</v>
      </c>
      <c r="I98" s="1">
        <v>355216</v>
      </c>
      <c r="J98" s="1" t="s">
        <v>128</v>
      </c>
      <c r="K98" s="1" t="s">
        <v>323</v>
      </c>
    </row>
    <row r="99" spans="1:11" x14ac:dyDescent="0.15">
      <c r="A99" s="1" t="s">
        <v>324</v>
      </c>
      <c r="B99" s="1">
        <v>934.16759999999999</v>
      </c>
      <c r="C99" s="1">
        <v>41.278399999999998</v>
      </c>
      <c r="D99" s="1">
        <v>42.704700000000003</v>
      </c>
      <c r="E99" s="1">
        <v>43.357599999999998</v>
      </c>
      <c r="F99" s="1">
        <v>10505</v>
      </c>
      <c r="G99" s="1">
        <v>6.3040000000000003</v>
      </c>
      <c r="H99" s="1">
        <v>1980004</v>
      </c>
      <c r="I99" s="1">
        <v>345464</v>
      </c>
      <c r="J99" s="1" t="s">
        <v>128</v>
      </c>
      <c r="K99" s="1" t="s">
        <v>325</v>
      </c>
    </row>
    <row r="100" spans="1:11" x14ac:dyDescent="0.15">
      <c r="A100" s="1" t="s">
        <v>326</v>
      </c>
      <c r="B100" s="1">
        <v>718.3279</v>
      </c>
      <c r="C100" s="1">
        <v>36.331699999999998</v>
      </c>
      <c r="D100" s="1">
        <v>40.273600000000002</v>
      </c>
      <c r="E100" s="1">
        <v>41.131599999999999</v>
      </c>
      <c r="F100" s="1">
        <v>8684</v>
      </c>
      <c r="G100" s="1">
        <v>5.27</v>
      </c>
      <c r="H100" s="1">
        <v>1978632</v>
      </c>
      <c r="I100" s="1">
        <v>349216</v>
      </c>
      <c r="J100" s="1" t="s">
        <v>128</v>
      </c>
      <c r="K100" s="1" t="s">
        <v>327</v>
      </c>
    </row>
    <row r="101" spans="1:11" x14ac:dyDescent="0.15">
      <c r="A101" s="1" t="s">
        <v>328</v>
      </c>
      <c r="B101" s="1">
        <v>411.49680000000001</v>
      </c>
      <c r="C101" s="1">
        <v>51.800800000000002</v>
      </c>
      <c r="D101" s="1">
        <v>55.203099999999999</v>
      </c>
      <c r="E101" s="1">
        <v>56.500500000000002</v>
      </c>
      <c r="F101" s="1">
        <v>8740</v>
      </c>
      <c r="G101" s="1">
        <v>8.2070000000000007</v>
      </c>
      <c r="H101" s="1">
        <v>1997592</v>
      </c>
      <c r="I101" s="1">
        <v>347436</v>
      </c>
      <c r="J101" s="1" t="s">
        <v>128</v>
      </c>
      <c r="K101" s="1" t="s">
        <v>329</v>
      </c>
    </row>
    <row r="102" spans="1:11" x14ac:dyDescent="0.15">
      <c r="A102" s="1" t="s">
        <v>330</v>
      </c>
      <c r="B102" s="1">
        <v>257.8546</v>
      </c>
      <c r="C102" s="1">
        <v>48.287599999999998</v>
      </c>
      <c r="D102" s="1">
        <v>52.051699999999997</v>
      </c>
      <c r="E102" s="1">
        <v>53.696100000000001</v>
      </c>
      <c r="F102" s="1">
        <v>7405</v>
      </c>
      <c r="G102" s="1">
        <v>8.2569999999999997</v>
      </c>
      <c r="H102" s="1">
        <v>1994256</v>
      </c>
      <c r="I102" s="1">
        <v>347884</v>
      </c>
      <c r="J102" s="1" t="s">
        <v>128</v>
      </c>
      <c r="K102" s="1" t="s">
        <v>331</v>
      </c>
    </row>
    <row r="103" spans="1:11" x14ac:dyDescent="0.15">
      <c r="A103" s="1" t="s">
        <v>332</v>
      </c>
      <c r="B103" s="1">
        <v>166.0016</v>
      </c>
      <c r="C103" s="1">
        <v>44.932099999999998</v>
      </c>
      <c r="D103" s="1">
        <v>48.900199999999998</v>
      </c>
      <c r="E103" s="1">
        <v>50.850900000000003</v>
      </c>
      <c r="F103" s="1">
        <v>6084</v>
      </c>
      <c r="G103" s="1">
        <v>7.6059999999999999</v>
      </c>
      <c r="H103" s="1">
        <v>1991772</v>
      </c>
      <c r="I103" s="1">
        <v>341856</v>
      </c>
      <c r="J103" s="1" t="s">
        <v>128</v>
      </c>
      <c r="K103" s="1" t="s">
        <v>333</v>
      </c>
    </row>
    <row r="104" spans="1:11" x14ac:dyDescent="0.15">
      <c r="A104" s="1" t="s">
        <v>334</v>
      </c>
      <c r="B104" s="1">
        <v>107.4873</v>
      </c>
      <c r="C104" s="1">
        <v>41.363700000000001</v>
      </c>
      <c r="D104" s="1">
        <v>47.0717</v>
      </c>
      <c r="E104" s="1">
        <v>49.024999999999999</v>
      </c>
      <c r="F104" s="1">
        <v>5014</v>
      </c>
      <c r="G104" s="1">
        <v>7.6059999999999999</v>
      </c>
      <c r="H104" s="1">
        <v>1989024</v>
      </c>
      <c r="I104" s="1">
        <v>339424</v>
      </c>
      <c r="J104" s="1" t="s">
        <v>128</v>
      </c>
      <c r="K104" s="1" t="s">
        <v>335</v>
      </c>
    </row>
    <row r="105" spans="1:11" x14ac:dyDescent="0.15">
      <c r="A105" s="1" t="s">
        <v>336</v>
      </c>
      <c r="B105" s="1">
        <v>5444.8325999999997</v>
      </c>
      <c r="C105" s="1">
        <v>50.217300000000002</v>
      </c>
      <c r="D105" s="1">
        <v>49.465299999999999</v>
      </c>
      <c r="E105" s="1">
        <v>49.6173</v>
      </c>
      <c r="F105" s="1">
        <v>23606</v>
      </c>
      <c r="G105" s="1">
        <v>17.638999999999999</v>
      </c>
      <c r="H105" s="1">
        <v>3179492</v>
      </c>
      <c r="I105" s="1">
        <v>548584</v>
      </c>
      <c r="J105" s="1" t="s">
        <v>128</v>
      </c>
      <c r="K105" s="1" t="s">
        <v>337</v>
      </c>
    </row>
    <row r="106" spans="1:11" x14ac:dyDescent="0.15">
      <c r="A106" s="1" t="s">
        <v>338</v>
      </c>
      <c r="B106" s="1">
        <v>4074.9079000000002</v>
      </c>
      <c r="C106" s="1">
        <v>45.501899999999999</v>
      </c>
      <c r="D106" s="1">
        <v>45.249400000000001</v>
      </c>
      <c r="E106" s="1">
        <v>45.591500000000003</v>
      </c>
      <c r="F106" s="1">
        <v>22124</v>
      </c>
      <c r="G106" s="1">
        <v>15.736000000000001</v>
      </c>
      <c r="H106" s="1">
        <v>3177412</v>
      </c>
      <c r="I106" s="1">
        <v>526532</v>
      </c>
      <c r="J106" s="1" t="s">
        <v>128</v>
      </c>
      <c r="K106" s="1" t="s">
        <v>339</v>
      </c>
    </row>
    <row r="107" spans="1:11" x14ac:dyDescent="0.15">
      <c r="A107" s="1" t="s">
        <v>340</v>
      </c>
      <c r="B107" s="1">
        <v>2970.3836999999999</v>
      </c>
      <c r="C107" s="1">
        <v>40.9148</v>
      </c>
      <c r="D107" s="1">
        <v>41.0047</v>
      </c>
      <c r="E107" s="1">
        <v>41.577500000000001</v>
      </c>
      <c r="F107" s="1">
        <v>20117</v>
      </c>
      <c r="G107" s="1">
        <v>14.151</v>
      </c>
      <c r="H107" s="1">
        <v>3173596</v>
      </c>
      <c r="I107" s="1">
        <v>508828</v>
      </c>
      <c r="J107" s="1" t="s">
        <v>128</v>
      </c>
      <c r="K107" s="1" t="s">
        <v>341</v>
      </c>
    </row>
    <row r="108" spans="1:11" x14ac:dyDescent="0.15">
      <c r="A108" s="1" t="s">
        <v>342</v>
      </c>
      <c r="B108" s="1">
        <v>2193.3742000000002</v>
      </c>
      <c r="C108" s="1">
        <v>36.458199999999998</v>
      </c>
      <c r="D108" s="1">
        <v>38.298200000000001</v>
      </c>
      <c r="E108" s="1">
        <v>38.952399999999997</v>
      </c>
      <c r="F108" s="1">
        <v>19837</v>
      </c>
      <c r="G108" s="1">
        <v>14.57</v>
      </c>
      <c r="H108" s="1">
        <v>3169496</v>
      </c>
      <c r="I108" s="1">
        <v>500496</v>
      </c>
      <c r="J108" s="1" t="s">
        <v>128</v>
      </c>
      <c r="K108" s="1" t="s">
        <v>343</v>
      </c>
    </row>
    <row r="109" spans="1:11" x14ac:dyDescent="0.15">
      <c r="A109" s="1" t="s">
        <v>344</v>
      </c>
      <c r="B109" s="1">
        <v>3321.2840000000001</v>
      </c>
      <c r="C109" s="1">
        <v>53.728200000000001</v>
      </c>
      <c r="D109" s="1">
        <v>49.716799999999999</v>
      </c>
      <c r="E109" s="1">
        <v>49.737299999999998</v>
      </c>
      <c r="F109" s="1">
        <v>32463</v>
      </c>
      <c r="G109" s="1">
        <v>24.138000000000002</v>
      </c>
      <c r="H109" s="1">
        <v>3146008</v>
      </c>
      <c r="I109" s="1">
        <v>507868</v>
      </c>
      <c r="J109" s="1" t="s">
        <v>128</v>
      </c>
      <c r="K109" s="1" t="s">
        <v>345</v>
      </c>
    </row>
    <row r="110" spans="1:11" x14ac:dyDescent="0.15">
      <c r="A110" s="1" t="s">
        <v>346</v>
      </c>
      <c r="B110" s="1">
        <v>2733.5151999999998</v>
      </c>
      <c r="C110" s="1">
        <v>48.902000000000001</v>
      </c>
      <c r="D110" s="1">
        <v>46.772599999999997</v>
      </c>
      <c r="E110" s="1">
        <v>46.600900000000003</v>
      </c>
      <c r="F110" s="1">
        <v>32301</v>
      </c>
      <c r="G110" s="1">
        <v>22.085000000000001</v>
      </c>
      <c r="H110" s="1">
        <v>3142896</v>
      </c>
      <c r="I110" s="1">
        <v>484148</v>
      </c>
      <c r="J110" s="1" t="s">
        <v>128</v>
      </c>
      <c r="K110" s="1" t="s">
        <v>347</v>
      </c>
    </row>
    <row r="111" spans="1:11" x14ac:dyDescent="0.15">
      <c r="A111" s="1" t="s">
        <v>348</v>
      </c>
      <c r="B111" s="1">
        <v>2270.5328</v>
      </c>
      <c r="C111" s="1">
        <v>43.959800000000001</v>
      </c>
      <c r="D111" s="1">
        <v>43.648200000000003</v>
      </c>
      <c r="E111" s="1">
        <v>43.175800000000002</v>
      </c>
      <c r="F111" s="1">
        <v>28914</v>
      </c>
      <c r="G111" s="1">
        <v>19.907</v>
      </c>
      <c r="H111" s="1">
        <v>3139484</v>
      </c>
      <c r="I111" s="1">
        <v>475860</v>
      </c>
      <c r="J111" s="1" t="s">
        <v>128</v>
      </c>
      <c r="K111" s="1" t="s">
        <v>349</v>
      </c>
    </row>
    <row r="112" spans="1:11" x14ac:dyDescent="0.15">
      <c r="A112" s="1" t="s">
        <v>350</v>
      </c>
      <c r="B112" s="1">
        <v>1895.6143999999999</v>
      </c>
      <c r="C112" s="1">
        <v>38.402200000000001</v>
      </c>
      <c r="D112" s="1">
        <v>41.334600000000002</v>
      </c>
      <c r="E112" s="1">
        <v>41.003900000000002</v>
      </c>
      <c r="F112" s="1">
        <v>27581</v>
      </c>
      <c r="G112" s="1">
        <v>19.111000000000001</v>
      </c>
      <c r="H112" s="1">
        <v>3139584</v>
      </c>
      <c r="I112" s="1">
        <v>470548</v>
      </c>
      <c r="J112" s="1" t="s">
        <v>128</v>
      </c>
      <c r="K112" s="1" t="s">
        <v>351</v>
      </c>
    </row>
    <row r="113" spans="1:11" x14ac:dyDescent="0.15">
      <c r="A113" s="1" t="s">
        <v>352</v>
      </c>
      <c r="B113" s="1">
        <v>2993.7031999999999</v>
      </c>
      <c r="C113" s="1">
        <v>56.6126</v>
      </c>
      <c r="D113" s="1">
        <v>54.106400000000001</v>
      </c>
      <c r="E113" s="1">
        <v>52.928800000000003</v>
      </c>
      <c r="F113" s="1">
        <v>23278</v>
      </c>
      <c r="G113" s="1">
        <v>21.669</v>
      </c>
      <c r="H113" s="1">
        <v>3142176</v>
      </c>
      <c r="I113" s="1">
        <v>527660</v>
      </c>
      <c r="J113" s="1" t="s">
        <v>128</v>
      </c>
      <c r="K113" s="1" t="s">
        <v>353</v>
      </c>
    </row>
    <row r="114" spans="1:11" x14ac:dyDescent="0.15">
      <c r="A114" s="1" t="s">
        <v>354</v>
      </c>
      <c r="B114" s="1">
        <v>2317.8312000000001</v>
      </c>
      <c r="C114" s="1">
        <v>50.451700000000002</v>
      </c>
      <c r="D114" s="1">
        <v>48.473100000000002</v>
      </c>
      <c r="E114" s="1">
        <v>46.520299999999999</v>
      </c>
      <c r="F114" s="1">
        <v>23050</v>
      </c>
      <c r="G114" s="1">
        <v>21.231000000000002</v>
      </c>
      <c r="H114" s="1">
        <v>3142572</v>
      </c>
      <c r="I114" s="1">
        <v>527336</v>
      </c>
      <c r="J114" s="1" t="s">
        <v>128</v>
      </c>
      <c r="K114" s="1" t="s">
        <v>355</v>
      </c>
    </row>
    <row r="115" spans="1:11" x14ac:dyDescent="0.15">
      <c r="A115" s="1" t="s">
        <v>356</v>
      </c>
      <c r="B115" s="1">
        <v>1771.3696</v>
      </c>
      <c r="C115" s="1">
        <v>45.040100000000002</v>
      </c>
      <c r="D115" s="1">
        <v>43.939399999999999</v>
      </c>
      <c r="E115" s="1">
        <v>41.331200000000003</v>
      </c>
      <c r="F115" s="1">
        <v>22955</v>
      </c>
      <c r="G115" s="1">
        <v>21.201000000000001</v>
      </c>
      <c r="H115" s="1">
        <v>3143672</v>
      </c>
      <c r="I115" s="1">
        <v>512900</v>
      </c>
      <c r="J115" s="1" t="s">
        <v>128</v>
      </c>
      <c r="K115" s="1" t="s">
        <v>357</v>
      </c>
    </row>
    <row r="116" spans="1:11" x14ac:dyDescent="0.15">
      <c r="A116" s="1" t="s">
        <v>358</v>
      </c>
      <c r="B116" s="1">
        <v>1356.7719999999999</v>
      </c>
      <c r="C116" s="1">
        <v>39.5991</v>
      </c>
      <c r="D116" s="1">
        <v>41.349400000000003</v>
      </c>
      <c r="E116" s="1">
        <v>38.576099999999997</v>
      </c>
      <c r="F116" s="1">
        <v>21319</v>
      </c>
      <c r="G116" s="1">
        <v>21.042999999999999</v>
      </c>
      <c r="H116" s="1">
        <v>3140916</v>
      </c>
      <c r="I116" s="1">
        <v>503724</v>
      </c>
      <c r="J116" s="1" t="s">
        <v>128</v>
      </c>
      <c r="K116" s="1" t="s">
        <v>359</v>
      </c>
    </row>
    <row r="117" spans="1:11" x14ac:dyDescent="0.15">
      <c r="A117" s="1" t="s">
        <v>360</v>
      </c>
      <c r="B117" s="1">
        <v>10203.148800000001</v>
      </c>
      <c r="C117" s="1">
        <v>49.167299999999997</v>
      </c>
      <c r="D117" s="1">
        <v>48.459499999999998</v>
      </c>
      <c r="E117" s="1">
        <v>48.707299999999996</v>
      </c>
      <c r="F117" s="1">
        <v>60453</v>
      </c>
      <c r="G117" s="1">
        <v>32.89</v>
      </c>
      <c r="H117" s="1">
        <v>3217696</v>
      </c>
      <c r="I117" s="1">
        <v>530528</v>
      </c>
      <c r="J117" s="1" t="s">
        <v>128</v>
      </c>
      <c r="K117" s="1" t="s">
        <v>361</v>
      </c>
    </row>
    <row r="118" spans="1:11" x14ac:dyDescent="0.15">
      <c r="A118" s="1" t="s">
        <v>362</v>
      </c>
      <c r="B118" s="1">
        <v>8175.7816000000003</v>
      </c>
      <c r="C118" s="1">
        <v>44.692100000000003</v>
      </c>
      <c r="D118" s="1">
        <v>45.064</v>
      </c>
      <c r="E118" s="1">
        <v>45.444800000000001</v>
      </c>
      <c r="F118" s="1">
        <v>53566</v>
      </c>
      <c r="G118" s="1">
        <v>28.501000000000001</v>
      </c>
      <c r="H118" s="1">
        <v>3204136</v>
      </c>
      <c r="I118" s="1">
        <v>511544</v>
      </c>
      <c r="J118" s="1" t="s">
        <v>128</v>
      </c>
      <c r="K118" s="1" t="s">
        <v>363</v>
      </c>
    </row>
    <row r="119" spans="1:11" x14ac:dyDescent="0.15">
      <c r="A119" s="1" t="s">
        <v>364</v>
      </c>
      <c r="B119" s="1">
        <v>6587.6592000000001</v>
      </c>
      <c r="C119" s="1">
        <v>40.173499999999997</v>
      </c>
      <c r="D119" s="1">
        <v>41.857399999999998</v>
      </c>
      <c r="E119" s="1">
        <v>42.527099999999997</v>
      </c>
      <c r="F119" s="1">
        <v>54650</v>
      </c>
      <c r="G119" s="1">
        <v>27.725999999999999</v>
      </c>
      <c r="H119" s="1">
        <v>3200208</v>
      </c>
      <c r="I119" s="1">
        <v>509500</v>
      </c>
      <c r="J119" s="1" t="s">
        <v>128</v>
      </c>
      <c r="K119" s="1" t="s">
        <v>365</v>
      </c>
    </row>
    <row r="120" spans="1:11" x14ac:dyDescent="0.15">
      <c r="A120" s="1" t="s">
        <v>366</v>
      </c>
      <c r="B120" s="1">
        <v>5076.0608000000002</v>
      </c>
      <c r="C120" s="1">
        <v>35.216200000000001</v>
      </c>
      <c r="D120" s="1">
        <v>39.392200000000003</v>
      </c>
      <c r="E120" s="1">
        <v>40.061900000000001</v>
      </c>
      <c r="F120" s="1">
        <v>49445</v>
      </c>
      <c r="G120" s="1">
        <v>25.372</v>
      </c>
      <c r="H120" s="1">
        <v>3198080</v>
      </c>
      <c r="I120" s="1">
        <v>519840</v>
      </c>
      <c r="J120" s="1" t="s">
        <v>128</v>
      </c>
      <c r="K120" s="1" t="s">
        <v>367</v>
      </c>
    </row>
    <row r="121" spans="1:11" x14ac:dyDescent="0.15">
      <c r="A121" s="1" t="s">
        <v>368</v>
      </c>
      <c r="B121" s="1">
        <v>13744.9959</v>
      </c>
      <c r="C121" s="1">
        <v>40.2697</v>
      </c>
      <c r="D121" s="1">
        <v>49.483800000000002</v>
      </c>
      <c r="E121" s="1">
        <v>47.821599999999997</v>
      </c>
      <c r="F121" s="1">
        <v>1844769</v>
      </c>
      <c r="G121" s="1">
        <v>360.99299999999999</v>
      </c>
      <c r="H121" s="1">
        <v>15153008</v>
      </c>
      <c r="I121" s="1">
        <v>2498136</v>
      </c>
      <c r="J121" s="1" t="s">
        <v>128</v>
      </c>
      <c r="K121" s="1" t="s">
        <v>369</v>
      </c>
    </row>
    <row r="122" spans="1:11" x14ac:dyDescent="0.15">
      <c r="A122" s="1" t="s">
        <v>370</v>
      </c>
      <c r="B122" s="1">
        <v>5702.4947000000002</v>
      </c>
      <c r="C122" s="1">
        <v>39.776499999999999</v>
      </c>
      <c r="D122" s="1">
        <v>48.810099999999998</v>
      </c>
      <c r="E122" s="1">
        <v>46.658999999999999</v>
      </c>
      <c r="F122" s="1">
        <v>1142716</v>
      </c>
      <c r="G122" s="1">
        <v>405.50599999999997</v>
      </c>
      <c r="H122" s="1">
        <v>15110872</v>
      </c>
      <c r="I122" s="1">
        <v>2367520</v>
      </c>
      <c r="J122" s="1" t="s">
        <v>128</v>
      </c>
      <c r="K122" s="1" t="s">
        <v>371</v>
      </c>
    </row>
    <row r="123" spans="1:11" x14ac:dyDescent="0.15">
      <c r="A123" s="1" t="s">
        <v>372</v>
      </c>
      <c r="B123" s="1">
        <v>3031.5135</v>
      </c>
      <c r="C123" s="1">
        <v>39.022399999999998</v>
      </c>
      <c r="D123" s="1">
        <v>47.9848</v>
      </c>
      <c r="E123" s="1">
        <v>45.355800000000002</v>
      </c>
      <c r="F123" s="1">
        <v>433814</v>
      </c>
      <c r="G123" s="1">
        <v>205.95099999999999</v>
      </c>
      <c r="H123" s="1">
        <v>9894304</v>
      </c>
      <c r="I123" s="1">
        <v>1310740</v>
      </c>
      <c r="J123" s="1" t="s">
        <v>128</v>
      </c>
      <c r="K123" s="1" t="s">
        <v>373</v>
      </c>
    </row>
    <row r="124" spans="1:11" x14ac:dyDescent="0.15">
      <c r="A124" s="1" t="s">
        <v>374</v>
      </c>
      <c r="B124" s="1">
        <v>1622.3837000000001</v>
      </c>
      <c r="C124" s="1">
        <v>37.808999999999997</v>
      </c>
      <c r="D124" s="1">
        <v>46.950299999999999</v>
      </c>
      <c r="E124" s="1">
        <v>43.771000000000001</v>
      </c>
      <c r="F124" s="1">
        <v>194418</v>
      </c>
      <c r="G124" s="1">
        <v>103.06399999999999</v>
      </c>
      <c r="H124" s="1">
        <v>9351256</v>
      </c>
      <c r="I124" s="1">
        <v>1241788</v>
      </c>
      <c r="J124" s="1" t="s">
        <v>128</v>
      </c>
      <c r="K124" s="1" t="s">
        <v>375</v>
      </c>
    </row>
    <row r="125" spans="1:11" x14ac:dyDescent="0.15">
      <c r="A125" s="1" t="s">
        <v>376</v>
      </c>
      <c r="B125" s="1">
        <v>12792.407999999999</v>
      </c>
      <c r="C125" s="1">
        <v>44.398800000000001</v>
      </c>
      <c r="D125" s="1">
        <v>49.769100000000002</v>
      </c>
      <c r="E125" s="1">
        <v>50.449800000000003</v>
      </c>
      <c r="F125" s="1">
        <v>2010758</v>
      </c>
      <c r="G125" s="1">
        <v>484.52300000000002</v>
      </c>
      <c r="H125" s="1">
        <v>15375536</v>
      </c>
      <c r="I125" s="1">
        <v>2429700</v>
      </c>
      <c r="J125" s="1" t="s">
        <v>128</v>
      </c>
      <c r="K125" s="1" t="s">
        <v>377</v>
      </c>
    </row>
    <row r="126" spans="1:11" x14ac:dyDescent="0.15">
      <c r="A126" s="1" t="s">
        <v>378</v>
      </c>
      <c r="B126" s="1">
        <v>6374.9744000000001</v>
      </c>
      <c r="C126" s="1">
        <v>43.2592</v>
      </c>
      <c r="D126" s="1">
        <v>48.147399999999998</v>
      </c>
      <c r="E126" s="1">
        <v>48.550800000000002</v>
      </c>
      <c r="F126" s="1">
        <v>1111108</v>
      </c>
      <c r="G126" s="1">
        <v>443.334</v>
      </c>
      <c r="H126" s="1">
        <v>15251320</v>
      </c>
      <c r="I126" s="1">
        <v>2372116</v>
      </c>
      <c r="J126" s="1" t="s">
        <v>128</v>
      </c>
      <c r="K126" s="1" t="s">
        <v>379</v>
      </c>
    </row>
    <row r="127" spans="1:11" x14ac:dyDescent="0.15">
      <c r="A127" s="1" t="s">
        <v>380</v>
      </c>
      <c r="B127" s="1">
        <v>3336.8352</v>
      </c>
      <c r="C127" s="1">
        <v>41.506500000000003</v>
      </c>
      <c r="D127" s="1">
        <v>46.277900000000002</v>
      </c>
      <c r="E127" s="1">
        <v>46.466700000000003</v>
      </c>
      <c r="F127" s="1">
        <v>389427</v>
      </c>
      <c r="G127" s="1">
        <v>150.185</v>
      </c>
      <c r="H127" s="1">
        <v>10265660</v>
      </c>
      <c r="I127" s="1">
        <v>1654888</v>
      </c>
      <c r="J127" s="1" t="s">
        <v>128</v>
      </c>
      <c r="K127" s="1" t="s">
        <v>381</v>
      </c>
    </row>
    <row r="128" spans="1:11" x14ac:dyDescent="0.15">
      <c r="A128" s="1" t="s">
        <v>382</v>
      </c>
      <c r="B128" s="1">
        <v>1745.8463999999999</v>
      </c>
      <c r="C128" s="1">
        <v>39.486499999999999</v>
      </c>
      <c r="D128" s="1">
        <v>44.607300000000002</v>
      </c>
      <c r="E128" s="1">
        <v>44.640700000000002</v>
      </c>
      <c r="F128" s="1">
        <v>204168</v>
      </c>
      <c r="G128" s="1">
        <v>87.552000000000007</v>
      </c>
      <c r="H128" s="1">
        <v>8270568</v>
      </c>
      <c r="I128" s="1">
        <v>1265480</v>
      </c>
      <c r="J128" s="1" t="s">
        <v>128</v>
      </c>
      <c r="K128" s="1" t="s">
        <v>383</v>
      </c>
    </row>
    <row r="129" spans="1:11" x14ac:dyDescent="0.15">
      <c r="A129" s="1" t="s">
        <v>384</v>
      </c>
      <c r="B129" s="1">
        <v>43486.761599999998</v>
      </c>
      <c r="C129" s="1">
        <v>39.380200000000002</v>
      </c>
      <c r="D129" s="1">
        <v>41.323300000000003</v>
      </c>
      <c r="E129" s="1">
        <v>42.954900000000002</v>
      </c>
      <c r="F129" s="1">
        <v>3486562</v>
      </c>
      <c r="G129" s="1">
        <v>466.005</v>
      </c>
      <c r="H129" s="1">
        <v>15090804</v>
      </c>
      <c r="I129" s="1">
        <v>2934776</v>
      </c>
      <c r="J129" s="1" t="s">
        <v>128</v>
      </c>
      <c r="K129" s="1" t="s">
        <v>385</v>
      </c>
    </row>
    <row r="130" spans="1:11" x14ac:dyDescent="0.15">
      <c r="A130" s="1" t="s">
        <v>386</v>
      </c>
      <c r="B130" s="1">
        <v>10474.9288</v>
      </c>
      <c r="C130" s="1">
        <v>37.681600000000003</v>
      </c>
      <c r="D130" s="1">
        <v>37.713299999999997</v>
      </c>
      <c r="E130" s="1">
        <v>41.754100000000001</v>
      </c>
      <c r="F130" s="1">
        <v>2066209</v>
      </c>
      <c r="G130" s="1">
        <v>318.84199999999998</v>
      </c>
      <c r="H130" s="1">
        <v>15008912</v>
      </c>
      <c r="I130" s="1">
        <v>2821892</v>
      </c>
      <c r="J130" s="1" t="s">
        <v>128</v>
      </c>
      <c r="K130" s="1" t="s">
        <v>387</v>
      </c>
    </row>
    <row r="131" spans="1:11" x14ac:dyDescent="0.15">
      <c r="A131" s="1" t="s">
        <v>388</v>
      </c>
      <c r="B131" s="1">
        <v>5551.2448000000004</v>
      </c>
      <c r="C131" s="1">
        <v>36.7502</v>
      </c>
      <c r="D131" s="1">
        <v>35.7607</v>
      </c>
      <c r="E131" s="1">
        <v>40.561500000000002</v>
      </c>
      <c r="F131" s="1">
        <v>1296916</v>
      </c>
      <c r="G131" s="1">
        <v>226.833</v>
      </c>
      <c r="H131" s="1">
        <v>14932136</v>
      </c>
      <c r="I131" s="1">
        <v>2903660</v>
      </c>
      <c r="J131" s="1" t="s">
        <v>128</v>
      </c>
      <c r="K131" s="1" t="s">
        <v>389</v>
      </c>
    </row>
    <row r="132" spans="1:11" x14ac:dyDescent="0.15">
      <c r="A132" s="1" t="s">
        <v>390</v>
      </c>
      <c r="B132" s="1">
        <v>2668.6648</v>
      </c>
      <c r="C132" s="1">
        <v>35.444400000000002</v>
      </c>
      <c r="D132" s="1">
        <v>33.0139</v>
      </c>
      <c r="E132" s="1">
        <v>38.823599999999999</v>
      </c>
      <c r="F132" s="1">
        <v>536630</v>
      </c>
      <c r="G132" s="1">
        <v>113.05800000000001</v>
      </c>
      <c r="H132" s="1">
        <v>15008004</v>
      </c>
      <c r="I132" s="1">
        <v>2476084</v>
      </c>
      <c r="J132" s="1" t="s">
        <v>128</v>
      </c>
      <c r="K132" s="1" t="s">
        <v>391</v>
      </c>
    </row>
    <row r="133" spans="1:11" x14ac:dyDescent="0.15">
      <c r="A133" s="1" t="s">
        <v>392</v>
      </c>
      <c r="B133" s="1">
        <v>15271.0304</v>
      </c>
      <c r="C133" s="1">
        <v>40.394500000000001</v>
      </c>
      <c r="D133" s="1">
        <v>42.085500000000003</v>
      </c>
      <c r="E133" s="1">
        <v>43.975700000000003</v>
      </c>
      <c r="F133" s="1">
        <v>1257941</v>
      </c>
      <c r="G133" s="1">
        <v>421.41199999999998</v>
      </c>
      <c r="H133" s="1">
        <v>15102560</v>
      </c>
      <c r="I133" s="1">
        <v>2694684</v>
      </c>
      <c r="J133" s="1" t="s">
        <v>128</v>
      </c>
      <c r="K133" s="1" t="s">
        <v>393</v>
      </c>
    </row>
    <row r="134" spans="1:11" x14ac:dyDescent="0.15">
      <c r="A134" s="1" t="s">
        <v>394</v>
      </c>
      <c r="B134" s="1">
        <v>6880.3216000000002</v>
      </c>
      <c r="C134" s="1">
        <v>39.731999999999999</v>
      </c>
      <c r="D134" s="1">
        <v>41.655799999999999</v>
      </c>
      <c r="E134" s="1">
        <v>43.009300000000003</v>
      </c>
      <c r="F134" s="1">
        <v>794747</v>
      </c>
      <c r="G134" s="1">
        <v>308.10700000000003</v>
      </c>
      <c r="H134" s="1">
        <v>15049200</v>
      </c>
      <c r="I134" s="1">
        <v>2536424</v>
      </c>
      <c r="J134" s="1" t="s">
        <v>128</v>
      </c>
      <c r="K134" s="1" t="s">
        <v>395</v>
      </c>
    </row>
    <row r="135" spans="1:11" x14ac:dyDescent="0.15">
      <c r="A135" s="1" t="s">
        <v>396</v>
      </c>
      <c r="B135" s="1">
        <v>3438.3728000000001</v>
      </c>
      <c r="C135" s="1">
        <v>38.538899999999998</v>
      </c>
      <c r="D135" s="1">
        <v>40.9621</v>
      </c>
      <c r="E135" s="1">
        <v>41.52</v>
      </c>
      <c r="F135" s="1">
        <v>379263</v>
      </c>
      <c r="G135" s="1">
        <v>187.512</v>
      </c>
      <c r="H135" s="1">
        <v>13980700</v>
      </c>
      <c r="I135" s="1">
        <v>2241248</v>
      </c>
      <c r="J135" s="1" t="s">
        <v>128</v>
      </c>
      <c r="K135" s="1" t="s">
        <v>397</v>
      </c>
    </row>
    <row r="136" spans="1:11" x14ac:dyDescent="0.15">
      <c r="A136" s="1" t="s">
        <v>398</v>
      </c>
      <c r="B136" s="1">
        <v>1882.7424000000001</v>
      </c>
      <c r="C136" s="1">
        <v>37.084699999999998</v>
      </c>
      <c r="D136" s="1">
        <v>40.210099999999997</v>
      </c>
      <c r="E136" s="1">
        <v>40.082700000000003</v>
      </c>
      <c r="F136" s="1">
        <v>290220</v>
      </c>
      <c r="G136" s="1">
        <v>161.82300000000001</v>
      </c>
      <c r="H136" s="1">
        <v>11640520</v>
      </c>
      <c r="I136" s="1">
        <v>1638544</v>
      </c>
      <c r="J136" s="1" t="s">
        <v>128</v>
      </c>
      <c r="K136" s="1" t="s">
        <v>399</v>
      </c>
    </row>
    <row r="137" spans="1:11" x14ac:dyDescent="0.15">
      <c r="A137" s="1" t="s">
        <v>400</v>
      </c>
      <c r="B137" s="1">
        <v>18935.887999999999</v>
      </c>
      <c r="C137" s="1">
        <v>37.982999999999997</v>
      </c>
      <c r="D137" s="1">
        <v>46.098199999999999</v>
      </c>
      <c r="E137" s="1">
        <v>43.8994</v>
      </c>
      <c r="F137" s="1">
        <v>1654995</v>
      </c>
      <c r="G137" s="1">
        <v>495.48700000000002</v>
      </c>
      <c r="H137" s="1">
        <v>15259992</v>
      </c>
      <c r="I137" s="1">
        <v>2425348</v>
      </c>
      <c r="J137" s="1" t="s">
        <v>128</v>
      </c>
      <c r="K137" s="1" t="s">
        <v>401</v>
      </c>
    </row>
    <row r="138" spans="1:11" x14ac:dyDescent="0.15">
      <c r="A138" s="1" t="s">
        <v>402</v>
      </c>
      <c r="B138" s="1">
        <v>6879.6944000000003</v>
      </c>
      <c r="C138" s="1">
        <v>37.470399999999998</v>
      </c>
      <c r="D138" s="1">
        <v>45.450499999999998</v>
      </c>
      <c r="E138" s="1">
        <v>43.244100000000003</v>
      </c>
      <c r="F138" s="1">
        <v>993267</v>
      </c>
      <c r="G138" s="1">
        <v>398.37799999999999</v>
      </c>
      <c r="H138" s="1">
        <v>15158060</v>
      </c>
      <c r="I138" s="1">
        <v>2302300</v>
      </c>
      <c r="J138" s="1" t="s">
        <v>128</v>
      </c>
      <c r="K138" s="1" t="s">
        <v>403</v>
      </c>
    </row>
    <row r="139" spans="1:11" x14ac:dyDescent="0.15">
      <c r="A139" s="1" t="s">
        <v>404</v>
      </c>
      <c r="B139" s="1">
        <v>3318.3024</v>
      </c>
      <c r="C139" s="1">
        <v>36.688899999999997</v>
      </c>
      <c r="D139" s="1">
        <v>44.521000000000001</v>
      </c>
      <c r="E139" s="1">
        <v>42.285899999999998</v>
      </c>
      <c r="F139" s="1">
        <v>540722</v>
      </c>
      <c r="G139" s="1">
        <v>289.541</v>
      </c>
      <c r="H139" s="1">
        <v>15149784</v>
      </c>
      <c r="I139" s="1">
        <v>2207300</v>
      </c>
      <c r="J139" s="1" t="s">
        <v>128</v>
      </c>
      <c r="K139" s="1" t="s">
        <v>405</v>
      </c>
    </row>
    <row r="140" spans="1:11" x14ac:dyDescent="0.15">
      <c r="A140" s="1" t="s">
        <v>406</v>
      </c>
      <c r="B140" s="1">
        <v>1736.0944</v>
      </c>
      <c r="C140" s="1">
        <v>35.471600000000002</v>
      </c>
      <c r="D140" s="1">
        <v>43.4542</v>
      </c>
      <c r="E140" s="1">
        <v>41.015700000000002</v>
      </c>
      <c r="F140" s="1">
        <v>270971</v>
      </c>
      <c r="G140" s="1">
        <v>160.74100000000001</v>
      </c>
      <c r="H140" s="1">
        <v>14310672</v>
      </c>
      <c r="I140" s="1">
        <v>1984896</v>
      </c>
      <c r="J140" s="1" t="s">
        <v>128</v>
      </c>
      <c r="K140" s="1" t="s">
        <v>407</v>
      </c>
    </row>
    <row r="141" spans="1:11" x14ac:dyDescent="0.15">
      <c r="A141" s="1" t="s">
        <v>408</v>
      </c>
      <c r="B141" s="1">
        <v>81638.853300000002</v>
      </c>
      <c r="C141" s="1">
        <v>43.904200000000003</v>
      </c>
      <c r="D141" s="1">
        <v>37.519199999999998</v>
      </c>
      <c r="E141" s="1">
        <v>38.685499999999998</v>
      </c>
      <c r="F141" s="1">
        <v>2041818</v>
      </c>
      <c r="G141" s="1">
        <v>580.82899999999995</v>
      </c>
      <c r="H141" s="1">
        <v>15360600</v>
      </c>
      <c r="I141" s="1">
        <v>2479048</v>
      </c>
      <c r="J141" s="1" t="s">
        <v>128</v>
      </c>
      <c r="K141" s="1" t="s">
        <v>409</v>
      </c>
    </row>
    <row r="142" spans="1:11" x14ac:dyDescent="0.15">
      <c r="A142" s="1" t="s">
        <v>410</v>
      </c>
      <c r="B142" s="1">
        <v>31928.328000000001</v>
      </c>
      <c r="C142" s="1">
        <v>40.197299999999998</v>
      </c>
      <c r="D142" s="1">
        <v>34.921799999999998</v>
      </c>
      <c r="E142" s="1">
        <v>36.655299999999997</v>
      </c>
      <c r="F142" s="1">
        <v>1479966</v>
      </c>
      <c r="G142" s="1">
        <v>552.03800000000001</v>
      </c>
      <c r="H142" s="1">
        <v>15320140</v>
      </c>
      <c r="I142" s="1">
        <v>2396844</v>
      </c>
      <c r="J142" s="1" t="s">
        <v>128</v>
      </c>
      <c r="K142" s="1" t="s">
        <v>411</v>
      </c>
    </row>
    <row r="143" spans="1:11" x14ac:dyDescent="0.15">
      <c r="A143" s="1" t="s">
        <v>412</v>
      </c>
      <c r="B143" s="1">
        <v>14260.0173</v>
      </c>
      <c r="C143" s="1">
        <v>36.919600000000003</v>
      </c>
      <c r="D143" s="1">
        <v>33.114699999999999</v>
      </c>
      <c r="E143" s="1">
        <v>35.210999999999999</v>
      </c>
      <c r="F143" s="1">
        <v>1076263</v>
      </c>
      <c r="G143" s="1">
        <v>495.78899999999999</v>
      </c>
      <c r="H143" s="1">
        <v>15291976</v>
      </c>
      <c r="I143" s="1">
        <v>2381728</v>
      </c>
      <c r="J143" s="1" t="s">
        <v>128</v>
      </c>
      <c r="K143" s="1" t="s">
        <v>413</v>
      </c>
    </row>
    <row r="144" spans="1:11" x14ac:dyDescent="0.15">
      <c r="A144" s="1" t="s">
        <v>414</v>
      </c>
      <c r="B144" s="1">
        <v>6281.6639999999998</v>
      </c>
      <c r="C144" s="1">
        <v>33.902500000000003</v>
      </c>
      <c r="D144" s="1">
        <v>31.4345</v>
      </c>
      <c r="E144" s="1">
        <v>33.647399999999998</v>
      </c>
      <c r="F144" s="1">
        <v>707939</v>
      </c>
      <c r="G144" s="1">
        <v>415.517</v>
      </c>
      <c r="H144" s="1">
        <v>15192204</v>
      </c>
      <c r="I144" s="1">
        <v>2343676</v>
      </c>
      <c r="J144" s="1" t="s">
        <v>128</v>
      </c>
      <c r="K144" s="1" t="s">
        <v>415</v>
      </c>
    </row>
    <row r="145" spans="1:11" x14ac:dyDescent="0.15">
      <c r="A145" s="1" t="s">
        <v>416</v>
      </c>
      <c r="B145" s="1">
        <v>10628.9992</v>
      </c>
      <c r="C145" s="1">
        <v>41.161700000000003</v>
      </c>
      <c r="D145" s="1">
        <v>45.141399999999997</v>
      </c>
      <c r="E145" s="1">
        <v>46.1203</v>
      </c>
      <c r="F145" s="1">
        <v>724381</v>
      </c>
      <c r="G145" s="1">
        <v>216.48599999999999</v>
      </c>
      <c r="H145" s="1">
        <v>5642840</v>
      </c>
      <c r="I145" s="1">
        <v>847636</v>
      </c>
      <c r="J145" s="1" t="s">
        <v>128</v>
      </c>
      <c r="K145" s="1" t="s">
        <v>417</v>
      </c>
    </row>
    <row r="146" spans="1:11" x14ac:dyDescent="0.15">
      <c r="A146" s="1" t="s">
        <v>418</v>
      </c>
      <c r="B146" s="1">
        <v>4384.9903999999997</v>
      </c>
      <c r="C146" s="1">
        <v>39.332900000000002</v>
      </c>
      <c r="D146" s="1">
        <v>43.869700000000002</v>
      </c>
      <c r="E146" s="1">
        <v>44.853999999999999</v>
      </c>
      <c r="F146" s="1">
        <v>487851</v>
      </c>
      <c r="G146" s="1">
        <v>190.57300000000001</v>
      </c>
      <c r="H146" s="1">
        <v>5630700</v>
      </c>
      <c r="I146" s="1">
        <v>819860</v>
      </c>
      <c r="J146" s="1" t="s">
        <v>128</v>
      </c>
      <c r="K146" s="1" t="s">
        <v>419</v>
      </c>
    </row>
    <row r="147" spans="1:11" x14ac:dyDescent="0.15">
      <c r="A147" s="1" t="s">
        <v>420</v>
      </c>
      <c r="B147" s="1">
        <v>2008.6376</v>
      </c>
      <c r="C147" s="1">
        <v>37.274999999999999</v>
      </c>
      <c r="D147" s="1">
        <v>42.453299999999999</v>
      </c>
      <c r="E147" s="1">
        <v>43.334200000000003</v>
      </c>
      <c r="F147" s="1">
        <v>295848</v>
      </c>
      <c r="G147" s="1">
        <v>132.52199999999999</v>
      </c>
      <c r="H147" s="1">
        <v>5611752</v>
      </c>
      <c r="I147" s="1">
        <v>777484</v>
      </c>
      <c r="J147" s="1" t="s">
        <v>128</v>
      </c>
      <c r="K147" s="1" t="s">
        <v>421</v>
      </c>
    </row>
    <row r="148" spans="1:11" x14ac:dyDescent="0.15">
      <c r="A148" s="1" t="s">
        <v>422</v>
      </c>
      <c r="B148" s="1">
        <v>931.10400000000004</v>
      </c>
      <c r="C148" s="1">
        <v>35.156700000000001</v>
      </c>
      <c r="D148" s="1">
        <v>41.076799999999999</v>
      </c>
      <c r="E148" s="1">
        <v>41.909399999999998</v>
      </c>
      <c r="F148" s="1">
        <v>181763</v>
      </c>
      <c r="G148" s="1">
        <v>98.147000000000006</v>
      </c>
      <c r="H148" s="1">
        <v>5606080</v>
      </c>
      <c r="I148" s="1">
        <v>784400</v>
      </c>
      <c r="J148" s="1" t="s">
        <v>128</v>
      </c>
      <c r="K148" s="1" t="s">
        <v>423</v>
      </c>
    </row>
    <row r="149" spans="1:11" x14ac:dyDescent="0.15">
      <c r="A149" s="1" t="s">
        <v>424</v>
      </c>
      <c r="B149" s="1">
        <v>7811.8296</v>
      </c>
      <c r="C149" s="1">
        <v>45.228499999999997</v>
      </c>
      <c r="D149" s="1">
        <v>48.712699999999998</v>
      </c>
      <c r="E149" s="1">
        <v>49.3827</v>
      </c>
      <c r="F149" s="1">
        <v>768126</v>
      </c>
      <c r="G149" s="1">
        <v>220.14699999999999</v>
      </c>
      <c r="H149" s="1">
        <v>5634800</v>
      </c>
      <c r="I149" s="1">
        <v>843292</v>
      </c>
      <c r="J149" s="1" t="s">
        <v>128</v>
      </c>
      <c r="K149" s="1" t="s">
        <v>425</v>
      </c>
    </row>
    <row r="150" spans="1:11" x14ac:dyDescent="0.15">
      <c r="A150" s="1" t="s">
        <v>426</v>
      </c>
      <c r="B150" s="1">
        <v>4001.3191999999999</v>
      </c>
      <c r="C150" s="1">
        <v>42.294499999999999</v>
      </c>
      <c r="D150" s="1">
        <v>46.527700000000003</v>
      </c>
      <c r="E150" s="1">
        <v>46.785800000000002</v>
      </c>
      <c r="F150" s="1">
        <v>575435</v>
      </c>
      <c r="G150" s="1">
        <v>174.27600000000001</v>
      </c>
      <c r="H150" s="1">
        <v>5618912</v>
      </c>
      <c r="I150" s="1">
        <v>820648</v>
      </c>
      <c r="J150" s="1" t="s">
        <v>128</v>
      </c>
      <c r="K150" s="1" t="s">
        <v>427</v>
      </c>
    </row>
    <row r="151" spans="1:11" x14ac:dyDescent="0.15">
      <c r="A151" s="1" t="s">
        <v>428</v>
      </c>
      <c r="B151" s="1">
        <v>2144.6288</v>
      </c>
      <c r="C151" s="1">
        <v>39.231400000000001</v>
      </c>
      <c r="D151" s="1">
        <v>44.662599999999998</v>
      </c>
      <c r="E151" s="1">
        <v>44.641399999999997</v>
      </c>
      <c r="F151" s="1">
        <v>437147</v>
      </c>
      <c r="G151" s="1">
        <v>138.18</v>
      </c>
      <c r="H151" s="1">
        <v>5608628</v>
      </c>
      <c r="I151" s="1">
        <v>764068</v>
      </c>
      <c r="J151" s="1" t="s">
        <v>128</v>
      </c>
      <c r="K151" s="1" t="s">
        <v>429</v>
      </c>
    </row>
    <row r="152" spans="1:11" x14ac:dyDescent="0.15">
      <c r="A152" s="1" t="s">
        <v>430</v>
      </c>
      <c r="B152" s="1">
        <v>1151.68</v>
      </c>
      <c r="C152" s="1">
        <v>36.366399999999999</v>
      </c>
      <c r="D152" s="1">
        <v>42.885199999999998</v>
      </c>
      <c r="E152" s="1">
        <v>42.7318</v>
      </c>
      <c r="F152" s="1">
        <v>265276</v>
      </c>
      <c r="G152" s="1">
        <v>95.061999999999998</v>
      </c>
      <c r="H152" s="1">
        <v>5468932</v>
      </c>
      <c r="I152" s="1">
        <v>750584</v>
      </c>
      <c r="J152" s="1" t="s">
        <v>128</v>
      </c>
      <c r="K152" s="1" t="s">
        <v>431</v>
      </c>
    </row>
    <row r="153" spans="1:11" x14ac:dyDescent="0.15">
      <c r="A153" s="1" t="s">
        <v>432</v>
      </c>
      <c r="B153" s="1">
        <v>7804.1360000000004</v>
      </c>
      <c r="C153" s="1">
        <v>38.714199999999998</v>
      </c>
      <c r="D153" s="1">
        <v>40.3825</v>
      </c>
      <c r="E153" s="1">
        <v>44.733600000000003</v>
      </c>
      <c r="F153" s="1">
        <v>585505</v>
      </c>
      <c r="G153" s="1">
        <v>156.58799999999999</v>
      </c>
      <c r="H153" s="1">
        <v>5644844</v>
      </c>
      <c r="I153" s="1">
        <v>826408</v>
      </c>
      <c r="J153" s="1" t="s">
        <v>128</v>
      </c>
      <c r="K153" s="1" t="s">
        <v>433</v>
      </c>
    </row>
    <row r="154" spans="1:11" x14ac:dyDescent="0.15">
      <c r="A154" s="1" t="s">
        <v>434</v>
      </c>
      <c r="B154" s="1">
        <v>3073.8303999999998</v>
      </c>
      <c r="C154" s="1">
        <v>37.506799999999998</v>
      </c>
      <c r="D154" s="1">
        <v>39.840499999999999</v>
      </c>
      <c r="E154" s="1">
        <v>43.220799999999997</v>
      </c>
      <c r="F154" s="1">
        <v>441692</v>
      </c>
      <c r="G154" s="1">
        <v>128.023</v>
      </c>
      <c r="H154" s="1">
        <v>5624208</v>
      </c>
      <c r="I154" s="1">
        <v>803052</v>
      </c>
      <c r="J154" s="1" t="s">
        <v>128</v>
      </c>
      <c r="K154" s="1" t="s">
        <v>435</v>
      </c>
    </row>
    <row r="155" spans="1:11" x14ac:dyDescent="0.15">
      <c r="A155" s="1" t="s">
        <v>436</v>
      </c>
      <c r="B155" s="1">
        <v>1492.3096</v>
      </c>
      <c r="C155" s="1">
        <v>35.918500000000002</v>
      </c>
      <c r="D155" s="1">
        <v>39.15</v>
      </c>
      <c r="E155" s="1">
        <v>41.572200000000002</v>
      </c>
      <c r="F155" s="1">
        <v>325110</v>
      </c>
      <c r="G155" s="1">
        <v>105.16200000000001</v>
      </c>
      <c r="H155" s="1">
        <v>5611304</v>
      </c>
      <c r="I155" s="1">
        <v>764704</v>
      </c>
      <c r="J155" s="1" t="s">
        <v>128</v>
      </c>
      <c r="K155" s="1" t="s">
        <v>437</v>
      </c>
    </row>
    <row r="156" spans="1:11" x14ac:dyDescent="0.15">
      <c r="A156" s="1" t="s">
        <v>438</v>
      </c>
      <c r="B156" s="1">
        <v>748.86159999999995</v>
      </c>
      <c r="C156" s="1">
        <v>33.962499999999999</v>
      </c>
      <c r="D156" s="1">
        <v>38.2072</v>
      </c>
      <c r="E156" s="1">
        <v>39.837000000000003</v>
      </c>
      <c r="F156" s="1">
        <v>234150</v>
      </c>
      <c r="G156" s="1">
        <v>101.569</v>
      </c>
      <c r="H156" s="1">
        <v>5601492</v>
      </c>
      <c r="I156" s="1">
        <v>731724</v>
      </c>
      <c r="J156" s="1" t="s">
        <v>128</v>
      </c>
      <c r="K156" s="1" t="s">
        <v>439</v>
      </c>
    </row>
    <row r="157" spans="1:11" x14ac:dyDescent="0.15">
      <c r="A157" s="1" t="s">
        <v>440</v>
      </c>
      <c r="B157" s="1">
        <v>9552.6576000000005</v>
      </c>
      <c r="C157" s="1">
        <v>39.426099999999998</v>
      </c>
      <c r="D157" s="1">
        <v>44.540199999999999</v>
      </c>
      <c r="E157" s="1">
        <v>46.19</v>
      </c>
      <c r="F157" s="1">
        <v>894749</v>
      </c>
      <c r="G157" s="1">
        <v>216.26</v>
      </c>
      <c r="H157" s="1">
        <v>5645388</v>
      </c>
      <c r="I157" s="1">
        <v>825340</v>
      </c>
      <c r="J157" s="1" t="s">
        <v>128</v>
      </c>
      <c r="K157" s="1" t="s">
        <v>441</v>
      </c>
    </row>
    <row r="158" spans="1:11" x14ac:dyDescent="0.15">
      <c r="A158" s="1" t="s">
        <v>442</v>
      </c>
      <c r="B158" s="1">
        <v>3815.7152000000001</v>
      </c>
      <c r="C158" s="1">
        <v>38.1845</v>
      </c>
      <c r="D158" s="1">
        <v>43.446300000000001</v>
      </c>
      <c r="E158" s="1">
        <v>44.245100000000001</v>
      </c>
      <c r="F158" s="1">
        <v>463880</v>
      </c>
      <c r="G158" s="1">
        <v>134.126</v>
      </c>
      <c r="H158" s="1">
        <v>5624256</v>
      </c>
      <c r="I158" s="1">
        <v>784088</v>
      </c>
      <c r="J158" s="1" t="s">
        <v>128</v>
      </c>
      <c r="K158" s="1" t="s">
        <v>443</v>
      </c>
    </row>
    <row r="159" spans="1:11" x14ac:dyDescent="0.15">
      <c r="A159" s="1" t="s">
        <v>444</v>
      </c>
      <c r="B159" s="1">
        <v>1849.4223999999999</v>
      </c>
      <c r="C159" s="1">
        <v>36.652299999999997</v>
      </c>
      <c r="D159" s="1">
        <v>42.3123</v>
      </c>
      <c r="E159" s="1">
        <v>42.515599999999999</v>
      </c>
      <c r="F159" s="1">
        <v>321538</v>
      </c>
      <c r="G159" s="1">
        <v>105.32599999999999</v>
      </c>
      <c r="H159" s="1">
        <v>5607412</v>
      </c>
      <c r="I159" s="1">
        <v>776768</v>
      </c>
      <c r="J159" s="1" t="s">
        <v>128</v>
      </c>
      <c r="K159" s="1" t="s">
        <v>445</v>
      </c>
    </row>
    <row r="160" spans="1:11" x14ac:dyDescent="0.15">
      <c r="A160" s="1" t="s">
        <v>446</v>
      </c>
      <c r="B160" s="1">
        <v>933.79039999999998</v>
      </c>
      <c r="C160" s="1">
        <v>34.793900000000001</v>
      </c>
      <c r="D160" s="1">
        <v>41.068899999999999</v>
      </c>
      <c r="E160" s="1">
        <v>40.573900000000002</v>
      </c>
      <c r="F160" s="1">
        <v>217546</v>
      </c>
      <c r="G160" s="1">
        <v>99.995999999999995</v>
      </c>
      <c r="H160" s="1">
        <v>5596748</v>
      </c>
      <c r="I160" s="1">
        <v>759872</v>
      </c>
      <c r="J160" s="1" t="s">
        <v>447</v>
      </c>
      <c r="K160" s="1" t="s">
        <v>448</v>
      </c>
    </row>
    <row r="161" spans="1:11" x14ac:dyDescent="0.15">
      <c r="A161" s="1" t="s">
        <v>449</v>
      </c>
      <c r="B161" s="1">
        <v>19482.885600000001</v>
      </c>
      <c r="C161" s="1">
        <v>37.198599999999999</v>
      </c>
      <c r="D161" s="1">
        <v>43.186199999999999</v>
      </c>
      <c r="E161" s="1">
        <v>45.477899999999998</v>
      </c>
      <c r="F161" s="1">
        <v>698488</v>
      </c>
      <c r="G161" s="1">
        <v>160.52000000000001</v>
      </c>
      <c r="H161" s="1">
        <v>5659604</v>
      </c>
      <c r="I161" s="1">
        <v>798700</v>
      </c>
      <c r="J161" s="1" t="s">
        <v>128</v>
      </c>
      <c r="K161" s="1" t="s">
        <v>450</v>
      </c>
    </row>
    <row r="162" spans="1:11" x14ac:dyDescent="0.15">
      <c r="A162" s="1" t="s">
        <v>451</v>
      </c>
      <c r="B162" s="1">
        <v>3312.4512</v>
      </c>
      <c r="C162" s="1">
        <v>35.819099999999999</v>
      </c>
      <c r="D162" s="1">
        <v>42.457599999999999</v>
      </c>
      <c r="E162" s="1">
        <v>44.811700000000002</v>
      </c>
      <c r="F162" s="1">
        <v>300164</v>
      </c>
      <c r="G162" s="1">
        <v>118.499</v>
      </c>
      <c r="H162" s="1">
        <v>5636168</v>
      </c>
      <c r="I162" s="1">
        <v>771056</v>
      </c>
      <c r="J162" s="1" t="s">
        <v>128</v>
      </c>
      <c r="K162" s="1" t="s">
        <v>452</v>
      </c>
    </row>
    <row r="163" spans="1:11" x14ac:dyDescent="0.15">
      <c r="A163" s="1" t="s">
        <v>453</v>
      </c>
      <c r="B163" s="1">
        <v>1381.6424</v>
      </c>
      <c r="C163" s="1">
        <v>34.780099999999997</v>
      </c>
      <c r="D163" s="1">
        <v>41.428400000000003</v>
      </c>
      <c r="E163" s="1">
        <v>43.867800000000003</v>
      </c>
      <c r="F163" s="1">
        <v>152345</v>
      </c>
      <c r="G163" s="1">
        <v>112.871</v>
      </c>
      <c r="H163" s="1">
        <v>5621552</v>
      </c>
      <c r="I163" s="1">
        <v>760220</v>
      </c>
      <c r="J163" s="1" t="s">
        <v>128</v>
      </c>
      <c r="K163" s="1" t="s">
        <v>454</v>
      </c>
    </row>
    <row r="164" spans="1:11" x14ac:dyDescent="0.15">
      <c r="A164" s="1" t="s">
        <v>455</v>
      </c>
      <c r="B164" s="1">
        <v>656.34320000000002</v>
      </c>
      <c r="C164" s="1">
        <v>33.381100000000004</v>
      </c>
      <c r="D164" s="1">
        <v>40.196899999999999</v>
      </c>
      <c r="E164" s="1">
        <v>42.698599999999999</v>
      </c>
      <c r="F164" s="1">
        <v>88352</v>
      </c>
      <c r="G164" s="1">
        <v>92.111000000000004</v>
      </c>
      <c r="H164" s="1">
        <v>5609024</v>
      </c>
      <c r="I164" s="1">
        <v>745216</v>
      </c>
      <c r="J164" s="1" t="s">
        <v>128</v>
      </c>
      <c r="K164" s="1" t="s">
        <v>456</v>
      </c>
    </row>
    <row r="165" spans="1:11" x14ac:dyDescent="0.15">
      <c r="A165" s="1" t="s">
        <v>457</v>
      </c>
      <c r="B165" s="1">
        <v>2241.6183999999998</v>
      </c>
      <c r="C165" s="1">
        <v>42.251899999999999</v>
      </c>
      <c r="D165" s="1">
        <v>44.558599999999998</v>
      </c>
      <c r="E165" s="1">
        <v>45.538499999999999</v>
      </c>
      <c r="F165" s="1">
        <v>65654</v>
      </c>
      <c r="G165" s="1">
        <v>32.658000000000001</v>
      </c>
      <c r="H165" s="1">
        <v>2055340</v>
      </c>
      <c r="I165" s="1">
        <v>431164</v>
      </c>
      <c r="J165" s="1" t="s">
        <v>128</v>
      </c>
      <c r="K165" s="1" t="s">
        <v>458</v>
      </c>
    </row>
    <row r="166" spans="1:11" x14ac:dyDescent="0.15">
      <c r="A166" s="1" t="s">
        <v>459</v>
      </c>
      <c r="B166" s="1">
        <v>1074.5136</v>
      </c>
      <c r="C166" s="1">
        <v>39.3384</v>
      </c>
      <c r="D166" s="1">
        <v>42.332999999999998</v>
      </c>
      <c r="E166" s="1">
        <v>42.789700000000003</v>
      </c>
      <c r="F166" s="1">
        <v>48538</v>
      </c>
      <c r="G166" s="1">
        <v>27.539000000000001</v>
      </c>
      <c r="H166" s="1">
        <v>2047648</v>
      </c>
      <c r="I166" s="1">
        <v>422220</v>
      </c>
      <c r="J166" s="1" t="s">
        <v>128</v>
      </c>
      <c r="K166" s="1" t="s">
        <v>460</v>
      </c>
    </row>
    <row r="167" spans="1:11" x14ac:dyDescent="0.15">
      <c r="A167" s="1" t="s">
        <v>461</v>
      </c>
      <c r="B167" s="1">
        <v>542.20479999999998</v>
      </c>
      <c r="C167" s="1">
        <v>36.453099999999999</v>
      </c>
      <c r="D167" s="1">
        <v>40.407299999999999</v>
      </c>
      <c r="E167" s="1">
        <v>40.6432</v>
      </c>
      <c r="F167" s="1">
        <v>36068</v>
      </c>
      <c r="G167" s="1">
        <v>22.2</v>
      </c>
      <c r="H167" s="1">
        <v>2041316</v>
      </c>
      <c r="I167" s="1">
        <v>416832</v>
      </c>
      <c r="J167" s="1" t="s">
        <v>128</v>
      </c>
      <c r="K167" s="1" t="s">
        <v>462</v>
      </c>
    </row>
    <row r="168" spans="1:11" x14ac:dyDescent="0.15">
      <c r="A168" s="1" t="s">
        <v>463</v>
      </c>
      <c r="B168" s="1">
        <v>277.97280000000001</v>
      </c>
      <c r="C168" s="1">
        <v>33.737699999999997</v>
      </c>
      <c r="D168" s="1">
        <v>38.419699999999999</v>
      </c>
      <c r="E168" s="1">
        <v>38.410800000000002</v>
      </c>
      <c r="F168" s="1">
        <v>25664</v>
      </c>
      <c r="G168" s="1">
        <v>19.164999999999999</v>
      </c>
      <c r="H168" s="1">
        <v>2035988</v>
      </c>
      <c r="I168" s="1">
        <v>412824</v>
      </c>
      <c r="J168" s="1" t="s">
        <v>128</v>
      </c>
      <c r="K168" s="1" t="s">
        <v>464</v>
      </c>
    </row>
    <row r="169" spans="1:11" x14ac:dyDescent="0.15">
      <c r="A169" s="1" t="s">
        <v>465</v>
      </c>
      <c r="B169" s="1">
        <v>2345.3463999999999</v>
      </c>
      <c r="C169" s="1">
        <v>40.996499999999997</v>
      </c>
      <c r="D169" s="1">
        <v>44.885300000000001</v>
      </c>
      <c r="E169" s="1">
        <v>46.760100000000001</v>
      </c>
      <c r="F169" s="1">
        <v>66407</v>
      </c>
      <c r="G169" s="1">
        <v>41.636000000000003</v>
      </c>
      <c r="H169" s="1">
        <v>2051224</v>
      </c>
      <c r="I169" s="1">
        <v>425252</v>
      </c>
      <c r="J169" s="1" t="s">
        <v>128</v>
      </c>
      <c r="K169" s="1" t="s">
        <v>466</v>
      </c>
    </row>
    <row r="170" spans="1:11" x14ac:dyDescent="0.15">
      <c r="A170" s="1" t="s">
        <v>467</v>
      </c>
      <c r="B170" s="1">
        <v>1125.0791999999999</v>
      </c>
      <c r="C170" s="1">
        <v>38.829500000000003</v>
      </c>
      <c r="D170" s="1">
        <v>43.282899999999998</v>
      </c>
      <c r="E170" s="1">
        <v>44.638300000000001</v>
      </c>
      <c r="F170" s="1">
        <v>48500</v>
      </c>
      <c r="G170" s="1">
        <v>34.210999999999999</v>
      </c>
      <c r="H170" s="1">
        <v>2046800</v>
      </c>
      <c r="I170" s="1">
        <v>422488</v>
      </c>
      <c r="J170" s="1" t="s">
        <v>128</v>
      </c>
      <c r="K170" s="1" t="s">
        <v>468</v>
      </c>
    </row>
    <row r="171" spans="1:11" x14ac:dyDescent="0.15">
      <c r="A171" s="1" t="s">
        <v>469</v>
      </c>
      <c r="B171" s="1">
        <v>576.44320000000005</v>
      </c>
      <c r="C171" s="1">
        <v>36.368000000000002</v>
      </c>
      <c r="D171" s="1">
        <v>41.387</v>
      </c>
      <c r="E171" s="1">
        <v>42.384700000000002</v>
      </c>
      <c r="F171" s="1">
        <v>34962</v>
      </c>
      <c r="G171" s="1">
        <v>25.686</v>
      </c>
      <c r="H171" s="1">
        <v>2042472</v>
      </c>
      <c r="I171" s="1">
        <v>419516</v>
      </c>
      <c r="J171" s="1" t="s">
        <v>128</v>
      </c>
      <c r="K171" s="1" t="s">
        <v>470</v>
      </c>
    </row>
    <row r="172" spans="1:11" x14ac:dyDescent="0.15">
      <c r="A172" s="1" t="s">
        <v>471</v>
      </c>
      <c r="B172" s="1">
        <v>306.31360000000001</v>
      </c>
      <c r="C172" s="1">
        <v>33.793700000000001</v>
      </c>
      <c r="D172" s="1">
        <v>39.6462</v>
      </c>
      <c r="E172" s="1">
        <v>40.392499999999998</v>
      </c>
      <c r="F172" s="1">
        <v>24284</v>
      </c>
      <c r="G172" s="1">
        <v>21.219000000000001</v>
      </c>
      <c r="H172" s="1">
        <v>2038944</v>
      </c>
      <c r="I172" s="1">
        <v>412764</v>
      </c>
      <c r="J172" s="1" t="s">
        <v>128</v>
      </c>
      <c r="K172" s="1" t="s">
        <v>472</v>
      </c>
    </row>
    <row r="173" spans="1:11" x14ac:dyDescent="0.15">
      <c r="A173" s="1" t="s">
        <v>473</v>
      </c>
      <c r="B173" s="1">
        <v>4367.6696000000002</v>
      </c>
      <c r="C173" s="1">
        <v>39.473500000000001</v>
      </c>
      <c r="D173" s="1">
        <v>43.096499999999999</v>
      </c>
      <c r="E173" s="1">
        <v>44.411200000000001</v>
      </c>
      <c r="F173" s="1">
        <v>78681</v>
      </c>
      <c r="G173" s="1">
        <v>46.174999999999997</v>
      </c>
      <c r="H173" s="1">
        <v>2064196</v>
      </c>
      <c r="I173" s="1">
        <v>453144</v>
      </c>
      <c r="J173" s="1" t="s">
        <v>128</v>
      </c>
      <c r="K173" s="1" t="s">
        <v>474</v>
      </c>
    </row>
    <row r="174" spans="1:11" x14ac:dyDescent="0.15">
      <c r="A174" s="1" t="s">
        <v>475</v>
      </c>
      <c r="B174" s="1">
        <v>2040.6168</v>
      </c>
      <c r="C174" s="1">
        <v>36.385300000000001</v>
      </c>
      <c r="D174" s="1">
        <v>40.603400000000001</v>
      </c>
      <c r="E174" s="1">
        <v>41.684199999999997</v>
      </c>
      <c r="F174" s="1">
        <v>56840</v>
      </c>
      <c r="G174" s="1">
        <v>39.792999999999999</v>
      </c>
      <c r="H174" s="1">
        <v>2059484</v>
      </c>
      <c r="I174" s="1">
        <v>432732</v>
      </c>
      <c r="J174" s="1" t="s">
        <v>128</v>
      </c>
      <c r="K174" s="1" t="s">
        <v>476</v>
      </c>
    </row>
    <row r="175" spans="1:11" x14ac:dyDescent="0.15">
      <c r="A175" s="1" t="s">
        <v>477</v>
      </c>
      <c r="B175" s="1">
        <v>997.38080000000002</v>
      </c>
      <c r="C175" s="1">
        <v>33.382300000000001</v>
      </c>
      <c r="D175" s="1">
        <v>38.454900000000002</v>
      </c>
      <c r="E175" s="1">
        <v>39.292200000000001</v>
      </c>
      <c r="F175" s="1">
        <v>42041</v>
      </c>
      <c r="G175" s="1">
        <v>33.838000000000001</v>
      </c>
      <c r="H175" s="1">
        <v>2054664</v>
      </c>
      <c r="I175" s="1">
        <v>428592</v>
      </c>
      <c r="J175" s="1" t="s">
        <v>128</v>
      </c>
      <c r="K175" s="1" t="s">
        <v>478</v>
      </c>
    </row>
    <row r="176" spans="1:11" x14ac:dyDescent="0.15">
      <c r="A176" s="1" t="s">
        <v>479</v>
      </c>
      <c r="B176" s="1">
        <v>483.70960000000002</v>
      </c>
      <c r="C176" s="1">
        <v>30.569099999999999</v>
      </c>
      <c r="D176" s="1">
        <v>36.606299999999997</v>
      </c>
      <c r="E176" s="1">
        <v>37.249899999999997</v>
      </c>
      <c r="F176" s="1">
        <v>29479</v>
      </c>
      <c r="G176" s="1">
        <v>28.349</v>
      </c>
      <c r="H176" s="1">
        <v>2048356</v>
      </c>
      <c r="I176" s="1">
        <v>423664</v>
      </c>
      <c r="J176" s="1" t="s">
        <v>128</v>
      </c>
      <c r="K176" s="1" t="s">
        <v>480</v>
      </c>
    </row>
    <row r="177" spans="1:11" x14ac:dyDescent="0.15">
      <c r="A177" s="1" t="s">
        <v>481</v>
      </c>
      <c r="B177" s="1">
        <v>3308.1487999999999</v>
      </c>
      <c r="C177" s="1">
        <v>39.457099999999997</v>
      </c>
      <c r="D177" s="1">
        <v>41.845500000000001</v>
      </c>
      <c r="E177" s="1">
        <v>43.490499999999997</v>
      </c>
      <c r="F177" s="1">
        <v>72891</v>
      </c>
      <c r="G177" s="1">
        <v>30.869</v>
      </c>
      <c r="H177" s="1">
        <v>2048140</v>
      </c>
      <c r="I177" s="1">
        <v>424428</v>
      </c>
      <c r="J177" s="1" t="s">
        <v>128</v>
      </c>
      <c r="K177" s="1" t="s">
        <v>482</v>
      </c>
    </row>
    <row r="178" spans="1:11" x14ac:dyDescent="0.15">
      <c r="A178" s="1" t="s">
        <v>483</v>
      </c>
      <c r="B178" s="1">
        <v>1361.7976000000001</v>
      </c>
      <c r="C178" s="1">
        <v>36.661299999999997</v>
      </c>
      <c r="D178" s="1">
        <v>39.558700000000002</v>
      </c>
      <c r="E178" s="1">
        <v>41.3142</v>
      </c>
      <c r="F178" s="1">
        <v>50215</v>
      </c>
      <c r="G178" s="1">
        <v>25.433</v>
      </c>
      <c r="H178" s="1">
        <v>2043292</v>
      </c>
      <c r="I178" s="1">
        <v>417792</v>
      </c>
      <c r="J178" s="1" t="s">
        <v>128</v>
      </c>
      <c r="K178" s="1" t="s">
        <v>484</v>
      </c>
    </row>
    <row r="179" spans="1:11" x14ac:dyDescent="0.15">
      <c r="A179" s="1" t="s">
        <v>485</v>
      </c>
      <c r="B179" s="1">
        <v>636.60879999999997</v>
      </c>
      <c r="C179" s="1">
        <v>33.986499999999999</v>
      </c>
      <c r="D179" s="1">
        <v>37.540700000000001</v>
      </c>
      <c r="E179" s="1">
        <v>39.614100000000001</v>
      </c>
      <c r="F179" s="1">
        <v>35232</v>
      </c>
      <c r="G179" s="1">
        <v>20.181999999999999</v>
      </c>
      <c r="H179" s="1">
        <v>2041248</v>
      </c>
      <c r="I179" s="1">
        <v>415540</v>
      </c>
      <c r="J179" s="1" t="s">
        <v>128</v>
      </c>
      <c r="K179" s="1" t="s">
        <v>486</v>
      </c>
    </row>
    <row r="180" spans="1:11" x14ac:dyDescent="0.15">
      <c r="A180" s="1" t="s">
        <v>487</v>
      </c>
      <c r="B180" s="1">
        <v>307.47359999999998</v>
      </c>
      <c r="C180" s="1">
        <v>31.2867</v>
      </c>
      <c r="D180" s="1">
        <v>35.965400000000002</v>
      </c>
      <c r="E180" s="1">
        <v>37.908799999999999</v>
      </c>
      <c r="F180" s="1">
        <v>22894</v>
      </c>
      <c r="G180" s="1">
        <v>16.457999999999998</v>
      </c>
      <c r="H180" s="1">
        <v>2037888</v>
      </c>
      <c r="I180" s="1">
        <v>414968</v>
      </c>
      <c r="J180" s="1" t="s">
        <v>128</v>
      </c>
      <c r="K180" s="1" t="s">
        <v>488</v>
      </c>
    </row>
    <row r="181" spans="1:11" x14ac:dyDescent="0.15">
      <c r="A181" s="1" t="s">
        <v>489</v>
      </c>
      <c r="B181" s="1">
        <v>1062.8807999999999</v>
      </c>
      <c r="C181" s="1">
        <v>41.875100000000003</v>
      </c>
      <c r="D181" s="1">
        <v>45.131999999999998</v>
      </c>
      <c r="E181" s="1">
        <v>44.055399999999999</v>
      </c>
      <c r="F181" s="1">
        <v>29126</v>
      </c>
      <c r="G181" s="1">
        <v>14.337999999999999</v>
      </c>
      <c r="H181" s="1">
        <v>1335304</v>
      </c>
      <c r="I181" s="1">
        <v>337360</v>
      </c>
      <c r="J181" s="1" t="s">
        <v>128</v>
      </c>
      <c r="K181" s="1" t="s">
        <v>490</v>
      </c>
    </row>
    <row r="182" spans="1:11" x14ac:dyDescent="0.15">
      <c r="A182" s="1" t="s">
        <v>491</v>
      </c>
      <c r="B182" s="1">
        <v>508.07839999999999</v>
      </c>
      <c r="C182" s="1">
        <v>37.987499999999997</v>
      </c>
      <c r="D182" s="1">
        <v>42.441800000000001</v>
      </c>
      <c r="E182" s="1">
        <v>40.865400000000001</v>
      </c>
      <c r="F182" s="1">
        <v>22729</v>
      </c>
      <c r="G182" s="1">
        <v>12.236000000000001</v>
      </c>
      <c r="H182" s="1">
        <v>1334132</v>
      </c>
      <c r="I182" s="1">
        <v>336376</v>
      </c>
      <c r="J182" s="1" t="s">
        <v>128</v>
      </c>
      <c r="K182" s="1" t="s">
        <v>492</v>
      </c>
    </row>
    <row r="183" spans="1:11" x14ac:dyDescent="0.15">
      <c r="A183" s="1" t="s">
        <v>493</v>
      </c>
      <c r="B183" s="1">
        <v>253.10159999999999</v>
      </c>
      <c r="C183" s="1">
        <v>34.685600000000001</v>
      </c>
      <c r="D183" s="1">
        <v>40.221499999999999</v>
      </c>
      <c r="E183" s="1">
        <v>38.551299999999998</v>
      </c>
      <c r="F183" s="1">
        <v>17051</v>
      </c>
      <c r="G183" s="1">
        <v>10.012</v>
      </c>
      <c r="H183" s="1">
        <v>1332900</v>
      </c>
      <c r="I183" s="1">
        <v>335180</v>
      </c>
      <c r="J183" s="1" t="s">
        <v>128</v>
      </c>
      <c r="K183" s="1" t="s">
        <v>494</v>
      </c>
    </row>
    <row r="184" spans="1:11" x14ac:dyDescent="0.15">
      <c r="A184" s="1" t="s">
        <v>495</v>
      </c>
      <c r="B184" s="1">
        <v>129.40479999999999</v>
      </c>
      <c r="C184" s="1">
        <v>31.8004</v>
      </c>
      <c r="D184" s="1">
        <v>38.2699</v>
      </c>
      <c r="E184" s="1">
        <v>36.3386</v>
      </c>
      <c r="F184" s="1">
        <v>11909</v>
      </c>
      <c r="G184" s="1">
        <v>8.4909999999999997</v>
      </c>
      <c r="H184" s="1">
        <v>1332308</v>
      </c>
      <c r="I184" s="1">
        <v>333924</v>
      </c>
      <c r="J184" s="1" t="s">
        <v>128</v>
      </c>
      <c r="K184" s="1" t="s">
        <v>496</v>
      </c>
    </row>
    <row r="185" spans="1:11" x14ac:dyDescent="0.15">
      <c r="A185" s="1" t="s">
        <v>497</v>
      </c>
      <c r="B185" s="1">
        <v>977.2328</v>
      </c>
      <c r="C185" s="1">
        <v>39.246099999999998</v>
      </c>
      <c r="D185" s="1">
        <v>45.358699999999999</v>
      </c>
      <c r="E185" s="1">
        <v>46.879199999999997</v>
      </c>
      <c r="F185" s="1">
        <v>27054</v>
      </c>
      <c r="G185" s="1">
        <v>15.706</v>
      </c>
      <c r="H185" s="1">
        <v>1335376</v>
      </c>
      <c r="I185" s="1">
        <v>338464</v>
      </c>
      <c r="J185" s="1" t="s">
        <v>128</v>
      </c>
      <c r="K185" s="1" t="s">
        <v>498</v>
      </c>
    </row>
    <row r="186" spans="1:11" x14ac:dyDescent="0.15">
      <c r="A186" s="1" t="s">
        <v>499</v>
      </c>
      <c r="B186" s="1">
        <v>389.13920000000002</v>
      </c>
      <c r="C186" s="1">
        <v>36.440300000000001</v>
      </c>
      <c r="D186" s="1">
        <v>43.489600000000003</v>
      </c>
      <c r="E186" s="1">
        <v>44.831800000000001</v>
      </c>
      <c r="F186" s="1">
        <v>13863</v>
      </c>
      <c r="G186" s="1">
        <v>12.904999999999999</v>
      </c>
      <c r="H186" s="1">
        <v>1334440</v>
      </c>
      <c r="I186" s="1">
        <v>336852</v>
      </c>
      <c r="J186" s="1" t="s">
        <v>128</v>
      </c>
      <c r="K186" s="1" t="s">
        <v>500</v>
      </c>
    </row>
    <row r="187" spans="1:11" x14ac:dyDescent="0.15">
      <c r="A187" s="1" t="s">
        <v>501</v>
      </c>
      <c r="B187" s="1">
        <v>188.00479999999999</v>
      </c>
      <c r="C187" s="1">
        <v>33.827800000000003</v>
      </c>
      <c r="D187" s="1">
        <v>41.336300000000001</v>
      </c>
      <c r="E187" s="1">
        <v>42.610100000000003</v>
      </c>
      <c r="F187" s="1">
        <v>8282</v>
      </c>
      <c r="G187" s="1">
        <v>11.417999999999999</v>
      </c>
      <c r="H187" s="1">
        <v>1332960</v>
      </c>
      <c r="I187" s="1">
        <v>336464</v>
      </c>
      <c r="J187" s="1" t="s">
        <v>128</v>
      </c>
      <c r="K187" s="1" t="s">
        <v>502</v>
      </c>
    </row>
    <row r="188" spans="1:11" x14ac:dyDescent="0.15">
      <c r="A188" s="1" t="s">
        <v>503</v>
      </c>
      <c r="B188" s="1">
        <v>101.7992</v>
      </c>
      <c r="C188" s="1">
        <v>31.3658</v>
      </c>
      <c r="D188" s="1">
        <v>39.237099999999998</v>
      </c>
      <c r="E188" s="1">
        <v>40.356299999999997</v>
      </c>
      <c r="F188" s="1">
        <v>5926</v>
      </c>
      <c r="G188" s="1">
        <v>10.319000000000001</v>
      </c>
      <c r="H188" s="1">
        <v>1331504</v>
      </c>
      <c r="I188" s="1">
        <v>334448</v>
      </c>
      <c r="J188" s="1" t="s">
        <v>128</v>
      </c>
      <c r="K188" s="1" t="s">
        <v>504</v>
      </c>
    </row>
    <row r="189" spans="1:11" x14ac:dyDescent="0.15">
      <c r="A189" s="1" t="s">
        <v>505</v>
      </c>
      <c r="B189" s="1">
        <v>1085.3032000000001</v>
      </c>
      <c r="C189" s="1">
        <v>39.163400000000003</v>
      </c>
      <c r="D189" s="1">
        <v>42.724699999999999</v>
      </c>
      <c r="E189" s="1">
        <v>44.156300000000002</v>
      </c>
      <c r="F189" s="1">
        <v>24193</v>
      </c>
      <c r="G189" s="1">
        <v>14.231</v>
      </c>
      <c r="H189" s="1">
        <v>1337276</v>
      </c>
      <c r="I189" s="1">
        <v>338800</v>
      </c>
      <c r="J189" s="1" t="s">
        <v>128</v>
      </c>
      <c r="K189" s="1" t="s">
        <v>506</v>
      </c>
    </row>
    <row r="190" spans="1:11" x14ac:dyDescent="0.15">
      <c r="A190" s="1" t="s">
        <v>507</v>
      </c>
      <c r="B190" s="1">
        <v>512.95360000000005</v>
      </c>
      <c r="C190" s="1">
        <v>36.2072</v>
      </c>
      <c r="D190" s="1">
        <v>40.275500000000001</v>
      </c>
      <c r="E190" s="1">
        <v>41.428100000000001</v>
      </c>
      <c r="F190" s="1">
        <v>17972</v>
      </c>
      <c r="G190" s="1">
        <v>12.439</v>
      </c>
      <c r="H190" s="1">
        <v>1336464</v>
      </c>
      <c r="I190" s="1">
        <v>337996</v>
      </c>
      <c r="J190" s="1" t="s">
        <v>128</v>
      </c>
      <c r="K190" s="1" t="s">
        <v>508</v>
      </c>
    </row>
    <row r="191" spans="1:11" x14ac:dyDescent="0.15">
      <c r="A191" s="1" t="s">
        <v>509</v>
      </c>
      <c r="B191" s="1">
        <v>250.38319999999999</v>
      </c>
      <c r="C191" s="1">
        <v>33.313699999999997</v>
      </c>
      <c r="D191" s="1">
        <v>37.919800000000002</v>
      </c>
      <c r="E191" s="1">
        <v>38.765799999999999</v>
      </c>
      <c r="F191" s="1">
        <v>13418</v>
      </c>
      <c r="G191" s="1">
        <v>9.9550000000000001</v>
      </c>
      <c r="H191" s="1">
        <v>1334740</v>
      </c>
      <c r="I191" s="1">
        <v>336760</v>
      </c>
      <c r="J191" s="1" t="s">
        <v>128</v>
      </c>
      <c r="K191" s="1" t="s">
        <v>510</v>
      </c>
    </row>
    <row r="192" spans="1:11" x14ac:dyDescent="0.15">
      <c r="A192" s="1" t="s">
        <v>511</v>
      </c>
      <c r="B192" s="1">
        <v>122.324</v>
      </c>
      <c r="C192" s="1">
        <v>30.556999999999999</v>
      </c>
      <c r="D192" s="1">
        <v>35.936999999999998</v>
      </c>
      <c r="E192" s="1">
        <v>36.613500000000002</v>
      </c>
      <c r="F192" s="1">
        <v>9280</v>
      </c>
      <c r="G192" s="1">
        <v>8.2780000000000005</v>
      </c>
      <c r="H192" s="1">
        <v>1333284</v>
      </c>
      <c r="I192" s="1">
        <v>335612</v>
      </c>
      <c r="J192" s="1" t="s">
        <v>128</v>
      </c>
      <c r="K192" s="1" t="s">
        <v>512</v>
      </c>
    </row>
    <row r="193" spans="1:11" x14ac:dyDescent="0.15">
      <c r="A193" s="1" t="s">
        <v>513</v>
      </c>
      <c r="B193" s="1">
        <v>806.99120000000005</v>
      </c>
      <c r="C193" s="1">
        <v>40.228099999999998</v>
      </c>
      <c r="D193" s="1">
        <v>42.157400000000003</v>
      </c>
      <c r="E193" s="1">
        <v>43.365699999999997</v>
      </c>
      <c r="F193" s="1">
        <v>22260</v>
      </c>
      <c r="G193" s="1">
        <v>10.497</v>
      </c>
      <c r="H193" s="1">
        <v>1334136</v>
      </c>
      <c r="I193" s="1">
        <v>336460</v>
      </c>
      <c r="J193" s="1" t="s">
        <v>128</v>
      </c>
      <c r="K193" s="1" t="s">
        <v>514</v>
      </c>
    </row>
    <row r="194" spans="1:11" x14ac:dyDescent="0.15">
      <c r="A194" s="1" t="s">
        <v>515</v>
      </c>
      <c r="B194" s="1">
        <v>402.10640000000001</v>
      </c>
      <c r="C194" s="1">
        <v>36.685099999999998</v>
      </c>
      <c r="D194" s="1">
        <v>39.318899999999999</v>
      </c>
      <c r="E194" s="1">
        <v>40.635800000000003</v>
      </c>
      <c r="F194" s="1">
        <v>16975</v>
      </c>
      <c r="G194" s="1">
        <v>9.0120000000000005</v>
      </c>
      <c r="H194" s="1">
        <v>1333460</v>
      </c>
      <c r="I194" s="1">
        <v>336460</v>
      </c>
      <c r="J194" s="1" t="s">
        <v>128</v>
      </c>
      <c r="K194" s="1" t="s">
        <v>516</v>
      </c>
    </row>
    <row r="195" spans="1:11" x14ac:dyDescent="0.15">
      <c r="A195" s="1" t="s">
        <v>517</v>
      </c>
      <c r="B195" s="1">
        <v>196.8168</v>
      </c>
      <c r="C195" s="1">
        <v>33.294199999999996</v>
      </c>
      <c r="D195" s="1">
        <v>37.118499999999997</v>
      </c>
      <c r="E195" s="1">
        <v>38.491799999999998</v>
      </c>
      <c r="F195" s="1">
        <v>12097</v>
      </c>
      <c r="G195" s="1">
        <v>7.2640000000000002</v>
      </c>
      <c r="H195" s="1">
        <v>1332840</v>
      </c>
      <c r="I195" s="1">
        <v>334868</v>
      </c>
      <c r="J195" s="1" t="s">
        <v>128</v>
      </c>
      <c r="K195" s="1" t="s">
        <v>518</v>
      </c>
    </row>
    <row r="196" spans="1:11" x14ac:dyDescent="0.15">
      <c r="A196" s="1" t="s">
        <v>519</v>
      </c>
      <c r="B196" s="1">
        <v>96.623199999999997</v>
      </c>
      <c r="C196" s="1">
        <v>30.406600000000001</v>
      </c>
      <c r="D196" s="1">
        <v>35.386000000000003</v>
      </c>
      <c r="E196" s="1">
        <v>36.529200000000003</v>
      </c>
      <c r="F196" s="1">
        <v>8173</v>
      </c>
      <c r="G196" s="1">
        <v>6.2249999999999996</v>
      </c>
      <c r="H196" s="1">
        <v>1331572</v>
      </c>
      <c r="I196" s="1">
        <v>333928</v>
      </c>
      <c r="J196" s="1" t="s">
        <v>128</v>
      </c>
      <c r="K196" s="1" t="s">
        <v>520</v>
      </c>
    </row>
    <row r="197" spans="1:11" x14ac:dyDescent="0.15">
      <c r="A197" s="1" t="s">
        <v>521</v>
      </c>
    </row>
    <row r="198" spans="1:11" x14ac:dyDescent="0.15">
      <c r="A198" s="1" t="s">
        <v>522</v>
      </c>
    </row>
    <row r="199" spans="1:11" x14ac:dyDescent="0.15">
      <c r="A199" s="1" t="s">
        <v>523</v>
      </c>
    </row>
    <row r="200" spans="1:11" x14ac:dyDescent="0.15">
      <c r="A200" s="1" t="s">
        <v>524</v>
      </c>
    </row>
    <row r="201" spans="1:11" x14ac:dyDescent="0.15">
      <c r="A201" s="1" t="s">
        <v>525</v>
      </c>
    </row>
    <row r="202" spans="1:11" x14ac:dyDescent="0.15">
      <c r="A202" s="1" t="s">
        <v>526</v>
      </c>
    </row>
    <row r="203" spans="1:11" x14ac:dyDescent="0.15">
      <c r="A203" s="1" t="s">
        <v>527</v>
      </c>
    </row>
    <row r="204" spans="1:11" x14ac:dyDescent="0.15">
      <c r="A204" s="1" t="s">
        <v>528</v>
      </c>
    </row>
    <row r="205" spans="1:11" x14ac:dyDescent="0.15">
      <c r="A205" s="1" t="s">
        <v>529</v>
      </c>
    </row>
    <row r="206" spans="1:11" x14ac:dyDescent="0.15">
      <c r="A206" s="1" t="s">
        <v>530</v>
      </c>
    </row>
    <row r="207" spans="1:11" x14ac:dyDescent="0.15">
      <c r="A207" s="1" t="s">
        <v>531</v>
      </c>
    </row>
    <row r="208" spans="1:11" x14ac:dyDescent="0.15">
      <c r="A208" s="1" t="s">
        <v>532</v>
      </c>
    </row>
    <row r="209" spans="1:11" x14ac:dyDescent="0.15">
      <c r="A209" s="1" t="s">
        <v>533</v>
      </c>
      <c r="B209" s="1">
        <v>2399.8856000000001</v>
      </c>
      <c r="C209" s="1">
        <v>42.382800000000003</v>
      </c>
      <c r="D209" s="1">
        <v>44.5533</v>
      </c>
      <c r="E209" s="1">
        <v>45.470500000000001</v>
      </c>
      <c r="F209" s="1">
        <v>46971</v>
      </c>
      <c r="G209" s="1">
        <v>33.642000000000003</v>
      </c>
      <c r="H209" s="1">
        <v>2317452</v>
      </c>
      <c r="I209" s="1">
        <v>431868</v>
      </c>
      <c r="J209" s="1" t="s">
        <v>128</v>
      </c>
      <c r="K209" s="1" t="s">
        <v>534</v>
      </c>
    </row>
    <row r="210" spans="1:11" x14ac:dyDescent="0.15">
      <c r="A210" s="1" t="s">
        <v>535</v>
      </c>
      <c r="B210" s="1">
        <v>1134.452</v>
      </c>
      <c r="C210" s="1">
        <v>39.3626</v>
      </c>
      <c r="D210" s="1">
        <v>42.122799999999998</v>
      </c>
      <c r="E210" s="1">
        <v>42.547699999999999</v>
      </c>
      <c r="F210" s="1">
        <v>33939</v>
      </c>
      <c r="G210" s="1">
        <v>28.268999999999998</v>
      </c>
      <c r="H210" s="1">
        <v>2309628</v>
      </c>
      <c r="I210" s="1">
        <v>424288</v>
      </c>
      <c r="J210" s="1" t="s">
        <v>128</v>
      </c>
      <c r="K210" s="1" t="s">
        <v>536</v>
      </c>
    </row>
    <row r="211" spans="1:11" x14ac:dyDescent="0.15">
      <c r="A211" s="1" t="s">
        <v>537</v>
      </c>
      <c r="B211" s="1">
        <v>578.70240000000001</v>
      </c>
      <c r="C211" s="1">
        <v>36.388599999999997</v>
      </c>
      <c r="D211" s="1">
        <v>40.081699999999998</v>
      </c>
      <c r="E211" s="1">
        <v>40.331600000000002</v>
      </c>
      <c r="F211" s="1">
        <v>25357</v>
      </c>
      <c r="G211" s="1">
        <v>22.916</v>
      </c>
      <c r="H211" s="1">
        <v>2303368</v>
      </c>
      <c r="I211" s="1">
        <v>418976</v>
      </c>
      <c r="J211" s="1" t="s">
        <v>128</v>
      </c>
      <c r="K211" s="1" t="s">
        <v>538</v>
      </c>
    </row>
    <row r="212" spans="1:11" x14ac:dyDescent="0.15">
      <c r="A212" s="1" t="s">
        <v>539</v>
      </c>
      <c r="B212" s="1">
        <v>301.71600000000001</v>
      </c>
      <c r="C212" s="1">
        <v>33.612099999999998</v>
      </c>
      <c r="D212" s="1">
        <v>38.088500000000003</v>
      </c>
      <c r="E212" s="1">
        <v>38.102899999999998</v>
      </c>
      <c r="F212" s="1">
        <v>18455</v>
      </c>
      <c r="G212" s="1">
        <v>20.259</v>
      </c>
      <c r="H212" s="1">
        <v>2299100</v>
      </c>
      <c r="I212" s="1">
        <v>418072</v>
      </c>
      <c r="J212" s="1" t="s">
        <v>128</v>
      </c>
      <c r="K212" s="1" t="s">
        <v>540</v>
      </c>
    </row>
    <row r="213" spans="1:11" x14ac:dyDescent="0.15">
      <c r="A213" s="1" t="s">
        <v>541</v>
      </c>
      <c r="B213" s="1">
        <v>11019.704</v>
      </c>
      <c r="C213" s="1">
        <v>44.230499999999999</v>
      </c>
      <c r="D213" s="1">
        <v>46.1434</v>
      </c>
      <c r="E213" s="1">
        <v>46.5154</v>
      </c>
      <c r="F213" s="1">
        <v>206827</v>
      </c>
      <c r="G213" s="1">
        <v>182.82300000000001</v>
      </c>
      <c r="H213" s="1">
        <v>6112528</v>
      </c>
      <c r="I213" s="1">
        <v>992804</v>
      </c>
      <c r="J213" s="1" t="s">
        <v>128</v>
      </c>
      <c r="K213" s="1" t="s">
        <v>542</v>
      </c>
    </row>
    <row r="214" spans="1:11" x14ac:dyDescent="0.15">
      <c r="A214" s="1" t="s">
        <v>543</v>
      </c>
      <c r="B214" s="1">
        <v>4768.7272000000003</v>
      </c>
      <c r="C214" s="1">
        <v>40.947400000000002</v>
      </c>
      <c r="D214" s="1">
        <v>43.2637</v>
      </c>
      <c r="E214" s="1">
        <v>43.535800000000002</v>
      </c>
      <c r="F214" s="1">
        <v>144800</v>
      </c>
      <c r="G214" s="1">
        <v>147.42400000000001</v>
      </c>
      <c r="H214" s="1">
        <v>6083460</v>
      </c>
      <c r="I214" s="1">
        <v>945660</v>
      </c>
      <c r="J214" s="1" t="s">
        <v>128</v>
      </c>
      <c r="K214" s="1" t="s">
        <v>544</v>
      </c>
    </row>
    <row r="215" spans="1:11" x14ac:dyDescent="0.15">
      <c r="A215" s="1" t="s">
        <v>545</v>
      </c>
      <c r="B215" s="1">
        <v>2250.6648</v>
      </c>
      <c r="C215" s="1">
        <v>38.090499999999999</v>
      </c>
      <c r="D215" s="1">
        <v>40.930199999999999</v>
      </c>
      <c r="E215" s="1">
        <v>41.103299999999997</v>
      </c>
      <c r="F215" s="1">
        <v>102271</v>
      </c>
      <c r="G215" s="1">
        <v>110.047</v>
      </c>
      <c r="H215" s="1">
        <v>6055656</v>
      </c>
      <c r="I215" s="1">
        <v>889528</v>
      </c>
      <c r="J215" s="1" t="s">
        <v>128</v>
      </c>
      <c r="K215" s="1" t="s">
        <v>546</v>
      </c>
    </row>
    <row r="216" spans="1:11" x14ac:dyDescent="0.15">
      <c r="A216" s="1" t="s">
        <v>547</v>
      </c>
      <c r="B216" s="1">
        <v>1122.1880000000001</v>
      </c>
      <c r="C216" s="1">
        <v>35.421500000000002</v>
      </c>
      <c r="D216" s="1">
        <v>38.930500000000002</v>
      </c>
      <c r="E216" s="1">
        <v>38.969299999999997</v>
      </c>
      <c r="F216" s="1">
        <v>74163</v>
      </c>
      <c r="G216" s="1">
        <v>88.257000000000005</v>
      </c>
      <c r="H216" s="1">
        <v>6037212</v>
      </c>
      <c r="I216" s="1">
        <v>840048</v>
      </c>
      <c r="J216" s="1" t="s">
        <v>128</v>
      </c>
      <c r="K216" s="1" t="s">
        <v>548</v>
      </c>
    </row>
    <row r="217" spans="1:11" x14ac:dyDescent="0.15">
      <c r="A217" s="1" t="s">
        <v>549</v>
      </c>
      <c r="B217" s="1">
        <v>582.9624</v>
      </c>
      <c r="C217" s="1">
        <v>52.997599999999998</v>
      </c>
      <c r="D217" s="1">
        <v>51.836799999999997</v>
      </c>
      <c r="E217" s="1">
        <v>51.899000000000001</v>
      </c>
      <c r="F217" s="1">
        <v>10206</v>
      </c>
      <c r="G217" s="1">
        <v>5.5350000000000001</v>
      </c>
      <c r="H217" s="1">
        <v>4186568</v>
      </c>
      <c r="I217" s="1">
        <v>537284</v>
      </c>
      <c r="J217" s="1" t="s">
        <v>128</v>
      </c>
      <c r="K217" s="1" t="s">
        <v>550</v>
      </c>
    </row>
    <row r="218" spans="1:11" x14ac:dyDescent="0.15">
      <c r="A218" s="1" t="s">
        <v>551</v>
      </c>
      <c r="B218" s="1">
        <v>416.05360000000002</v>
      </c>
      <c r="C218" s="1">
        <v>49.503799999999998</v>
      </c>
      <c r="D218" s="1">
        <v>48.4086</v>
      </c>
      <c r="E218" s="1">
        <v>48.490600000000001</v>
      </c>
      <c r="F218" s="1">
        <v>9266</v>
      </c>
      <c r="G218" s="1">
        <v>5.0730000000000004</v>
      </c>
      <c r="H218" s="1">
        <v>4181132</v>
      </c>
      <c r="I218" s="1">
        <v>529848</v>
      </c>
      <c r="J218" s="1" t="s">
        <v>128</v>
      </c>
      <c r="K218" s="1" t="s">
        <v>552</v>
      </c>
    </row>
    <row r="219" spans="1:11" x14ac:dyDescent="0.15">
      <c r="A219" s="1" t="s">
        <v>553</v>
      </c>
      <c r="B219" s="1">
        <v>324.93360000000001</v>
      </c>
      <c r="C219" s="1">
        <v>45.4559</v>
      </c>
      <c r="D219" s="1">
        <v>45.946800000000003</v>
      </c>
      <c r="E219" s="1">
        <v>46.030200000000001</v>
      </c>
      <c r="F219" s="1">
        <v>8620</v>
      </c>
      <c r="G219" s="1">
        <v>5.0869999999999997</v>
      </c>
      <c r="H219" s="1">
        <v>4176048</v>
      </c>
      <c r="I219" s="1">
        <v>530604</v>
      </c>
      <c r="J219" s="1" t="s">
        <v>128</v>
      </c>
      <c r="K219" s="1" t="s">
        <v>554</v>
      </c>
    </row>
    <row r="220" spans="1:11" x14ac:dyDescent="0.15">
      <c r="A220" s="1" t="s">
        <v>555</v>
      </c>
      <c r="B220" s="1">
        <v>258.62720000000002</v>
      </c>
      <c r="C220" s="1">
        <v>41.522500000000001</v>
      </c>
      <c r="D220" s="1">
        <v>42.733400000000003</v>
      </c>
      <c r="E220" s="1">
        <v>43.31</v>
      </c>
      <c r="F220" s="1">
        <v>8115</v>
      </c>
      <c r="G220" s="1">
        <v>4.8529999999999998</v>
      </c>
      <c r="H220" s="1">
        <v>4176680</v>
      </c>
      <c r="I220" s="1">
        <v>532980</v>
      </c>
      <c r="J220" s="1" t="s">
        <v>128</v>
      </c>
      <c r="K220" s="1" t="s">
        <v>556</v>
      </c>
    </row>
    <row r="221" spans="1:11" x14ac:dyDescent="0.15">
      <c r="A221" s="1" t="s">
        <v>557</v>
      </c>
      <c r="B221" s="1">
        <v>383.78370000000001</v>
      </c>
      <c r="C221" s="1">
        <v>52.780900000000003</v>
      </c>
      <c r="D221" s="1">
        <v>56.479700000000001</v>
      </c>
      <c r="E221" s="1">
        <v>57.729599999999998</v>
      </c>
      <c r="F221" s="1">
        <v>23375</v>
      </c>
      <c r="G221" s="1">
        <v>20.021000000000001</v>
      </c>
      <c r="H221" s="1">
        <v>4117780</v>
      </c>
      <c r="I221" s="1">
        <v>534704</v>
      </c>
      <c r="J221" s="1" t="s">
        <v>128</v>
      </c>
      <c r="K221" s="1" t="s">
        <v>558</v>
      </c>
    </row>
    <row r="222" spans="1:11" x14ac:dyDescent="0.15">
      <c r="A222" s="1" t="s">
        <v>559</v>
      </c>
      <c r="B222" s="1">
        <v>204.18879999999999</v>
      </c>
      <c r="C222" s="1">
        <v>49.064300000000003</v>
      </c>
      <c r="D222" s="1">
        <v>53.271099999999997</v>
      </c>
      <c r="E222" s="1">
        <v>54.809199999999997</v>
      </c>
      <c r="F222" s="1">
        <v>20542</v>
      </c>
      <c r="G222" s="1">
        <v>18.608000000000001</v>
      </c>
      <c r="H222" s="1">
        <v>4116020</v>
      </c>
      <c r="I222" s="1">
        <v>535768</v>
      </c>
      <c r="J222" s="1" t="s">
        <v>128</v>
      </c>
      <c r="K222" s="1" t="s">
        <v>560</v>
      </c>
    </row>
    <row r="223" spans="1:11" x14ac:dyDescent="0.15">
      <c r="A223" s="1" t="s">
        <v>561</v>
      </c>
      <c r="B223" s="1">
        <v>117.7072</v>
      </c>
      <c r="C223" s="1">
        <v>45.629399999999997</v>
      </c>
      <c r="D223" s="1">
        <v>50.661499999999997</v>
      </c>
      <c r="E223" s="1">
        <v>52.434899999999999</v>
      </c>
      <c r="F223" s="1">
        <v>17297</v>
      </c>
      <c r="G223" s="1">
        <v>17.795999999999999</v>
      </c>
      <c r="H223" s="1">
        <v>4112232</v>
      </c>
      <c r="I223" s="1">
        <v>522556</v>
      </c>
      <c r="J223" s="1" t="s">
        <v>128</v>
      </c>
      <c r="K223" s="1" t="s">
        <v>562</v>
      </c>
    </row>
    <row r="224" spans="1:11" x14ac:dyDescent="0.15">
      <c r="A224" s="1" t="s">
        <v>563</v>
      </c>
      <c r="B224" s="1">
        <v>73.999700000000004</v>
      </c>
      <c r="C224" s="1">
        <v>42.336100000000002</v>
      </c>
      <c r="D224" s="1">
        <v>48.285299999999999</v>
      </c>
      <c r="E224" s="1">
        <v>50.263199999999998</v>
      </c>
      <c r="F224" s="1">
        <v>14204</v>
      </c>
      <c r="G224" s="1">
        <v>16.939</v>
      </c>
      <c r="H224" s="1">
        <v>4109236</v>
      </c>
      <c r="I224" s="1">
        <v>520172</v>
      </c>
      <c r="J224" s="1" t="s">
        <v>128</v>
      </c>
      <c r="K224" s="1" t="s">
        <v>564</v>
      </c>
    </row>
    <row r="225" spans="1:11" x14ac:dyDescent="0.15">
      <c r="A225" s="1" t="s">
        <v>565</v>
      </c>
      <c r="B225" s="1">
        <v>17899.436799999999</v>
      </c>
      <c r="C225" s="1">
        <v>46.085099999999997</v>
      </c>
      <c r="D225" s="1">
        <v>45.185499999999998</v>
      </c>
      <c r="E225" s="1">
        <v>45.349699999999999</v>
      </c>
      <c r="F225" s="1">
        <v>140544</v>
      </c>
      <c r="G225" s="1">
        <v>86.066999999999993</v>
      </c>
      <c r="H225" s="1">
        <v>7609368</v>
      </c>
      <c r="I225" s="1">
        <v>894816</v>
      </c>
      <c r="J225" s="1" t="s">
        <v>128</v>
      </c>
      <c r="K225" s="1" t="s">
        <v>566</v>
      </c>
    </row>
    <row r="226" spans="1:11" x14ac:dyDescent="0.15">
      <c r="A226" s="1" t="s">
        <v>567</v>
      </c>
      <c r="B226" s="1">
        <v>9682.1183999999994</v>
      </c>
      <c r="C226" s="1">
        <v>41.091099999999997</v>
      </c>
      <c r="D226" s="1">
        <v>41.505899999999997</v>
      </c>
      <c r="E226" s="1">
        <v>41.8386</v>
      </c>
      <c r="F226" s="1">
        <v>120789</v>
      </c>
      <c r="G226" s="1">
        <v>94.192999999999998</v>
      </c>
      <c r="H226" s="1">
        <v>7605992</v>
      </c>
      <c r="I226" s="1">
        <v>871656</v>
      </c>
      <c r="J226" s="1" t="s">
        <v>128</v>
      </c>
      <c r="K226" s="1" t="s">
        <v>568</v>
      </c>
    </row>
    <row r="227" spans="1:11" x14ac:dyDescent="0.15">
      <c r="A227" s="1" t="s">
        <v>569</v>
      </c>
      <c r="B227" s="1">
        <v>5871.5439999999999</v>
      </c>
      <c r="C227" s="1">
        <v>37.122500000000002</v>
      </c>
      <c r="D227" s="1">
        <v>39.0548</v>
      </c>
      <c r="E227" s="1">
        <v>39.551600000000001</v>
      </c>
      <c r="F227" s="1">
        <v>100824</v>
      </c>
      <c r="G227" s="1">
        <v>94.728999999999999</v>
      </c>
      <c r="H227" s="1">
        <v>7595380</v>
      </c>
      <c r="I227" s="1">
        <v>860836</v>
      </c>
      <c r="J227" s="1" t="s">
        <v>128</v>
      </c>
      <c r="K227" s="1" t="s">
        <v>570</v>
      </c>
    </row>
    <row r="228" spans="1:11" x14ac:dyDescent="0.15">
      <c r="A228" s="1" t="s">
        <v>571</v>
      </c>
      <c r="B228" s="1">
        <v>3401.4976000000001</v>
      </c>
      <c r="C228" s="1">
        <v>33.2712</v>
      </c>
      <c r="D228" s="1">
        <v>36.104799999999997</v>
      </c>
      <c r="E228" s="1">
        <v>36.752099999999999</v>
      </c>
      <c r="F228" s="1">
        <v>77070</v>
      </c>
      <c r="G228" s="1">
        <v>92.912999999999997</v>
      </c>
      <c r="H228" s="1">
        <v>7591476</v>
      </c>
      <c r="I228" s="1">
        <v>834052</v>
      </c>
      <c r="J228" s="1" t="s">
        <v>128</v>
      </c>
      <c r="K228" s="1" t="s">
        <v>572</v>
      </c>
    </row>
    <row r="229" spans="1:11" x14ac:dyDescent="0.15">
      <c r="A229" s="1" t="s">
        <v>573</v>
      </c>
      <c r="B229" s="1">
        <v>1244.3879999999999</v>
      </c>
      <c r="C229" s="1">
        <v>57.405900000000003</v>
      </c>
      <c r="D229" s="1">
        <v>52.0259</v>
      </c>
      <c r="E229" s="1">
        <v>52.071199999999997</v>
      </c>
      <c r="F229" s="1">
        <v>60012</v>
      </c>
      <c r="G229" s="1">
        <v>68.578999999999994</v>
      </c>
      <c r="H229" s="1">
        <v>7530300</v>
      </c>
      <c r="I229" s="1">
        <v>863292</v>
      </c>
      <c r="J229" s="1" t="s">
        <v>128</v>
      </c>
      <c r="K229" s="1" t="s">
        <v>574</v>
      </c>
    </row>
    <row r="230" spans="1:11" x14ac:dyDescent="0.15">
      <c r="A230" s="1" t="s">
        <v>575</v>
      </c>
      <c r="B230" s="1">
        <v>944.17759999999998</v>
      </c>
      <c r="C230" s="1">
        <v>52.1036</v>
      </c>
      <c r="D230" s="1">
        <v>48.450499999999998</v>
      </c>
      <c r="E230" s="1">
        <v>48.403500000000001</v>
      </c>
      <c r="F230" s="1">
        <v>61164</v>
      </c>
      <c r="G230" s="1">
        <v>45.982999999999997</v>
      </c>
      <c r="H230" s="1">
        <v>7515964</v>
      </c>
      <c r="I230" s="1">
        <v>840340</v>
      </c>
      <c r="J230" s="1" t="s">
        <v>128</v>
      </c>
      <c r="K230" s="1" t="s">
        <v>576</v>
      </c>
    </row>
    <row r="231" spans="1:11" x14ac:dyDescent="0.15">
      <c r="A231" s="1" t="s">
        <v>577</v>
      </c>
      <c r="B231" s="1">
        <v>801.99120000000005</v>
      </c>
      <c r="C231" s="1">
        <v>47.5319</v>
      </c>
      <c r="D231" s="1">
        <v>45.648400000000002</v>
      </c>
      <c r="E231" s="1">
        <v>45.482999999999997</v>
      </c>
      <c r="F231" s="1">
        <v>57011</v>
      </c>
      <c r="G231" s="1">
        <v>53.978000000000002</v>
      </c>
      <c r="H231" s="1">
        <v>7514824</v>
      </c>
      <c r="I231" s="1">
        <v>829004</v>
      </c>
      <c r="J231" s="1" t="s">
        <v>128</v>
      </c>
      <c r="K231" s="1" t="s">
        <v>578</v>
      </c>
    </row>
    <row r="232" spans="1:11" x14ac:dyDescent="0.15">
      <c r="A232" s="1" t="s">
        <v>579</v>
      </c>
      <c r="B232" s="1">
        <v>690.45839999999998</v>
      </c>
      <c r="C232" s="1">
        <v>42.104599999999998</v>
      </c>
      <c r="D232" s="1">
        <v>42.391199999999998</v>
      </c>
      <c r="E232" s="1">
        <v>42.249400000000001</v>
      </c>
      <c r="F232" s="1">
        <v>53582</v>
      </c>
      <c r="G232" s="1">
        <v>58.095999999999997</v>
      </c>
      <c r="H232" s="1">
        <v>7509292</v>
      </c>
      <c r="I232" s="1">
        <v>795484</v>
      </c>
      <c r="J232" s="1" t="s">
        <v>128</v>
      </c>
      <c r="K232" s="1" t="s">
        <v>580</v>
      </c>
    </row>
    <row r="233" spans="1:11" x14ac:dyDescent="0.15">
      <c r="A233" s="1" t="s">
        <v>581</v>
      </c>
      <c r="B233" s="1">
        <v>3018.2384000000002</v>
      </c>
      <c r="C233" s="1">
        <v>55.562100000000001</v>
      </c>
      <c r="D233" s="1">
        <v>53.351700000000001</v>
      </c>
      <c r="E233" s="1">
        <v>52.0916</v>
      </c>
      <c r="F233" s="1">
        <v>103335</v>
      </c>
      <c r="G233" s="1">
        <v>91.683000000000007</v>
      </c>
      <c r="H233" s="1">
        <v>7428632</v>
      </c>
      <c r="I233" s="1">
        <v>874620</v>
      </c>
      <c r="J233" s="1" t="s">
        <v>128</v>
      </c>
      <c r="K233" s="1" t="s">
        <v>582</v>
      </c>
    </row>
    <row r="234" spans="1:11" x14ac:dyDescent="0.15">
      <c r="A234" s="1" t="s">
        <v>583</v>
      </c>
      <c r="B234" s="1">
        <v>2204.4672</v>
      </c>
      <c r="C234" s="1">
        <v>50.820799999999998</v>
      </c>
      <c r="D234" s="1">
        <v>48.701799999999999</v>
      </c>
      <c r="E234" s="1">
        <v>46.776699999999998</v>
      </c>
      <c r="F234" s="1">
        <v>95255</v>
      </c>
      <c r="G234" s="1">
        <v>89.620999999999995</v>
      </c>
      <c r="H234" s="1">
        <v>7427256</v>
      </c>
      <c r="I234" s="1">
        <v>888340</v>
      </c>
      <c r="J234" s="1" t="s">
        <v>128</v>
      </c>
      <c r="K234" s="1" t="s">
        <v>584</v>
      </c>
    </row>
    <row r="235" spans="1:11" x14ac:dyDescent="0.15">
      <c r="A235" s="1" t="s">
        <v>585</v>
      </c>
      <c r="B235" s="1">
        <v>1667.2080000000001</v>
      </c>
      <c r="C235" s="1">
        <v>45.405000000000001</v>
      </c>
      <c r="D235" s="1">
        <v>45.040700000000001</v>
      </c>
      <c r="E235" s="1">
        <v>42.603900000000003</v>
      </c>
      <c r="F235" s="1">
        <v>87306</v>
      </c>
      <c r="G235" s="1">
        <v>93.447000000000003</v>
      </c>
      <c r="H235" s="1">
        <v>7438028</v>
      </c>
      <c r="I235" s="1">
        <v>903508</v>
      </c>
      <c r="J235" s="1" t="s">
        <v>128</v>
      </c>
      <c r="K235" s="1" t="s">
        <v>586</v>
      </c>
    </row>
    <row r="236" spans="1:11" x14ac:dyDescent="0.15">
      <c r="A236" s="1" t="s">
        <v>587</v>
      </c>
      <c r="B236" s="1">
        <v>1274.06</v>
      </c>
      <c r="C236" s="1">
        <v>40.264000000000003</v>
      </c>
      <c r="D236" s="1">
        <v>41.399700000000003</v>
      </c>
      <c r="E236" s="1">
        <v>39.052799999999998</v>
      </c>
      <c r="F236" s="1">
        <v>77227</v>
      </c>
      <c r="G236" s="1">
        <v>92.412999999999997</v>
      </c>
      <c r="H236" s="1">
        <v>7426696</v>
      </c>
      <c r="I236" s="1">
        <v>881924</v>
      </c>
      <c r="J236" s="1" t="s">
        <v>128</v>
      </c>
      <c r="K236" s="1" t="s">
        <v>588</v>
      </c>
    </row>
    <row r="237" spans="1:11" x14ac:dyDescent="0.15">
      <c r="A237" s="1" t="s">
        <v>589</v>
      </c>
      <c r="B237" s="1">
        <v>2993.7536</v>
      </c>
      <c r="C237" s="1">
        <v>52.214599999999997</v>
      </c>
      <c r="D237" s="1">
        <v>51.305100000000003</v>
      </c>
      <c r="E237" s="1">
        <v>51.133299999999998</v>
      </c>
      <c r="F237" s="1">
        <v>65980</v>
      </c>
      <c r="G237" s="1">
        <v>48.46</v>
      </c>
      <c r="H237" s="1">
        <v>7853884</v>
      </c>
      <c r="I237" s="1">
        <v>890472</v>
      </c>
      <c r="J237" s="1" t="s">
        <v>128</v>
      </c>
      <c r="K237" s="1" t="s">
        <v>590</v>
      </c>
    </row>
    <row r="238" spans="1:11" x14ac:dyDescent="0.15">
      <c r="A238" s="1" t="s">
        <v>591</v>
      </c>
      <c r="B238" s="1">
        <v>2233.7831999999999</v>
      </c>
      <c r="C238" s="1">
        <v>47.555199999999999</v>
      </c>
      <c r="D238" s="1">
        <v>47.198099999999997</v>
      </c>
      <c r="E238" s="1">
        <v>47.138800000000003</v>
      </c>
      <c r="F238" s="1">
        <v>64201</v>
      </c>
      <c r="G238" s="1">
        <v>38.944000000000003</v>
      </c>
      <c r="H238" s="1">
        <v>7844824</v>
      </c>
      <c r="I238" s="1">
        <v>872464</v>
      </c>
      <c r="J238" s="1" t="s">
        <v>128</v>
      </c>
      <c r="K238" s="1" t="s">
        <v>592</v>
      </c>
    </row>
    <row r="239" spans="1:11" x14ac:dyDescent="0.15">
      <c r="A239" s="1" t="s">
        <v>593</v>
      </c>
      <c r="B239" s="1">
        <v>1678.0352</v>
      </c>
      <c r="C239" s="1">
        <v>42.7502</v>
      </c>
      <c r="D239" s="1">
        <v>44.036000000000001</v>
      </c>
      <c r="E239" s="1">
        <v>43.974600000000002</v>
      </c>
      <c r="F239" s="1">
        <v>61318</v>
      </c>
      <c r="G239" s="1">
        <v>39.581000000000003</v>
      </c>
      <c r="H239" s="1">
        <v>7839404</v>
      </c>
      <c r="I239" s="1">
        <v>895176</v>
      </c>
      <c r="J239" s="1" t="s">
        <v>128</v>
      </c>
      <c r="K239" s="1" t="s">
        <v>594</v>
      </c>
    </row>
    <row r="240" spans="1:11" x14ac:dyDescent="0.15">
      <c r="A240" s="1" t="s">
        <v>595</v>
      </c>
      <c r="B240" s="1">
        <v>1256.5904</v>
      </c>
      <c r="C240" s="1">
        <v>38.044800000000002</v>
      </c>
      <c r="D240" s="1">
        <v>40.885300000000001</v>
      </c>
      <c r="E240" s="1">
        <v>40.992699999999999</v>
      </c>
      <c r="F240" s="1">
        <v>57585</v>
      </c>
      <c r="G240" s="1">
        <v>39.307000000000002</v>
      </c>
      <c r="H240" s="1">
        <v>7835688</v>
      </c>
      <c r="I240" s="1">
        <v>901304</v>
      </c>
      <c r="J240" s="1" t="s">
        <v>128</v>
      </c>
      <c r="K240" s="1" t="s">
        <v>596</v>
      </c>
    </row>
    <row r="241" spans="1:1" x14ac:dyDescent="0.15">
      <c r="A241" s="1" t="s">
        <v>597</v>
      </c>
    </row>
    <row r="242" spans="1:1" x14ac:dyDescent="0.15">
      <c r="A242" s="1" t="s">
        <v>598</v>
      </c>
    </row>
    <row r="243" spans="1:1" x14ac:dyDescent="0.15">
      <c r="A243" s="1" t="s">
        <v>599</v>
      </c>
    </row>
    <row r="244" spans="1:1" x14ac:dyDescent="0.15">
      <c r="A244" s="1" t="s">
        <v>600</v>
      </c>
    </row>
    <row r="245" spans="1:1" x14ac:dyDescent="0.15">
      <c r="A245" s="1" t="s">
        <v>601</v>
      </c>
    </row>
    <row r="246" spans="1:1" x14ac:dyDescent="0.15">
      <c r="A246" s="1" t="s">
        <v>602</v>
      </c>
    </row>
    <row r="247" spans="1:1" x14ac:dyDescent="0.15">
      <c r="A247" s="1" t="s">
        <v>603</v>
      </c>
    </row>
    <row r="248" spans="1:1" x14ac:dyDescent="0.15">
      <c r="A248" s="1" t="s">
        <v>604</v>
      </c>
    </row>
    <row r="249" spans="1:1" x14ac:dyDescent="0.15">
      <c r="A249" s="1" t="s">
        <v>605</v>
      </c>
    </row>
    <row r="250" spans="1:1" x14ac:dyDescent="0.15">
      <c r="A250" s="1" t="s">
        <v>606</v>
      </c>
    </row>
    <row r="251" spans="1:1" x14ac:dyDescent="0.15">
      <c r="A251" s="1" t="s">
        <v>607</v>
      </c>
    </row>
    <row r="252" spans="1:1" x14ac:dyDescent="0.15">
      <c r="A252" s="1" t="s">
        <v>608</v>
      </c>
    </row>
    <row r="253" spans="1:1" x14ac:dyDescent="0.15">
      <c r="A253" s="1" t="s">
        <v>609</v>
      </c>
    </row>
    <row r="254" spans="1:1" x14ac:dyDescent="0.15">
      <c r="A254" s="1" t="s">
        <v>610</v>
      </c>
    </row>
    <row r="255" spans="1:1" x14ac:dyDescent="0.15">
      <c r="A255" s="1" t="s">
        <v>611</v>
      </c>
    </row>
    <row r="256" spans="1:1" x14ac:dyDescent="0.15">
      <c r="A256" s="1" t="s">
        <v>612</v>
      </c>
    </row>
    <row r="257" spans="1:11" x14ac:dyDescent="0.15">
      <c r="A257" s="1" t="s">
        <v>613</v>
      </c>
    </row>
    <row r="258" spans="1:11" x14ac:dyDescent="0.15">
      <c r="A258" s="1" t="s">
        <v>614</v>
      </c>
    </row>
    <row r="259" spans="1:11" x14ac:dyDescent="0.15">
      <c r="A259" s="1" t="s">
        <v>615</v>
      </c>
    </row>
    <row r="260" spans="1:11" x14ac:dyDescent="0.15">
      <c r="A260" s="1" t="s">
        <v>616</v>
      </c>
    </row>
    <row r="261" spans="1:11" x14ac:dyDescent="0.15">
      <c r="A261" s="1" t="s">
        <v>617</v>
      </c>
    </row>
    <row r="262" spans="1:11" x14ac:dyDescent="0.15">
      <c r="A262" s="1" t="s">
        <v>618</v>
      </c>
    </row>
    <row r="263" spans="1:11" x14ac:dyDescent="0.15">
      <c r="A263" s="1" t="s">
        <v>619</v>
      </c>
    </row>
    <row r="264" spans="1:11" x14ac:dyDescent="0.15">
      <c r="A264" s="1" t="s">
        <v>620</v>
      </c>
    </row>
    <row r="265" spans="1:11" x14ac:dyDescent="0.15">
      <c r="A265" s="1" t="s">
        <v>621</v>
      </c>
      <c r="B265" s="1">
        <v>9258.3791999999994</v>
      </c>
      <c r="C265" s="1">
        <v>40.5867</v>
      </c>
      <c r="D265" s="1">
        <v>44.443199999999997</v>
      </c>
      <c r="E265" s="1">
        <v>45.058900000000001</v>
      </c>
      <c r="F265" s="1">
        <v>107659</v>
      </c>
      <c r="G265" s="1">
        <v>83.006</v>
      </c>
      <c r="H265" s="1">
        <v>4068232</v>
      </c>
      <c r="I265" s="1">
        <v>818880</v>
      </c>
      <c r="J265" s="1" t="s">
        <v>128</v>
      </c>
      <c r="K265" s="1" t="s">
        <v>622</v>
      </c>
    </row>
    <row r="266" spans="1:11" x14ac:dyDescent="0.15">
      <c r="A266" s="1" t="s">
        <v>623</v>
      </c>
      <c r="B266" s="1">
        <v>3046.1632</v>
      </c>
      <c r="C266" s="1">
        <v>38.876100000000001</v>
      </c>
      <c r="D266" s="1">
        <v>43.162300000000002</v>
      </c>
      <c r="E266" s="1">
        <v>43.544400000000003</v>
      </c>
      <c r="F266" s="1">
        <v>60335</v>
      </c>
      <c r="G266" s="1">
        <v>61.735999999999997</v>
      </c>
      <c r="H266" s="1">
        <v>4045636</v>
      </c>
      <c r="I266" s="1">
        <v>817156</v>
      </c>
      <c r="J266" s="1" t="s">
        <v>128</v>
      </c>
      <c r="K266" s="1" t="s">
        <v>624</v>
      </c>
    </row>
    <row r="267" spans="1:11" x14ac:dyDescent="0.15">
      <c r="A267" s="1" t="s">
        <v>625</v>
      </c>
      <c r="B267" s="1">
        <v>1362.1424</v>
      </c>
      <c r="C267" s="1">
        <v>36.94</v>
      </c>
      <c r="D267" s="1">
        <v>42.050600000000003</v>
      </c>
      <c r="E267" s="1">
        <v>42.1599</v>
      </c>
      <c r="F267" s="1">
        <v>42007</v>
      </c>
      <c r="G267" s="1">
        <v>51.470999999999997</v>
      </c>
      <c r="H267" s="1">
        <v>4376396</v>
      </c>
      <c r="I267" s="1">
        <v>830340</v>
      </c>
      <c r="J267" s="1" t="s">
        <v>128</v>
      </c>
      <c r="K267" s="1" t="s">
        <v>626</v>
      </c>
    </row>
    <row r="268" spans="1:11" x14ac:dyDescent="0.15">
      <c r="A268" s="1" t="s">
        <v>627</v>
      </c>
      <c r="B268" s="1">
        <v>655.20159999999998</v>
      </c>
      <c r="C268" s="1">
        <v>34.841099999999997</v>
      </c>
      <c r="D268" s="1">
        <v>40.980200000000004</v>
      </c>
      <c r="E268" s="1">
        <v>41.048499999999997</v>
      </c>
      <c r="F268" s="1">
        <v>32611</v>
      </c>
      <c r="G268" s="1">
        <v>44.639000000000003</v>
      </c>
      <c r="H268" s="1">
        <v>3160188</v>
      </c>
      <c r="I268" s="1">
        <v>647956</v>
      </c>
      <c r="J268" s="1" t="s">
        <v>128</v>
      </c>
      <c r="K268" s="1" t="s">
        <v>628</v>
      </c>
    </row>
    <row r="269" spans="1:11" x14ac:dyDescent="0.15">
      <c r="A269" s="1" t="s">
        <v>629</v>
      </c>
      <c r="B269" s="1">
        <v>7538.8047999999999</v>
      </c>
      <c r="C269" s="1">
        <v>44.8474</v>
      </c>
      <c r="D269" s="1">
        <v>48.044699999999999</v>
      </c>
      <c r="E269" s="1">
        <v>48.571300000000001</v>
      </c>
      <c r="F269" s="1">
        <v>110887</v>
      </c>
      <c r="G269" s="1">
        <v>104.708</v>
      </c>
      <c r="H269" s="1">
        <v>4011680</v>
      </c>
      <c r="I269" s="1">
        <v>790800</v>
      </c>
      <c r="J269" s="1" t="s">
        <v>128</v>
      </c>
      <c r="K269" s="1" t="s">
        <v>630</v>
      </c>
    </row>
    <row r="270" spans="1:11" x14ac:dyDescent="0.15">
      <c r="A270" s="1" t="s">
        <v>631</v>
      </c>
      <c r="B270" s="1">
        <v>3649.4351999999999</v>
      </c>
      <c r="C270" s="1">
        <v>41.51</v>
      </c>
      <c r="D270" s="1">
        <v>45.516300000000001</v>
      </c>
      <c r="E270" s="1">
        <v>45.565600000000003</v>
      </c>
      <c r="F270" s="1">
        <v>55023</v>
      </c>
      <c r="G270" s="1">
        <v>55.904000000000003</v>
      </c>
      <c r="H270" s="1">
        <v>3991872</v>
      </c>
      <c r="I270" s="1">
        <v>826264</v>
      </c>
      <c r="J270" s="1" t="s">
        <v>128</v>
      </c>
      <c r="K270" s="1" t="s">
        <v>632</v>
      </c>
    </row>
    <row r="271" spans="1:11" x14ac:dyDescent="0.15">
      <c r="A271" s="1" t="s">
        <v>633</v>
      </c>
      <c r="B271" s="1">
        <v>1885.9056</v>
      </c>
      <c r="C271" s="1">
        <v>38.2652</v>
      </c>
      <c r="D271" s="1">
        <v>43.815100000000001</v>
      </c>
      <c r="E271" s="1">
        <v>43.630400000000002</v>
      </c>
      <c r="F271" s="1">
        <v>55192</v>
      </c>
      <c r="G271" s="1">
        <v>58.046999999999997</v>
      </c>
      <c r="H271" s="1">
        <v>4044516</v>
      </c>
      <c r="I271" s="1">
        <v>825096</v>
      </c>
      <c r="J271" s="1" t="s">
        <v>128</v>
      </c>
      <c r="K271" s="1" t="s">
        <v>634</v>
      </c>
    </row>
    <row r="272" spans="1:11" x14ac:dyDescent="0.15">
      <c r="A272" s="1" t="s">
        <v>635</v>
      </c>
      <c r="B272" s="1">
        <v>1023.6144</v>
      </c>
      <c r="C272" s="1">
        <v>35.5456</v>
      </c>
      <c r="D272" s="1">
        <v>42.342399999999998</v>
      </c>
      <c r="E272" s="1">
        <v>42.047699999999999</v>
      </c>
      <c r="F272" s="1">
        <v>35753</v>
      </c>
      <c r="G272" s="1">
        <v>34.686999999999998</v>
      </c>
      <c r="H272" s="1">
        <v>3879868</v>
      </c>
      <c r="I272" s="1">
        <v>766016</v>
      </c>
      <c r="J272" s="1" t="s">
        <v>128</v>
      </c>
      <c r="K272" s="1" t="s">
        <v>636</v>
      </c>
    </row>
    <row r="273" spans="1:11" x14ac:dyDescent="0.15">
      <c r="A273" s="1" t="s">
        <v>637</v>
      </c>
      <c r="B273" s="1">
        <v>10163.003199999999</v>
      </c>
      <c r="C273" s="1">
        <v>38.675400000000003</v>
      </c>
      <c r="D273" s="1">
        <v>40.180700000000002</v>
      </c>
      <c r="E273" s="1">
        <v>43.857500000000002</v>
      </c>
      <c r="F273" s="1">
        <v>123690</v>
      </c>
      <c r="G273" s="1">
        <v>85.418000000000006</v>
      </c>
      <c r="H273" s="1">
        <v>3996436</v>
      </c>
      <c r="I273" s="1">
        <v>808788</v>
      </c>
      <c r="J273" s="1" t="s">
        <v>128</v>
      </c>
      <c r="K273" s="1" t="s">
        <v>638</v>
      </c>
    </row>
    <row r="274" spans="1:11" x14ac:dyDescent="0.15">
      <c r="A274" s="1" t="s">
        <v>639</v>
      </c>
      <c r="B274" s="1">
        <v>3073.9616000000001</v>
      </c>
      <c r="C274" s="1">
        <v>36.837699999999998</v>
      </c>
      <c r="D274" s="1">
        <v>39.289099999999998</v>
      </c>
      <c r="E274" s="1">
        <v>41.917400000000001</v>
      </c>
      <c r="F274" s="1">
        <v>51010</v>
      </c>
      <c r="G274" s="1">
        <v>40.372</v>
      </c>
      <c r="H274" s="1">
        <v>3979680</v>
      </c>
      <c r="I274" s="1">
        <v>819932</v>
      </c>
      <c r="J274" s="1" t="s">
        <v>128</v>
      </c>
      <c r="K274" s="1" t="s">
        <v>640</v>
      </c>
    </row>
    <row r="275" spans="1:11" x14ac:dyDescent="0.15">
      <c r="A275" s="1" t="s">
        <v>641</v>
      </c>
      <c r="B275" s="1">
        <v>1408.3743999999999</v>
      </c>
      <c r="C275" s="1">
        <v>34.8538</v>
      </c>
      <c r="D275" s="1">
        <v>38.464300000000001</v>
      </c>
      <c r="E275" s="1">
        <v>40.208399999999997</v>
      </c>
      <c r="F275" s="1">
        <v>35141</v>
      </c>
      <c r="G275" s="1">
        <v>30.029</v>
      </c>
      <c r="H275" s="1">
        <v>3968236</v>
      </c>
      <c r="I275" s="1">
        <v>803352</v>
      </c>
      <c r="J275" s="1" t="s">
        <v>128</v>
      </c>
      <c r="K275" s="1" t="s">
        <v>642</v>
      </c>
    </row>
    <row r="276" spans="1:11" x14ac:dyDescent="0.15">
      <c r="A276" s="1" t="s">
        <v>643</v>
      </c>
      <c r="B276" s="1">
        <v>694.52639999999997</v>
      </c>
      <c r="C276" s="1">
        <v>32.693899999999999</v>
      </c>
      <c r="D276" s="1">
        <v>37.415599999999998</v>
      </c>
      <c r="E276" s="1">
        <v>38.567</v>
      </c>
      <c r="F276" s="1">
        <v>27124</v>
      </c>
      <c r="G276" s="1">
        <v>26.585000000000001</v>
      </c>
      <c r="H276" s="1">
        <v>3958932</v>
      </c>
      <c r="I276" s="1">
        <v>777348</v>
      </c>
      <c r="J276" s="1" t="s">
        <v>128</v>
      </c>
      <c r="K276" s="1" t="s">
        <v>644</v>
      </c>
    </row>
    <row r="277" spans="1:11" x14ac:dyDescent="0.15">
      <c r="A277" s="1" t="s">
        <v>645</v>
      </c>
      <c r="B277" s="1">
        <v>13118.721600000001</v>
      </c>
      <c r="C277" s="1">
        <v>39.561199999999999</v>
      </c>
      <c r="D277" s="1">
        <v>44.258400000000002</v>
      </c>
      <c r="E277" s="1">
        <v>45.569299999999998</v>
      </c>
      <c r="F277" s="1">
        <v>168689</v>
      </c>
      <c r="G277" s="1">
        <v>97.900999999999996</v>
      </c>
      <c r="H277" s="1">
        <v>4125364</v>
      </c>
      <c r="I277" s="1">
        <v>799016</v>
      </c>
      <c r="J277" s="1" t="s">
        <v>128</v>
      </c>
      <c r="K277" s="1" t="s">
        <v>646</v>
      </c>
    </row>
    <row r="278" spans="1:11" x14ac:dyDescent="0.15">
      <c r="A278" s="1" t="s">
        <v>647</v>
      </c>
      <c r="B278" s="1">
        <v>4130.424</v>
      </c>
      <c r="C278" s="1">
        <v>37.772399999999998</v>
      </c>
      <c r="D278" s="1">
        <v>42.712899999999998</v>
      </c>
      <c r="E278" s="1">
        <v>43.098999999999997</v>
      </c>
      <c r="F278" s="1">
        <v>65364</v>
      </c>
      <c r="G278" s="1">
        <v>52.564</v>
      </c>
      <c r="H278" s="1">
        <v>4135288</v>
      </c>
      <c r="I278" s="1">
        <v>846308</v>
      </c>
      <c r="J278" s="1" t="s">
        <v>128</v>
      </c>
      <c r="K278" s="1" t="s">
        <v>648</v>
      </c>
    </row>
    <row r="279" spans="1:11" x14ac:dyDescent="0.15">
      <c r="A279" s="1" t="s">
        <v>649</v>
      </c>
      <c r="B279" s="1">
        <v>1979.0816</v>
      </c>
      <c r="C279" s="1">
        <v>35.950699999999998</v>
      </c>
      <c r="D279" s="1">
        <v>41.540700000000001</v>
      </c>
      <c r="E279" s="1">
        <v>41.407499999999999</v>
      </c>
      <c r="F279" s="1">
        <v>45451</v>
      </c>
      <c r="G279" s="1">
        <v>46.366</v>
      </c>
      <c r="H279" s="1">
        <v>4120428</v>
      </c>
      <c r="I279" s="1">
        <v>800264</v>
      </c>
      <c r="J279" s="1" t="s">
        <v>128</v>
      </c>
      <c r="K279" s="1" t="s">
        <v>650</v>
      </c>
    </row>
    <row r="280" spans="1:11" x14ac:dyDescent="0.15">
      <c r="A280" s="1" t="s">
        <v>651</v>
      </c>
      <c r="B280" s="1">
        <v>1019.4736</v>
      </c>
      <c r="C280" s="1">
        <v>33.99</v>
      </c>
      <c r="D280" s="1">
        <v>40.256799999999998</v>
      </c>
      <c r="E280" s="1">
        <v>39.433199999999999</v>
      </c>
      <c r="F280" s="1">
        <v>45149</v>
      </c>
      <c r="G280" s="1">
        <v>60.738</v>
      </c>
      <c r="H280" s="1">
        <v>4101924</v>
      </c>
      <c r="I280" s="1">
        <v>795724</v>
      </c>
      <c r="J280" s="1" t="s">
        <v>128</v>
      </c>
      <c r="K280" s="1" t="s">
        <v>652</v>
      </c>
    </row>
    <row r="281" spans="1:11" x14ac:dyDescent="0.15">
      <c r="A281" s="1" t="s">
        <v>653</v>
      </c>
      <c r="B281" s="1">
        <v>28642.616000000002</v>
      </c>
      <c r="C281" s="1">
        <v>38.223199999999999</v>
      </c>
      <c r="D281" s="1">
        <v>42.934100000000001</v>
      </c>
      <c r="E281" s="1">
        <v>45.383200000000002</v>
      </c>
      <c r="F281" s="1">
        <v>126996</v>
      </c>
      <c r="G281" s="1">
        <v>71.616</v>
      </c>
      <c r="H281" s="1">
        <v>4183108</v>
      </c>
      <c r="I281" s="1">
        <v>845860</v>
      </c>
      <c r="J281" s="1" t="s">
        <v>128</v>
      </c>
      <c r="K281" s="1" t="s">
        <v>654</v>
      </c>
    </row>
    <row r="282" spans="1:11" x14ac:dyDescent="0.15">
      <c r="A282" s="1" t="s">
        <v>655</v>
      </c>
      <c r="B282" s="1">
        <v>3625.1632</v>
      </c>
      <c r="C282" s="1">
        <v>35.918300000000002</v>
      </c>
      <c r="D282" s="1">
        <v>41.895800000000001</v>
      </c>
      <c r="E282" s="1">
        <v>44.389699999999998</v>
      </c>
      <c r="F282" s="1">
        <v>86102</v>
      </c>
      <c r="G282" s="1">
        <v>68.718999999999994</v>
      </c>
      <c r="H282" s="1">
        <v>4164964</v>
      </c>
      <c r="I282" s="1">
        <v>905520</v>
      </c>
      <c r="J282" s="1" t="s">
        <v>128</v>
      </c>
      <c r="K282" s="1" t="s">
        <v>656</v>
      </c>
    </row>
    <row r="283" spans="1:11" x14ac:dyDescent="0.15">
      <c r="A283" s="1" t="s">
        <v>657</v>
      </c>
      <c r="B283" s="1">
        <v>1234.6176</v>
      </c>
      <c r="C283" s="1">
        <v>34.375999999999998</v>
      </c>
      <c r="D283" s="1">
        <v>40.744999999999997</v>
      </c>
      <c r="E283" s="1">
        <v>43.192</v>
      </c>
      <c r="F283" s="1">
        <v>36429</v>
      </c>
      <c r="G283" s="1">
        <v>39.798999999999999</v>
      </c>
      <c r="H283" s="1">
        <v>4262920</v>
      </c>
      <c r="I283" s="1">
        <v>818028</v>
      </c>
      <c r="J283" s="1" t="s">
        <v>128</v>
      </c>
      <c r="K283" s="1" t="s">
        <v>658</v>
      </c>
    </row>
    <row r="284" spans="1:11" x14ac:dyDescent="0.15">
      <c r="A284" s="1" t="s">
        <v>659</v>
      </c>
      <c r="B284" s="1">
        <v>505.20319999999998</v>
      </c>
      <c r="C284" s="1">
        <v>32.664900000000003</v>
      </c>
      <c r="D284" s="1">
        <v>39.609200000000001</v>
      </c>
      <c r="E284" s="1">
        <v>42.149500000000003</v>
      </c>
      <c r="F284" s="1">
        <v>25592</v>
      </c>
      <c r="G284" s="1">
        <v>31.788</v>
      </c>
      <c r="H284" s="1">
        <v>4104808</v>
      </c>
      <c r="I284" s="1">
        <v>822048</v>
      </c>
      <c r="J284" s="1" t="s">
        <v>128</v>
      </c>
      <c r="K284" s="1" t="s">
        <v>660</v>
      </c>
    </row>
    <row r="285" spans="1:11" x14ac:dyDescent="0.15">
      <c r="A285" s="1" t="s">
        <v>661</v>
      </c>
      <c r="B285" s="1">
        <v>2278.9663999999998</v>
      </c>
      <c r="C285" s="1">
        <v>41.588299999999997</v>
      </c>
      <c r="D285" s="1">
        <v>43.842500000000001</v>
      </c>
      <c r="E285" s="1">
        <v>44.819600000000001</v>
      </c>
      <c r="F285" s="1">
        <v>18370</v>
      </c>
      <c r="G285" s="1">
        <v>13.753</v>
      </c>
      <c r="H285" s="1">
        <v>1597800</v>
      </c>
      <c r="I285" s="1">
        <v>471252</v>
      </c>
      <c r="J285" s="1" t="s">
        <v>128</v>
      </c>
      <c r="K285" s="1" t="s">
        <v>662</v>
      </c>
    </row>
    <row r="286" spans="1:11" x14ac:dyDescent="0.15">
      <c r="A286" s="1" t="s">
        <v>663</v>
      </c>
      <c r="B286" s="1">
        <v>1008.3056</v>
      </c>
      <c r="C286" s="1">
        <v>38.451900000000002</v>
      </c>
      <c r="D286" s="1">
        <v>41.375799999999998</v>
      </c>
      <c r="E286" s="1">
        <v>41.832700000000003</v>
      </c>
      <c r="F286" s="1">
        <v>13254</v>
      </c>
      <c r="G286" s="1">
        <v>10.802</v>
      </c>
      <c r="H286" s="1">
        <v>1591292</v>
      </c>
      <c r="I286" s="1">
        <v>465364</v>
      </c>
      <c r="J286" s="1" t="s">
        <v>128</v>
      </c>
      <c r="K286" s="1" t="s">
        <v>664</v>
      </c>
    </row>
    <row r="287" spans="1:11" x14ac:dyDescent="0.15">
      <c r="A287" s="1" t="s">
        <v>665</v>
      </c>
      <c r="B287" s="1">
        <v>497.66399999999999</v>
      </c>
      <c r="C287" s="1">
        <v>35.477200000000003</v>
      </c>
      <c r="D287" s="1">
        <v>39.591000000000001</v>
      </c>
      <c r="E287" s="1">
        <v>39.787100000000002</v>
      </c>
      <c r="F287" s="1">
        <v>10083</v>
      </c>
      <c r="G287" s="1">
        <v>8.8789999999999996</v>
      </c>
      <c r="H287" s="1">
        <v>1586820</v>
      </c>
      <c r="I287" s="1">
        <v>462380</v>
      </c>
      <c r="J287" s="1" t="s">
        <v>128</v>
      </c>
      <c r="K287" s="1" t="s">
        <v>361</v>
      </c>
    </row>
    <row r="288" spans="1:11" x14ac:dyDescent="0.15">
      <c r="A288" s="1" t="s">
        <v>666</v>
      </c>
      <c r="B288" s="1">
        <v>258.36320000000001</v>
      </c>
      <c r="C288" s="1">
        <v>32.880000000000003</v>
      </c>
      <c r="D288" s="1">
        <v>37.806600000000003</v>
      </c>
      <c r="E288" s="1">
        <v>37.645800000000001</v>
      </c>
      <c r="F288" s="1">
        <v>7248</v>
      </c>
      <c r="G288" s="1">
        <v>6.8049999999999997</v>
      </c>
      <c r="H288" s="1">
        <v>1583632</v>
      </c>
      <c r="I288" s="1">
        <v>458072</v>
      </c>
      <c r="J288" s="1" t="s">
        <v>128</v>
      </c>
      <c r="K288" s="1" t="s">
        <v>667</v>
      </c>
    </row>
    <row r="289" spans="1:11" x14ac:dyDescent="0.15">
      <c r="A289" s="1" t="s">
        <v>668</v>
      </c>
      <c r="B289" s="1">
        <v>2874.8944000000001</v>
      </c>
      <c r="C289" s="1">
        <v>40.086399999999998</v>
      </c>
      <c r="D289" s="1">
        <v>43.456499999999998</v>
      </c>
      <c r="E289" s="1">
        <v>44.528700000000001</v>
      </c>
      <c r="F289" s="1">
        <v>21756</v>
      </c>
      <c r="G289" s="1">
        <v>16.286999999999999</v>
      </c>
      <c r="H289" s="1">
        <v>1596700</v>
      </c>
      <c r="I289" s="1">
        <v>486328</v>
      </c>
      <c r="J289" s="1" t="s">
        <v>128</v>
      </c>
      <c r="K289" s="1" t="s">
        <v>669</v>
      </c>
    </row>
    <row r="290" spans="1:11" x14ac:dyDescent="0.15">
      <c r="A290" s="1" t="s">
        <v>670</v>
      </c>
      <c r="B290" s="1">
        <v>1168.2416000000001</v>
      </c>
      <c r="C290" s="1">
        <v>37.190899999999999</v>
      </c>
      <c r="D290" s="1">
        <v>41.389299999999999</v>
      </c>
      <c r="E290" s="1">
        <v>41.814599999999999</v>
      </c>
      <c r="F290" s="1">
        <v>14676</v>
      </c>
      <c r="G290" s="1">
        <v>11.984999999999999</v>
      </c>
      <c r="H290" s="1">
        <v>1592992</v>
      </c>
      <c r="I290" s="1">
        <v>476772</v>
      </c>
      <c r="J290" s="1" t="s">
        <v>128</v>
      </c>
      <c r="K290" s="1" t="s">
        <v>671</v>
      </c>
    </row>
    <row r="291" spans="1:11" x14ac:dyDescent="0.15">
      <c r="A291" s="1" t="s">
        <v>672</v>
      </c>
      <c r="B291" s="1">
        <v>557.14880000000005</v>
      </c>
      <c r="C291" s="1">
        <v>34.385300000000001</v>
      </c>
      <c r="D291" s="1">
        <v>39.6312</v>
      </c>
      <c r="E291" s="1">
        <v>39.877000000000002</v>
      </c>
      <c r="F291" s="1">
        <v>14570</v>
      </c>
      <c r="G291" s="1">
        <v>12.179</v>
      </c>
      <c r="H291" s="1">
        <v>1589804</v>
      </c>
      <c r="I291" s="1">
        <v>474188</v>
      </c>
      <c r="J291" s="1" t="s">
        <v>128</v>
      </c>
      <c r="K291" s="1" t="s">
        <v>673</v>
      </c>
    </row>
    <row r="292" spans="1:11" x14ac:dyDescent="0.15">
      <c r="A292" s="1" t="s">
        <v>674</v>
      </c>
      <c r="B292" s="1">
        <v>285.64479999999998</v>
      </c>
      <c r="C292" s="1">
        <v>31.704799999999999</v>
      </c>
      <c r="D292" s="1">
        <v>38.203899999999997</v>
      </c>
      <c r="E292" s="1">
        <v>38.149000000000001</v>
      </c>
      <c r="F292" s="1">
        <v>7850</v>
      </c>
      <c r="G292" s="1">
        <v>6.5789999999999997</v>
      </c>
      <c r="H292" s="1">
        <v>1588120</v>
      </c>
      <c r="I292" s="1">
        <v>470260</v>
      </c>
      <c r="J292" s="1" t="s">
        <v>128</v>
      </c>
      <c r="K292" s="1" t="s">
        <v>675</v>
      </c>
    </row>
    <row r="293" spans="1:11" x14ac:dyDescent="0.15">
      <c r="A293" s="1" t="s">
        <v>676</v>
      </c>
      <c r="B293" s="1">
        <v>6341.8095999999996</v>
      </c>
      <c r="C293" s="1">
        <v>38.483800000000002</v>
      </c>
      <c r="D293" s="1">
        <v>41.054099999999998</v>
      </c>
      <c r="E293" s="1">
        <v>41.755499999999998</v>
      </c>
      <c r="F293" s="1">
        <v>35855</v>
      </c>
      <c r="G293" s="1">
        <v>28.125</v>
      </c>
      <c r="H293" s="1">
        <v>1605020</v>
      </c>
      <c r="I293" s="1">
        <v>481748</v>
      </c>
      <c r="J293" s="1" t="s">
        <v>128</v>
      </c>
      <c r="K293" s="1" t="s">
        <v>677</v>
      </c>
    </row>
    <row r="294" spans="1:11" x14ac:dyDescent="0.15">
      <c r="A294" s="1" t="s">
        <v>678</v>
      </c>
      <c r="B294" s="1">
        <v>2575.0336000000002</v>
      </c>
      <c r="C294" s="1">
        <v>34.525100000000002</v>
      </c>
      <c r="D294" s="1">
        <v>38.201700000000002</v>
      </c>
      <c r="E294" s="1">
        <v>38.694800000000001</v>
      </c>
      <c r="F294" s="1">
        <v>19429</v>
      </c>
      <c r="G294" s="1">
        <v>18.608000000000001</v>
      </c>
      <c r="H294" s="1">
        <v>1601704</v>
      </c>
      <c r="I294" s="1">
        <v>473796</v>
      </c>
      <c r="J294" s="1" t="s">
        <v>128</v>
      </c>
      <c r="K294" s="1" t="s">
        <v>679</v>
      </c>
    </row>
    <row r="295" spans="1:11" x14ac:dyDescent="0.15">
      <c r="A295" s="1" t="s">
        <v>680</v>
      </c>
      <c r="B295" s="1">
        <v>1156.0591999999999</v>
      </c>
      <c r="C295" s="1">
        <v>31.13</v>
      </c>
      <c r="D295" s="1">
        <v>36.29</v>
      </c>
      <c r="E295" s="1">
        <v>36.6843</v>
      </c>
      <c r="F295" s="1">
        <v>19510</v>
      </c>
      <c r="G295" s="1">
        <v>18.645</v>
      </c>
      <c r="H295" s="1">
        <v>1597360</v>
      </c>
      <c r="I295" s="1">
        <v>467596</v>
      </c>
      <c r="J295" s="1" t="s">
        <v>128</v>
      </c>
      <c r="K295" s="1" t="s">
        <v>681</v>
      </c>
    </row>
    <row r="296" spans="1:11" x14ac:dyDescent="0.15">
      <c r="A296" s="1" t="s">
        <v>682</v>
      </c>
      <c r="B296" s="1">
        <v>527.60799999999995</v>
      </c>
      <c r="C296" s="1">
        <v>28.168299999999999</v>
      </c>
      <c r="D296" s="1">
        <v>34.851700000000001</v>
      </c>
      <c r="E296" s="1">
        <v>35.0471</v>
      </c>
      <c r="F296" s="1">
        <v>10184</v>
      </c>
      <c r="G296" s="1">
        <v>10.569000000000001</v>
      </c>
      <c r="H296" s="1">
        <v>1592820</v>
      </c>
      <c r="I296" s="1">
        <v>460548</v>
      </c>
      <c r="J296" s="1" t="s">
        <v>128</v>
      </c>
      <c r="K296" s="1" t="s">
        <v>683</v>
      </c>
    </row>
    <row r="297" spans="1:11" x14ac:dyDescent="0.15">
      <c r="A297" s="1" t="s">
        <v>684</v>
      </c>
      <c r="B297" s="1">
        <v>5398.0303999999996</v>
      </c>
      <c r="C297" s="1">
        <v>39.3018</v>
      </c>
      <c r="D297" s="1">
        <v>40.358699999999999</v>
      </c>
      <c r="E297" s="1">
        <v>42.006799999999998</v>
      </c>
      <c r="F297" s="1">
        <v>27467</v>
      </c>
      <c r="G297" s="1">
        <v>16.413</v>
      </c>
      <c r="H297" s="1">
        <v>1598532</v>
      </c>
      <c r="I297" s="1">
        <v>437244</v>
      </c>
      <c r="J297" s="1" t="s">
        <v>128</v>
      </c>
      <c r="K297" s="1" t="s">
        <v>685</v>
      </c>
    </row>
    <row r="298" spans="1:11" x14ac:dyDescent="0.15">
      <c r="A298" s="1" t="s">
        <v>686</v>
      </c>
      <c r="B298" s="1">
        <v>1706.0992000000001</v>
      </c>
      <c r="C298" s="1">
        <v>34.809699999999999</v>
      </c>
      <c r="D298" s="1">
        <v>37.453400000000002</v>
      </c>
      <c r="E298" s="1">
        <v>39.514800000000001</v>
      </c>
      <c r="F298" s="1">
        <v>17873</v>
      </c>
      <c r="G298" s="1">
        <v>13.095000000000001</v>
      </c>
      <c r="H298" s="1">
        <v>1593884</v>
      </c>
      <c r="I298" s="1">
        <v>436468</v>
      </c>
      <c r="J298" s="1" t="s">
        <v>128</v>
      </c>
      <c r="K298" s="1" t="s">
        <v>687</v>
      </c>
    </row>
    <row r="299" spans="1:11" x14ac:dyDescent="0.15">
      <c r="A299" s="1" t="s">
        <v>688</v>
      </c>
      <c r="B299" s="1">
        <v>714.98400000000004</v>
      </c>
      <c r="C299" s="1">
        <v>31.514800000000001</v>
      </c>
      <c r="D299" s="1">
        <v>36.094499999999996</v>
      </c>
      <c r="E299" s="1">
        <v>38.138399999999997</v>
      </c>
      <c r="F299" s="1">
        <v>12992</v>
      </c>
      <c r="G299" s="1">
        <v>10.428000000000001</v>
      </c>
      <c r="H299" s="1">
        <v>1589848</v>
      </c>
      <c r="I299" s="1">
        <v>429388</v>
      </c>
      <c r="J299" s="1" t="s">
        <v>128</v>
      </c>
      <c r="K299" s="1" t="s">
        <v>689</v>
      </c>
    </row>
    <row r="300" spans="1:11" x14ac:dyDescent="0.15">
      <c r="A300" s="1" t="s">
        <v>690</v>
      </c>
      <c r="B300" s="1">
        <v>312.16800000000001</v>
      </c>
      <c r="C300" s="1">
        <v>28.7028</v>
      </c>
      <c r="D300" s="1">
        <v>35.002699999999997</v>
      </c>
      <c r="E300" s="1">
        <v>36.611499999999999</v>
      </c>
      <c r="F300" s="1">
        <v>6728</v>
      </c>
      <c r="G300" s="1">
        <v>5.82</v>
      </c>
      <c r="H300" s="1">
        <v>1587376</v>
      </c>
      <c r="I300" s="1">
        <v>426800</v>
      </c>
      <c r="J300" s="1" t="s">
        <v>128</v>
      </c>
      <c r="K300" s="1" t="s">
        <v>691</v>
      </c>
    </row>
    <row r="301" spans="1:11" x14ac:dyDescent="0.15">
      <c r="A301" s="1" t="s">
        <v>692</v>
      </c>
      <c r="B301" s="1">
        <v>1060.0224000000001</v>
      </c>
      <c r="C301" s="1">
        <v>41.213799999999999</v>
      </c>
      <c r="D301" s="1">
        <v>43.860799999999998</v>
      </c>
      <c r="E301" s="1">
        <v>43.297600000000003</v>
      </c>
      <c r="F301" s="1">
        <v>6090</v>
      </c>
      <c r="G301" s="1">
        <v>5.0140000000000002</v>
      </c>
      <c r="H301" s="1">
        <v>1130372</v>
      </c>
      <c r="I301" s="1">
        <v>380436</v>
      </c>
      <c r="J301" s="1" t="s">
        <v>128</v>
      </c>
      <c r="K301" s="1" t="s">
        <v>693</v>
      </c>
    </row>
    <row r="302" spans="1:11" x14ac:dyDescent="0.15">
      <c r="A302" s="1" t="s">
        <v>694</v>
      </c>
      <c r="B302" s="1">
        <v>473.61919999999998</v>
      </c>
      <c r="C302" s="1">
        <v>37.083599999999997</v>
      </c>
      <c r="D302" s="1">
        <v>40.775799999999997</v>
      </c>
      <c r="E302" s="1">
        <v>39.694699999999997</v>
      </c>
      <c r="F302" s="1">
        <v>3786</v>
      </c>
      <c r="G302" s="1">
        <v>3.0990000000000002</v>
      </c>
      <c r="H302" s="1">
        <v>1129288</v>
      </c>
      <c r="I302" s="1">
        <v>379052</v>
      </c>
      <c r="J302" s="1" t="s">
        <v>128</v>
      </c>
      <c r="K302" s="1" t="s">
        <v>695</v>
      </c>
    </row>
    <row r="303" spans="1:11" x14ac:dyDescent="0.15">
      <c r="A303" s="1" t="s">
        <v>696</v>
      </c>
      <c r="B303" s="1">
        <v>226.62719999999999</v>
      </c>
      <c r="C303" s="1">
        <v>33.659399999999998</v>
      </c>
      <c r="D303" s="1">
        <v>38.6905</v>
      </c>
      <c r="E303" s="1">
        <v>37.481999999999999</v>
      </c>
      <c r="F303" s="1">
        <v>3785</v>
      </c>
      <c r="G303" s="1">
        <v>3.2480000000000002</v>
      </c>
      <c r="H303" s="1">
        <v>1128508</v>
      </c>
      <c r="I303" s="1">
        <v>378024</v>
      </c>
      <c r="J303" s="1" t="s">
        <v>128</v>
      </c>
      <c r="K303" s="1" t="s">
        <v>697</v>
      </c>
    </row>
    <row r="304" spans="1:11" x14ac:dyDescent="0.15">
      <c r="A304" s="1" t="s">
        <v>698</v>
      </c>
      <c r="B304" s="1">
        <v>115.0016</v>
      </c>
      <c r="C304" s="1">
        <v>30.801500000000001</v>
      </c>
      <c r="D304" s="1">
        <v>37.248199999999997</v>
      </c>
      <c r="E304" s="1">
        <v>35.654400000000003</v>
      </c>
      <c r="F304" s="1">
        <v>2151</v>
      </c>
      <c r="G304" s="1">
        <v>1.786</v>
      </c>
      <c r="H304" s="1">
        <v>1127580</v>
      </c>
      <c r="I304" s="1">
        <v>377188</v>
      </c>
      <c r="J304" s="1" t="s">
        <v>128</v>
      </c>
      <c r="K304" s="1" t="s">
        <v>699</v>
      </c>
    </row>
    <row r="305" spans="1:11" x14ac:dyDescent="0.15">
      <c r="A305" s="1" t="s">
        <v>700</v>
      </c>
      <c r="B305" s="1">
        <v>1313.7392</v>
      </c>
      <c r="C305" s="1">
        <v>39.041600000000003</v>
      </c>
      <c r="D305" s="1">
        <v>43.576999999999998</v>
      </c>
      <c r="E305" s="1">
        <v>44.5946</v>
      </c>
      <c r="F305" s="1">
        <v>8598</v>
      </c>
      <c r="G305" s="1">
        <v>9.3209999999999997</v>
      </c>
      <c r="H305" s="1">
        <v>1138100</v>
      </c>
      <c r="I305" s="1">
        <v>393800</v>
      </c>
      <c r="J305" s="1" t="s">
        <v>128</v>
      </c>
      <c r="K305" s="1" t="s">
        <v>701</v>
      </c>
    </row>
    <row r="306" spans="1:11" x14ac:dyDescent="0.15">
      <c r="A306" s="1" t="s">
        <v>702</v>
      </c>
      <c r="B306" s="1">
        <v>447.91359999999997</v>
      </c>
      <c r="C306" s="1">
        <v>35.260899999999999</v>
      </c>
      <c r="D306" s="1">
        <v>41.538499999999999</v>
      </c>
      <c r="E306" s="1">
        <v>42.363399999999999</v>
      </c>
      <c r="F306" s="1">
        <v>4328</v>
      </c>
      <c r="G306" s="1">
        <v>5.7569999999999997</v>
      </c>
      <c r="H306" s="1">
        <v>1137284</v>
      </c>
      <c r="I306" s="1">
        <v>392492</v>
      </c>
      <c r="J306" s="1" t="s">
        <v>128</v>
      </c>
      <c r="K306" s="1" t="s">
        <v>703</v>
      </c>
    </row>
    <row r="307" spans="1:11" x14ac:dyDescent="0.15">
      <c r="A307" s="1" t="s">
        <v>704</v>
      </c>
      <c r="B307" s="1">
        <v>191.8544</v>
      </c>
      <c r="C307" s="1">
        <v>31.990300000000001</v>
      </c>
      <c r="D307" s="1">
        <v>39.438800000000001</v>
      </c>
      <c r="E307" s="1">
        <v>40.158000000000001</v>
      </c>
      <c r="F307" s="1">
        <v>3787</v>
      </c>
      <c r="G307" s="1">
        <v>5.819</v>
      </c>
      <c r="H307" s="1">
        <v>1132832</v>
      </c>
      <c r="I307" s="1">
        <v>391872</v>
      </c>
      <c r="J307" s="1" t="s">
        <v>128</v>
      </c>
      <c r="K307" s="1" t="s">
        <v>705</v>
      </c>
    </row>
    <row r="308" spans="1:11" x14ac:dyDescent="0.15">
      <c r="A308" s="1" t="s">
        <v>706</v>
      </c>
      <c r="B308" s="1">
        <v>93.980800000000002</v>
      </c>
      <c r="C308" s="1">
        <v>29.089500000000001</v>
      </c>
      <c r="D308" s="1">
        <v>38.070099999999996</v>
      </c>
      <c r="E308" s="1">
        <v>38.421599999999998</v>
      </c>
      <c r="F308" s="1">
        <v>1842</v>
      </c>
      <c r="G308" s="1">
        <v>3.4119999999999999</v>
      </c>
      <c r="H308" s="1">
        <v>1135360</v>
      </c>
      <c r="I308" s="1">
        <v>391048</v>
      </c>
      <c r="J308" s="1" t="s">
        <v>128</v>
      </c>
      <c r="K308" s="1" t="s">
        <v>707</v>
      </c>
    </row>
    <row r="309" spans="1:11" x14ac:dyDescent="0.15">
      <c r="A309" s="1" t="s">
        <v>708</v>
      </c>
      <c r="B309" s="1">
        <v>1265.1568</v>
      </c>
      <c r="C309" s="1">
        <v>38.413699999999999</v>
      </c>
      <c r="D309" s="1">
        <v>40.975900000000003</v>
      </c>
      <c r="E309" s="1">
        <v>41.943800000000003</v>
      </c>
      <c r="F309" s="1">
        <v>5689</v>
      </c>
      <c r="G309" s="1">
        <v>4.4989999999999997</v>
      </c>
      <c r="H309" s="1">
        <v>1131752</v>
      </c>
      <c r="I309" s="1">
        <v>380576</v>
      </c>
      <c r="J309" s="1" t="s">
        <v>128</v>
      </c>
      <c r="K309" s="1" t="s">
        <v>709</v>
      </c>
    </row>
    <row r="310" spans="1:11" x14ac:dyDescent="0.15">
      <c r="A310" s="1" t="s">
        <v>710</v>
      </c>
      <c r="B310" s="1">
        <v>499.8032</v>
      </c>
      <c r="C310" s="1">
        <v>34.720500000000001</v>
      </c>
      <c r="D310" s="1">
        <v>38.085999999999999</v>
      </c>
      <c r="E310" s="1">
        <v>38.8611</v>
      </c>
      <c r="F310" s="1">
        <v>5715</v>
      </c>
      <c r="G310" s="1">
        <v>4.5490000000000004</v>
      </c>
      <c r="H310" s="1">
        <v>1131516</v>
      </c>
      <c r="I310" s="1">
        <v>379712</v>
      </c>
      <c r="J310" s="1" t="s">
        <v>128</v>
      </c>
      <c r="K310" s="1" t="s">
        <v>711</v>
      </c>
    </row>
    <row r="311" spans="1:11" x14ac:dyDescent="0.15">
      <c r="A311" s="1" t="s">
        <v>712</v>
      </c>
      <c r="B311" s="1">
        <v>227.58240000000001</v>
      </c>
      <c r="C311" s="1">
        <v>31.5746</v>
      </c>
      <c r="D311" s="1">
        <v>35.999499999999998</v>
      </c>
      <c r="E311" s="1">
        <v>36.665399999999998</v>
      </c>
      <c r="F311" s="1">
        <v>2969</v>
      </c>
      <c r="G311" s="1">
        <v>2.2829999999999999</v>
      </c>
      <c r="H311" s="1">
        <v>1130528</v>
      </c>
      <c r="I311" s="1">
        <v>379068</v>
      </c>
      <c r="J311" s="1" t="s">
        <v>128</v>
      </c>
      <c r="K311" s="1" t="s">
        <v>713</v>
      </c>
    </row>
    <row r="312" spans="1:11" x14ac:dyDescent="0.15">
      <c r="A312" s="1" t="s">
        <v>714</v>
      </c>
      <c r="B312" s="1">
        <v>105.46720000000001</v>
      </c>
      <c r="C312" s="1">
        <v>28.816299999999998</v>
      </c>
      <c r="D312" s="1">
        <v>34.699399999999997</v>
      </c>
      <c r="E312" s="1">
        <v>35.283799999999999</v>
      </c>
      <c r="F312" s="1">
        <v>2158</v>
      </c>
      <c r="G312" s="1">
        <v>1.4590000000000001</v>
      </c>
      <c r="H312" s="1">
        <v>1128892</v>
      </c>
      <c r="I312" s="1">
        <v>378484</v>
      </c>
      <c r="J312" s="1" t="s">
        <v>128</v>
      </c>
      <c r="K312" s="1" t="s">
        <v>715</v>
      </c>
    </row>
    <row r="313" spans="1:11" x14ac:dyDescent="0.15">
      <c r="A313" s="1" t="s">
        <v>716</v>
      </c>
      <c r="B313" s="1">
        <v>947.06079999999997</v>
      </c>
      <c r="C313" s="1">
        <v>39.105800000000002</v>
      </c>
      <c r="D313" s="1">
        <v>40.3902</v>
      </c>
      <c r="E313" s="1">
        <v>41.744399999999999</v>
      </c>
      <c r="F313" s="1">
        <v>4330</v>
      </c>
      <c r="G313" s="1">
        <v>3.0990000000000002</v>
      </c>
      <c r="H313" s="1">
        <v>1130780</v>
      </c>
      <c r="I313" s="1">
        <v>353312</v>
      </c>
      <c r="J313" s="1" t="s">
        <v>128</v>
      </c>
      <c r="K313" s="1" t="s">
        <v>717</v>
      </c>
    </row>
    <row r="314" spans="1:11" x14ac:dyDescent="0.15">
      <c r="A314" s="1" t="s">
        <v>718</v>
      </c>
      <c r="B314" s="1">
        <v>407.6848</v>
      </c>
      <c r="C314" s="1">
        <v>34.629199999999997</v>
      </c>
      <c r="D314" s="1">
        <v>37.617699999999999</v>
      </c>
      <c r="E314" s="1">
        <v>38.697699999999998</v>
      </c>
      <c r="F314" s="1">
        <v>3202</v>
      </c>
      <c r="G314" s="1">
        <v>2.411</v>
      </c>
      <c r="H314" s="1">
        <v>1129112</v>
      </c>
      <c r="I314" s="1">
        <v>352756</v>
      </c>
      <c r="J314" s="1" t="s">
        <v>128</v>
      </c>
      <c r="K314" s="1" t="s">
        <v>719</v>
      </c>
    </row>
    <row r="315" spans="1:11" x14ac:dyDescent="0.15">
      <c r="A315" s="1" t="s">
        <v>720</v>
      </c>
      <c r="B315" s="1">
        <v>184.28</v>
      </c>
      <c r="C315" s="1">
        <v>31.0291</v>
      </c>
      <c r="D315" s="1">
        <v>36.001800000000003</v>
      </c>
      <c r="E315" s="1">
        <v>36.86</v>
      </c>
      <c r="F315" s="1">
        <v>3219</v>
      </c>
      <c r="G315" s="1">
        <v>2.58</v>
      </c>
      <c r="H315" s="1">
        <v>1129280</v>
      </c>
      <c r="I315" s="1">
        <v>352632</v>
      </c>
      <c r="J315" s="1" t="s">
        <v>128</v>
      </c>
      <c r="K315" s="1" t="s">
        <v>721</v>
      </c>
    </row>
    <row r="316" spans="1:11" x14ac:dyDescent="0.15">
      <c r="A316" s="1" t="s">
        <v>722</v>
      </c>
      <c r="B316" s="1">
        <v>87.915199999999999</v>
      </c>
      <c r="C316" s="1">
        <v>28.490500000000001</v>
      </c>
      <c r="D316" s="1">
        <v>34.536099999999998</v>
      </c>
      <c r="E316" s="1">
        <v>35.006300000000003</v>
      </c>
      <c r="F316" s="1">
        <v>1670</v>
      </c>
      <c r="G316" s="1">
        <v>1.498</v>
      </c>
      <c r="H316" s="1">
        <v>1128440</v>
      </c>
      <c r="I316" s="1">
        <v>350320</v>
      </c>
      <c r="J316" s="1" t="s">
        <v>128</v>
      </c>
      <c r="K316" s="1" t="s">
        <v>723</v>
      </c>
    </row>
    <row r="317" spans="1:11" x14ac:dyDescent="0.15">
      <c r="A317" s="1" t="s">
        <v>724</v>
      </c>
      <c r="B317" s="1">
        <v>1685.5504000000001</v>
      </c>
      <c r="C317" s="1">
        <v>42.9908</v>
      </c>
      <c r="D317" s="1">
        <v>47.223500000000001</v>
      </c>
      <c r="E317" s="1">
        <v>48.460999999999999</v>
      </c>
      <c r="F317" s="1">
        <v>21713</v>
      </c>
      <c r="G317" s="1">
        <v>20.452000000000002</v>
      </c>
      <c r="H317" s="1">
        <v>2321980</v>
      </c>
      <c r="I317" s="1">
        <v>567748</v>
      </c>
      <c r="J317" s="1" t="s">
        <v>128</v>
      </c>
      <c r="K317" s="1" t="s">
        <v>725</v>
      </c>
    </row>
    <row r="318" spans="1:11" x14ac:dyDescent="0.15">
      <c r="A318" s="1" t="s">
        <v>726</v>
      </c>
      <c r="B318" s="1">
        <v>664.92960000000005</v>
      </c>
      <c r="C318" s="1">
        <v>40.880200000000002</v>
      </c>
      <c r="D318" s="1">
        <v>45.518000000000001</v>
      </c>
      <c r="E318" s="1">
        <v>46.54</v>
      </c>
      <c r="F318" s="1">
        <v>14283</v>
      </c>
      <c r="G318" s="1">
        <v>13.569000000000001</v>
      </c>
      <c r="H318" s="1">
        <v>2310592</v>
      </c>
      <c r="I318" s="1">
        <v>562016</v>
      </c>
      <c r="J318" s="1" t="s">
        <v>128</v>
      </c>
      <c r="K318" s="1" t="s">
        <v>727</v>
      </c>
    </row>
    <row r="319" spans="1:11" x14ac:dyDescent="0.15">
      <c r="A319" s="1" t="s">
        <v>728</v>
      </c>
      <c r="B319" s="1">
        <v>337.30880000000002</v>
      </c>
      <c r="C319" s="1">
        <v>38.473100000000002</v>
      </c>
      <c r="D319" s="1">
        <v>43.608499999999999</v>
      </c>
      <c r="E319" s="1">
        <v>44.427999999999997</v>
      </c>
      <c r="F319" s="1">
        <v>11424</v>
      </c>
      <c r="G319" s="1">
        <v>9.3469999999999995</v>
      </c>
      <c r="H319" s="1">
        <v>2307092</v>
      </c>
      <c r="I319" s="1">
        <v>561672</v>
      </c>
      <c r="J319" s="1" t="s">
        <v>128</v>
      </c>
      <c r="K319" s="1" t="s">
        <v>729</v>
      </c>
    </row>
    <row r="320" spans="1:11" x14ac:dyDescent="0.15">
      <c r="A320" s="1" t="s">
        <v>730</v>
      </c>
      <c r="B320" s="1">
        <v>184.61920000000001</v>
      </c>
      <c r="C320" s="1">
        <v>35.781100000000002</v>
      </c>
      <c r="D320" s="1">
        <v>41.954099999999997</v>
      </c>
      <c r="E320" s="1">
        <v>42.755000000000003</v>
      </c>
      <c r="F320" s="1">
        <v>9001</v>
      </c>
      <c r="G320" s="1">
        <v>6.59</v>
      </c>
      <c r="H320" s="1">
        <v>2307624</v>
      </c>
      <c r="I320" s="1">
        <v>555404</v>
      </c>
      <c r="J320" s="1" t="s">
        <v>128</v>
      </c>
      <c r="K320" s="1" t="s">
        <v>731</v>
      </c>
    </row>
    <row r="321" spans="1:11" x14ac:dyDescent="0.15">
      <c r="A321" s="1" t="s">
        <v>732</v>
      </c>
      <c r="B321" s="1">
        <v>1126.2976000000001</v>
      </c>
      <c r="C321" s="1">
        <v>43.224200000000003</v>
      </c>
      <c r="D321" s="1">
        <v>48.6858</v>
      </c>
      <c r="E321" s="1">
        <v>49.363999999999997</v>
      </c>
      <c r="F321" s="1">
        <v>22237</v>
      </c>
      <c r="G321" s="1">
        <v>17.512</v>
      </c>
      <c r="H321" s="1">
        <v>2307328</v>
      </c>
      <c r="I321" s="1">
        <v>556212</v>
      </c>
      <c r="J321" s="1" t="s">
        <v>128</v>
      </c>
      <c r="K321" s="1" t="s">
        <v>733</v>
      </c>
    </row>
    <row r="322" spans="1:11" x14ac:dyDescent="0.15">
      <c r="A322" s="1" t="s">
        <v>734</v>
      </c>
      <c r="B322" s="1">
        <v>344.38240000000002</v>
      </c>
      <c r="C322" s="1">
        <v>41.740699999999997</v>
      </c>
      <c r="D322" s="1">
        <v>47.466900000000003</v>
      </c>
      <c r="E322" s="1">
        <v>47.986499999999999</v>
      </c>
      <c r="F322" s="1">
        <v>13105</v>
      </c>
      <c r="G322" s="1">
        <v>11.128</v>
      </c>
      <c r="H322" s="1">
        <v>2306112</v>
      </c>
      <c r="I322" s="1">
        <v>552004</v>
      </c>
      <c r="J322" s="1" t="s">
        <v>128</v>
      </c>
      <c r="K322" s="1" t="s">
        <v>735</v>
      </c>
    </row>
    <row r="323" spans="1:11" x14ac:dyDescent="0.15">
      <c r="A323" s="1" t="s">
        <v>736</v>
      </c>
      <c r="B323" s="1">
        <v>160.38239999999999</v>
      </c>
      <c r="C323" s="1">
        <v>39.941699999999997</v>
      </c>
      <c r="D323" s="1">
        <v>45.783099999999997</v>
      </c>
      <c r="E323" s="1">
        <v>46.168199999999999</v>
      </c>
      <c r="F323" s="1">
        <v>9277</v>
      </c>
      <c r="G323" s="1">
        <v>7.1539999999999999</v>
      </c>
      <c r="H323" s="1">
        <v>2300832</v>
      </c>
      <c r="I323" s="1">
        <v>550172</v>
      </c>
      <c r="J323" s="1" t="s">
        <v>128</v>
      </c>
      <c r="K323" s="1" t="s">
        <v>737</v>
      </c>
    </row>
    <row r="324" spans="1:11" x14ac:dyDescent="0.15">
      <c r="A324" s="1" t="s">
        <v>738</v>
      </c>
      <c r="B324" s="1">
        <v>88.169600000000003</v>
      </c>
      <c r="C324" s="1">
        <v>37.816299999999998</v>
      </c>
      <c r="D324" s="1">
        <v>44.145000000000003</v>
      </c>
      <c r="E324" s="1">
        <v>44.551699999999997</v>
      </c>
      <c r="F324" s="1">
        <v>7236</v>
      </c>
      <c r="G324" s="1">
        <v>5.6449999999999996</v>
      </c>
      <c r="H324" s="1">
        <v>2300528</v>
      </c>
      <c r="I324" s="1">
        <v>547112</v>
      </c>
      <c r="J324" s="1" t="s">
        <v>128</v>
      </c>
      <c r="K324" s="1" t="s">
        <v>739</v>
      </c>
    </row>
    <row r="325" spans="1:11" x14ac:dyDescent="0.15">
      <c r="A325" s="1" t="s">
        <v>740</v>
      </c>
      <c r="B325" s="1">
        <v>1361.2064</v>
      </c>
      <c r="C325" s="1">
        <v>43.683999999999997</v>
      </c>
      <c r="D325" s="1">
        <v>47.958500000000001</v>
      </c>
      <c r="E325" s="1">
        <v>48.968899999999998</v>
      </c>
      <c r="F325" s="1">
        <v>25162</v>
      </c>
      <c r="G325" s="1">
        <v>19.099</v>
      </c>
      <c r="H325" s="1">
        <v>2309068</v>
      </c>
      <c r="I325" s="1">
        <v>571740</v>
      </c>
      <c r="J325" s="1" t="s">
        <v>128</v>
      </c>
      <c r="K325" s="1" t="s">
        <v>741</v>
      </c>
    </row>
    <row r="326" spans="1:11" x14ac:dyDescent="0.15">
      <c r="A326" s="1" t="s">
        <v>742</v>
      </c>
      <c r="B326" s="1">
        <v>497.35199999999998</v>
      </c>
      <c r="C326" s="1">
        <v>41.804699999999997</v>
      </c>
      <c r="D326" s="1">
        <v>46.464100000000002</v>
      </c>
      <c r="E326" s="1">
        <v>47.22</v>
      </c>
      <c r="F326" s="1">
        <v>15482</v>
      </c>
      <c r="G326" s="1">
        <v>14.577999999999999</v>
      </c>
      <c r="H326" s="1">
        <v>2312640</v>
      </c>
      <c r="I326" s="1">
        <v>557608</v>
      </c>
      <c r="J326" s="1" t="s">
        <v>128</v>
      </c>
      <c r="K326" s="1" t="s">
        <v>743</v>
      </c>
    </row>
    <row r="327" spans="1:11" x14ac:dyDescent="0.15">
      <c r="A327" s="1" t="s">
        <v>744</v>
      </c>
      <c r="B327" s="1">
        <v>231.72800000000001</v>
      </c>
      <c r="C327" s="1">
        <v>39.627200000000002</v>
      </c>
      <c r="D327" s="1">
        <v>44.738900000000001</v>
      </c>
      <c r="E327" s="1">
        <v>45.323799999999999</v>
      </c>
      <c r="F327" s="1">
        <v>10832</v>
      </c>
      <c r="G327" s="1">
        <v>10.571999999999999</v>
      </c>
      <c r="H327" s="1">
        <v>2304072</v>
      </c>
      <c r="I327" s="1">
        <v>555392</v>
      </c>
      <c r="J327" s="1" t="s">
        <v>128</v>
      </c>
      <c r="K327" s="1" t="s">
        <v>745</v>
      </c>
    </row>
    <row r="328" spans="1:11" x14ac:dyDescent="0.15">
      <c r="A328" s="1" t="s">
        <v>746</v>
      </c>
      <c r="B328" s="1">
        <v>123.4496</v>
      </c>
      <c r="C328" s="1">
        <v>37.213900000000002</v>
      </c>
      <c r="D328" s="1">
        <v>43.0396</v>
      </c>
      <c r="E328" s="1">
        <v>43.690199999999997</v>
      </c>
      <c r="F328" s="1">
        <v>8069</v>
      </c>
      <c r="G328" s="1">
        <v>7.2869999999999999</v>
      </c>
      <c r="H328" s="1">
        <v>2300224</v>
      </c>
      <c r="I328" s="1">
        <v>549908</v>
      </c>
      <c r="J328" s="1" t="s">
        <v>128</v>
      </c>
      <c r="K328" s="1" t="s">
        <v>747</v>
      </c>
    </row>
    <row r="329" spans="1:11" x14ac:dyDescent="0.15">
      <c r="A329" s="1" t="s">
        <v>748</v>
      </c>
      <c r="B329" s="1">
        <v>2211.1968000000002</v>
      </c>
      <c r="C329" s="1">
        <v>41.628300000000003</v>
      </c>
      <c r="D329" s="1">
        <v>43.826599999999999</v>
      </c>
      <c r="E329" s="1">
        <v>44.759</v>
      </c>
      <c r="F329" s="1">
        <v>30455</v>
      </c>
      <c r="G329" s="1">
        <v>15.08</v>
      </c>
      <c r="H329" s="1">
        <v>1702104</v>
      </c>
      <c r="I329" s="1">
        <v>479640</v>
      </c>
      <c r="J329" s="1" t="s">
        <v>128</v>
      </c>
      <c r="K329" s="1" t="s">
        <v>749</v>
      </c>
    </row>
    <row r="330" spans="1:11" x14ac:dyDescent="0.15">
      <c r="A330" s="1" t="s">
        <v>750</v>
      </c>
      <c r="B330" s="1">
        <v>984.25120000000004</v>
      </c>
      <c r="C330" s="1">
        <v>38.365699999999997</v>
      </c>
      <c r="D330" s="1">
        <v>41.207700000000003</v>
      </c>
      <c r="E330" s="1">
        <v>41.664400000000001</v>
      </c>
      <c r="F330" s="1">
        <v>16312</v>
      </c>
      <c r="G330" s="1">
        <v>10.374000000000001</v>
      </c>
      <c r="H330" s="1">
        <v>1697956</v>
      </c>
      <c r="I330" s="1">
        <v>468036</v>
      </c>
      <c r="J330" s="1" t="s">
        <v>128</v>
      </c>
      <c r="K330" s="1" t="s">
        <v>751</v>
      </c>
    </row>
    <row r="331" spans="1:11" x14ac:dyDescent="0.15">
      <c r="A331" s="1" t="s">
        <v>752</v>
      </c>
      <c r="B331" s="1">
        <v>494.25119999999998</v>
      </c>
      <c r="C331" s="1">
        <v>35.328099999999999</v>
      </c>
      <c r="D331" s="1">
        <v>39.227499999999999</v>
      </c>
      <c r="E331" s="1">
        <v>39.494399999999999</v>
      </c>
      <c r="F331" s="1">
        <v>15037</v>
      </c>
      <c r="G331" s="1">
        <v>10.731</v>
      </c>
      <c r="H331" s="1">
        <v>1693984</v>
      </c>
      <c r="I331" s="1">
        <v>461572</v>
      </c>
      <c r="J331" s="1" t="s">
        <v>128</v>
      </c>
      <c r="K331" s="1" t="s">
        <v>753</v>
      </c>
    </row>
    <row r="332" spans="1:11" x14ac:dyDescent="0.15">
      <c r="A332" s="1" t="s">
        <v>754</v>
      </c>
      <c r="B332" s="1">
        <v>260.18880000000001</v>
      </c>
      <c r="C332" s="1">
        <v>32.657299999999999</v>
      </c>
      <c r="D332" s="1">
        <v>37.327599999999997</v>
      </c>
      <c r="E332" s="1">
        <v>37.2761</v>
      </c>
      <c r="F332" s="1">
        <v>7938</v>
      </c>
      <c r="G332" s="1">
        <v>6.8639999999999999</v>
      </c>
      <c r="H332" s="1">
        <v>1695024</v>
      </c>
      <c r="I332" s="1">
        <v>459156</v>
      </c>
      <c r="J332" s="1" t="s">
        <v>128</v>
      </c>
      <c r="K332" s="1" t="s">
        <v>755</v>
      </c>
    </row>
    <row r="333" spans="1:11" x14ac:dyDescent="0.15">
      <c r="A333" s="1" t="s">
        <v>756</v>
      </c>
      <c r="B333" s="1">
        <v>12353.5888</v>
      </c>
      <c r="C333" s="1">
        <v>43.110999999999997</v>
      </c>
      <c r="D333" s="1">
        <v>44.304000000000002</v>
      </c>
      <c r="E333" s="1">
        <v>44.754800000000003</v>
      </c>
      <c r="F333" s="1">
        <v>99683</v>
      </c>
      <c r="G333" s="1">
        <v>67.233999999999995</v>
      </c>
      <c r="H333" s="1">
        <v>4105320</v>
      </c>
      <c r="I333" s="1">
        <v>874076</v>
      </c>
      <c r="J333" s="1" t="s">
        <v>128</v>
      </c>
      <c r="K333" s="1" t="s">
        <v>757</v>
      </c>
    </row>
    <row r="334" spans="1:11" x14ac:dyDescent="0.15">
      <c r="A334" s="1" t="s">
        <v>758</v>
      </c>
      <c r="B334" s="1">
        <v>4757.2575999999999</v>
      </c>
      <c r="C334" s="1">
        <v>39.4908</v>
      </c>
      <c r="D334" s="1">
        <v>41.291499999999999</v>
      </c>
      <c r="E334" s="1">
        <v>41.517899999999997</v>
      </c>
      <c r="F334" s="1">
        <v>64108</v>
      </c>
      <c r="G334" s="1">
        <v>49.366</v>
      </c>
      <c r="H334" s="1">
        <v>4036732</v>
      </c>
      <c r="I334" s="1">
        <v>863568</v>
      </c>
      <c r="J334" s="1" t="s">
        <v>128</v>
      </c>
      <c r="K334" s="1" t="s">
        <v>759</v>
      </c>
    </row>
    <row r="335" spans="1:11" x14ac:dyDescent="0.15">
      <c r="A335" s="1" t="s">
        <v>760</v>
      </c>
      <c r="B335" s="1">
        <v>2076.3535999999999</v>
      </c>
      <c r="C335" s="1">
        <v>36.409500000000001</v>
      </c>
      <c r="D335" s="1">
        <v>39.180399999999999</v>
      </c>
      <c r="E335" s="1">
        <v>39.284100000000002</v>
      </c>
      <c r="F335" s="1">
        <v>47110</v>
      </c>
      <c r="G335" s="1">
        <v>37.584000000000003</v>
      </c>
      <c r="H335" s="1">
        <v>4041956</v>
      </c>
      <c r="I335" s="1">
        <v>832560</v>
      </c>
      <c r="J335" s="1" t="s">
        <v>128</v>
      </c>
      <c r="K335" s="1" t="s">
        <v>761</v>
      </c>
    </row>
    <row r="336" spans="1:11" x14ac:dyDescent="0.15">
      <c r="A336" s="1" t="s">
        <v>762</v>
      </c>
      <c r="B336" s="1">
        <v>1002.0048</v>
      </c>
      <c r="C336" s="1">
        <v>33.710599999999999</v>
      </c>
      <c r="D336" s="1">
        <v>37.410600000000002</v>
      </c>
      <c r="E336" s="1">
        <v>37.369500000000002</v>
      </c>
      <c r="F336" s="1">
        <v>32254</v>
      </c>
      <c r="G336" s="1">
        <v>24.876000000000001</v>
      </c>
      <c r="H336" s="1">
        <v>4010456</v>
      </c>
      <c r="I336" s="1">
        <v>782564</v>
      </c>
      <c r="J336" s="1" t="s">
        <v>128</v>
      </c>
      <c r="K336" s="1" t="s">
        <v>763</v>
      </c>
    </row>
    <row r="337" spans="1:11" x14ac:dyDescent="0.15">
      <c r="A337" s="1" t="s">
        <v>764</v>
      </c>
      <c r="B337" s="1">
        <v>178.72479999999999</v>
      </c>
      <c r="C337" s="1">
        <v>49.05</v>
      </c>
      <c r="D337" s="1">
        <v>48.141800000000003</v>
      </c>
      <c r="E337" s="1">
        <v>48.329300000000003</v>
      </c>
      <c r="F337" s="1">
        <v>4115</v>
      </c>
      <c r="G337" s="1">
        <v>1.7709999999999999</v>
      </c>
      <c r="H337" s="1">
        <v>3387504</v>
      </c>
      <c r="I337" s="1">
        <v>528508</v>
      </c>
      <c r="J337" s="1" t="s">
        <v>128</v>
      </c>
      <c r="K337" s="1" t="s">
        <v>765</v>
      </c>
    </row>
    <row r="338" spans="1:11" x14ac:dyDescent="0.15">
      <c r="A338" s="1" t="s">
        <v>766</v>
      </c>
      <c r="B338" s="1">
        <v>135.43039999999999</v>
      </c>
      <c r="C338" s="1">
        <v>45.122599999999998</v>
      </c>
      <c r="D338" s="1">
        <v>45.749299999999998</v>
      </c>
      <c r="E338" s="1">
        <v>45.377899999999997</v>
      </c>
      <c r="F338" s="1">
        <v>3752</v>
      </c>
      <c r="G338" s="1">
        <v>1.536</v>
      </c>
      <c r="H338" s="1">
        <v>3382816</v>
      </c>
      <c r="I338" s="1">
        <v>523708</v>
      </c>
      <c r="J338" s="1" t="s">
        <v>128</v>
      </c>
      <c r="K338" s="1" t="s">
        <v>767</v>
      </c>
    </row>
    <row r="339" spans="1:11" x14ac:dyDescent="0.15">
      <c r="A339" s="1" t="s">
        <v>768</v>
      </c>
      <c r="B339" s="1">
        <v>106.79519999999999</v>
      </c>
      <c r="C339" s="1">
        <v>40.788800000000002</v>
      </c>
      <c r="D339" s="1">
        <v>43.371600000000001</v>
      </c>
      <c r="E339" s="1">
        <v>42.936700000000002</v>
      </c>
      <c r="F339" s="1">
        <v>3732</v>
      </c>
      <c r="G339" s="1">
        <v>1.5740000000000001</v>
      </c>
      <c r="H339" s="1">
        <v>3401768</v>
      </c>
      <c r="I339" s="1">
        <v>522508</v>
      </c>
      <c r="J339" s="1" t="s">
        <v>128</v>
      </c>
      <c r="K339" s="1" t="s">
        <v>769</v>
      </c>
    </row>
    <row r="340" spans="1:11" x14ac:dyDescent="0.15">
      <c r="A340" s="1" t="s">
        <v>770</v>
      </c>
      <c r="B340" s="1">
        <v>82.611199999999997</v>
      </c>
      <c r="C340" s="1">
        <v>35.981000000000002</v>
      </c>
      <c r="D340" s="1">
        <v>40.845500000000001</v>
      </c>
      <c r="E340" s="1">
        <v>40.534100000000002</v>
      </c>
      <c r="F340" s="1">
        <v>3592</v>
      </c>
      <c r="G340" s="1">
        <v>1.7030000000000001</v>
      </c>
      <c r="H340" s="1">
        <v>3395148</v>
      </c>
      <c r="I340" s="1">
        <v>533400</v>
      </c>
      <c r="J340" s="1" t="s">
        <v>128</v>
      </c>
      <c r="K340" s="1" t="s">
        <v>771</v>
      </c>
    </row>
    <row r="341" spans="1:11" x14ac:dyDescent="0.15">
      <c r="A341" s="1" t="s">
        <v>772</v>
      </c>
      <c r="B341" s="1">
        <v>395.28480000000002</v>
      </c>
      <c r="C341" s="1">
        <v>50.329000000000001</v>
      </c>
      <c r="D341" s="1">
        <v>52.434699999999999</v>
      </c>
      <c r="E341" s="1">
        <v>54.326900000000002</v>
      </c>
      <c r="F341" s="1">
        <v>5733</v>
      </c>
      <c r="G341" s="1">
        <v>5.2809999999999997</v>
      </c>
      <c r="H341" s="1">
        <v>3192292</v>
      </c>
      <c r="I341" s="1">
        <v>520008</v>
      </c>
      <c r="J341" s="1" t="s">
        <v>128</v>
      </c>
      <c r="K341" s="1" t="s">
        <v>773</v>
      </c>
    </row>
    <row r="342" spans="1:11" x14ac:dyDescent="0.15">
      <c r="A342" s="1" t="s">
        <v>774</v>
      </c>
      <c r="B342" s="1">
        <v>183.8048</v>
      </c>
      <c r="C342" s="1">
        <v>46.331600000000002</v>
      </c>
      <c r="D342" s="1">
        <v>49.447099999999999</v>
      </c>
      <c r="E342" s="1">
        <v>51.410899999999998</v>
      </c>
      <c r="F342" s="1">
        <v>4734</v>
      </c>
      <c r="G342" s="1">
        <v>4.9029999999999996</v>
      </c>
      <c r="H342" s="1">
        <v>3189612</v>
      </c>
      <c r="I342" s="1">
        <v>507184</v>
      </c>
      <c r="J342" s="1" t="s">
        <v>128</v>
      </c>
      <c r="K342" s="1" t="s">
        <v>775</v>
      </c>
    </row>
    <row r="343" spans="1:11" x14ac:dyDescent="0.15">
      <c r="A343" s="1" t="s">
        <v>776</v>
      </c>
      <c r="B343" s="1">
        <v>104.944</v>
      </c>
      <c r="C343" s="1">
        <v>43.016800000000003</v>
      </c>
      <c r="D343" s="1">
        <v>47.374899999999997</v>
      </c>
      <c r="E343" s="1">
        <v>49.384599999999999</v>
      </c>
      <c r="F343" s="1">
        <v>3739</v>
      </c>
      <c r="G343" s="1">
        <v>4.4790000000000001</v>
      </c>
      <c r="H343" s="1">
        <v>3187880</v>
      </c>
      <c r="I343" s="1">
        <v>513276</v>
      </c>
      <c r="J343" s="1" t="s">
        <v>128</v>
      </c>
      <c r="K343" s="1" t="s">
        <v>777</v>
      </c>
    </row>
    <row r="344" spans="1:11" x14ac:dyDescent="0.15">
      <c r="A344" s="1" t="s">
        <v>778</v>
      </c>
      <c r="B344" s="1">
        <v>69.289599999999993</v>
      </c>
      <c r="C344" s="1">
        <v>39.750999999999998</v>
      </c>
      <c r="D344" s="1">
        <v>44.914200000000001</v>
      </c>
      <c r="E344" s="1">
        <v>46.89</v>
      </c>
      <c r="F344" s="1">
        <v>2951</v>
      </c>
      <c r="G344" s="1">
        <v>4.5389999999999997</v>
      </c>
      <c r="H344" s="1">
        <v>3185996</v>
      </c>
      <c r="I344" s="1">
        <v>508856</v>
      </c>
      <c r="J344" s="1" t="s">
        <v>128</v>
      </c>
      <c r="K344" s="1" t="s">
        <v>779</v>
      </c>
    </row>
    <row r="345" spans="1:11" x14ac:dyDescent="0.15">
      <c r="A345" s="1" t="s">
        <v>780</v>
      </c>
      <c r="B345" s="1">
        <v>18694.441599999998</v>
      </c>
      <c r="C345" s="1">
        <v>45.7943</v>
      </c>
      <c r="D345" s="1">
        <v>44.9024</v>
      </c>
      <c r="E345" s="1">
        <v>45.080300000000001</v>
      </c>
      <c r="F345" s="1">
        <v>105685</v>
      </c>
      <c r="G345" s="1">
        <v>70.412999999999997</v>
      </c>
      <c r="H345" s="1">
        <v>5691320</v>
      </c>
      <c r="I345" s="1">
        <v>848732</v>
      </c>
      <c r="J345" s="1" t="s">
        <v>128</v>
      </c>
      <c r="K345" s="1" t="s">
        <v>781</v>
      </c>
    </row>
    <row r="346" spans="1:11" x14ac:dyDescent="0.15">
      <c r="A346" s="1" t="s">
        <v>782</v>
      </c>
      <c r="B346" s="1">
        <v>9601.7615999999998</v>
      </c>
      <c r="C346" s="1">
        <v>40.521799999999999</v>
      </c>
      <c r="D346" s="1">
        <v>40.762</v>
      </c>
      <c r="E346" s="1">
        <v>41.1218</v>
      </c>
      <c r="F346" s="1">
        <v>137841</v>
      </c>
      <c r="G346" s="1">
        <v>98.828000000000003</v>
      </c>
      <c r="H346" s="1">
        <v>5665436</v>
      </c>
      <c r="I346" s="1">
        <v>805656</v>
      </c>
      <c r="J346" s="1" t="s">
        <v>128</v>
      </c>
      <c r="K346" s="1" t="s">
        <v>783</v>
      </c>
    </row>
    <row r="347" spans="1:11" x14ac:dyDescent="0.15">
      <c r="A347" s="1" t="s">
        <v>784</v>
      </c>
      <c r="B347" s="1">
        <v>5714.7407999999996</v>
      </c>
      <c r="C347" s="1">
        <v>36.24</v>
      </c>
      <c r="D347" s="1">
        <v>38.424799999999998</v>
      </c>
      <c r="E347" s="1">
        <v>38.922600000000003</v>
      </c>
      <c r="F347" s="1">
        <v>75191</v>
      </c>
      <c r="G347" s="1">
        <v>59.677</v>
      </c>
      <c r="H347" s="1">
        <v>5639136</v>
      </c>
      <c r="I347" s="1">
        <v>854436</v>
      </c>
      <c r="J347" s="1" t="s">
        <v>128</v>
      </c>
      <c r="K347" s="1" t="s">
        <v>785</v>
      </c>
    </row>
    <row r="348" spans="1:11" x14ac:dyDescent="0.15">
      <c r="A348" s="1" t="s">
        <v>786</v>
      </c>
      <c r="B348" s="1">
        <v>3392.0223999999998</v>
      </c>
      <c r="C348" s="1">
        <v>32.328499999999998</v>
      </c>
      <c r="D348" s="1">
        <v>35.286999999999999</v>
      </c>
      <c r="E348" s="1">
        <v>35.944499999999998</v>
      </c>
      <c r="F348" s="1">
        <v>59641</v>
      </c>
      <c r="G348" s="1">
        <v>54.866</v>
      </c>
      <c r="H348" s="1">
        <v>5639008</v>
      </c>
      <c r="I348" s="1">
        <v>817292</v>
      </c>
      <c r="J348" s="1" t="s">
        <v>128</v>
      </c>
      <c r="K348" s="1" t="s">
        <v>787</v>
      </c>
    </row>
    <row r="349" spans="1:11" x14ac:dyDescent="0.15">
      <c r="A349" s="1" t="s">
        <v>788</v>
      </c>
      <c r="B349" s="1">
        <v>778.81759999999997</v>
      </c>
      <c r="C349" s="1">
        <v>54.436100000000003</v>
      </c>
      <c r="D349" s="1">
        <v>49.3812</v>
      </c>
      <c r="E349" s="1">
        <v>49.536900000000003</v>
      </c>
      <c r="F349" s="1">
        <v>19828</v>
      </c>
      <c r="G349" s="1">
        <v>26.007999999999999</v>
      </c>
      <c r="H349" s="1">
        <v>5606756</v>
      </c>
      <c r="I349" s="1">
        <v>836076</v>
      </c>
      <c r="J349" s="1" t="s">
        <v>128</v>
      </c>
      <c r="K349" s="1" t="s">
        <v>789</v>
      </c>
    </row>
    <row r="350" spans="1:11" x14ac:dyDescent="0.15">
      <c r="A350" s="1" t="s">
        <v>790</v>
      </c>
      <c r="B350" s="1">
        <v>635.07039999999995</v>
      </c>
      <c r="C350" s="1">
        <v>49.466700000000003</v>
      </c>
      <c r="D350" s="1">
        <v>46.436300000000003</v>
      </c>
      <c r="E350" s="1">
        <v>46.485999999999997</v>
      </c>
      <c r="F350" s="1">
        <v>26412</v>
      </c>
      <c r="G350" s="1">
        <v>30.675999999999998</v>
      </c>
      <c r="H350" s="1">
        <v>5615408</v>
      </c>
      <c r="I350" s="1">
        <v>845760</v>
      </c>
      <c r="J350" s="1" t="s">
        <v>128</v>
      </c>
      <c r="K350" s="1" t="s">
        <v>791</v>
      </c>
    </row>
    <row r="351" spans="1:11" x14ac:dyDescent="0.15">
      <c r="A351" s="1" t="s">
        <v>792</v>
      </c>
      <c r="B351" s="1">
        <v>598.60320000000002</v>
      </c>
      <c r="C351" s="1">
        <v>44.472200000000001</v>
      </c>
      <c r="D351" s="1">
        <v>43.865699999999997</v>
      </c>
      <c r="E351" s="1">
        <v>43.4773</v>
      </c>
      <c r="F351" s="1">
        <v>25347</v>
      </c>
      <c r="G351" s="1">
        <v>26.763999999999999</v>
      </c>
      <c r="H351" s="1">
        <v>5648644</v>
      </c>
      <c r="I351" s="1">
        <v>809740</v>
      </c>
      <c r="J351" s="1" t="s">
        <v>128</v>
      </c>
      <c r="K351" s="1" t="s">
        <v>793</v>
      </c>
    </row>
    <row r="352" spans="1:11" x14ac:dyDescent="0.15">
      <c r="A352" s="1" t="s">
        <v>794</v>
      </c>
      <c r="B352" s="1">
        <v>543.67840000000001</v>
      </c>
      <c r="C352" s="1">
        <v>38.675199999999997</v>
      </c>
      <c r="D352" s="1">
        <v>40.944699999999997</v>
      </c>
      <c r="E352" s="1">
        <v>40.713299999999997</v>
      </c>
      <c r="F352" s="1">
        <v>17247</v>
      </c>
      <c r="G352" s="1">
        <v>25.122</v>
      </c>
      <c r="H352" s="1">
        <v>5594644</v>
      </c>
      <c r="I352" s="1">
        <v>835972</v>
      </c>
      <c r="J352" s="1" t="s">
        <v>128</v>
      </c>
      <c r="K352" s="1" t="s">
        <v>795</v>
      </c>
    </row>
    <row r="353" spans="1:11" x14ac:dyDescent="0.15">
      <c r="A353" s="1" t="s">
        <v>796</v>
      </c>
      <c r="B353" s="1">
        <v>2831.2496000000001</v>
      </c>
      <c r="C353" s="1">
        <v>53.115200000000002</v>
      </c>
      <c r="D353" s="1">
        <v>50.947099999999999</v>
      </c>
      <c r="E353" s="1">
        <v>49.5869</v>
      </c>
      <c r="F353" s="1">
        <v>34252</v>
      </c>
      <c r="G353" s="1">
        <v>24.138999999999999</v>
      </c>
      <c r="H353" s="1">
        <v>5490988</v>
      </c>
      <c r="I353" s="1">
        <v>858016</v>
      </c>
      <c r="J353" s="1" t="s">
        <v>128</v>
      </c>
      <c r="K353" s="1" t="s">
        <v>797</v>
      </c>
    </row>
    <row r="354" spans="1:11" x14ac:dyDescent="0.15">
      <c r="A354" s="1" t="s">
        <v>798</v>
      </c>
      <c r="B354" s="1">
        <v>2085.5072</v>
      </c>
      <c r="C354" s="1">
        <v>47.873800000000003</v>
      </c>
      <c r="D354" s="1">
        <v>46.163400000000003</v>
      </c>
      <c r="E354" s="1">
        <v>44.011400000000002</v>
      </c>
      <c r="F354" s="1">
        <v>30682</v>
      </c>
      <c r="G354" s="1">
        <v>29.323</v>
      </c>
      <c r="H354" s="1">
        <v>5483412</v>
      </c>
      <c r="I354" s="1">
        <v>846756</v>
      </c>
      <c r="J354" s="1" t="s">
        <v>128</v>
      </c>
      <c r="K354" s="1" t="s">
        <v>799</v>
      </c>
    </row>
    <row r="355" spans="1:11" x14ac:dyDescent="0.15">
      <c r="A355" s="1" t="s">
        <v>800</v>
      </c>
      <c r="B355" s="1">
        <v>1601.8384000000001</v>
      </c>
      <c r="C355" s="1">
        <v>42.595399999999998</v>
      </c>
      <c r="D355" s="1">
        <v>42.981299999999997</v>
      </c>
      <c r="E355" s="1">
        <v>40.354100000000003</v>
      </c>
      <c r="F355" s="1">
        <v>30589</v>
      </c>
      <c r="G355" s="1">
        <v>33.368000000000002</v>
      </c>
      <c r="H355" s="1">
        <v>5467944</v>
      </c>
      <c r="I355" s="1">
        <v>838268</v>
      </c>
      <c r="J355" s="1" t="s">
        <v>128</v>
      </c>
      <c r="K355" s="1" t="s">
        <v>801</v>
      </c>
    </row>
    <row r="356" spans="1:11" x14ac:dyDescent="0.15">
      <c r="A356" s="1" t="s">
        <v>802</v>
      </c>
      <c r="B356" s="1">
        <v>1243.5008</v>
      </c>
      <c r="C356" s="1">
        <v>37.847200000000001</v>
      </c>
      <c r="D356" s="1">
        <v>39.622799999999998</v>
      </c>
      <c r="E356" s="1">
        <v>37.0366</v>
      </c>
      <c r="F356" s="1">
        <v>27901</v>
      </c>
      <c r="G356" s="1">
        <v>32.795999999999999</v>
      </c>
      <c r="H356" s="1">
        <v>5472980</v>
      </c>
      <c r="I356" s="1">
        <v>813300</v>
      </c>
      <c r="J356" s="1" t="s">
        <v>128</v>
      </c>
      <c r="K356" s="1" t="s">
        <v>803</v>
      </c>
    </row>
    <row r="357" spans="1:11" x14ac:dyDescent="0.15">
      <c r="A357" s="1" t="s">
        <v>804</v>
      </c>
      <c r="B357" s="1">
        <v>2136.1296000000002</v>
      </c>
      <c r="C357" s="1">
        <v>48.149799999999999</v>
      </c>
      <c r="D357" s="1">
        <v>47.634900000000002</v>
      </c>
      <c r="E357" s="1">
        <v>47.664900000000003</v>
      </c>
      <c r="F357" s="1">
        <v>26453</v>
      </c>
      <c r="G357" s="1">
        <v>11.967000000000001</v>
      </c>
      <c r="H357" s="1">
        <v>5812520</v>
      </c>
      <c r="I357" s="1">
        <v>910056</v>
      </c>
      <c r="J357" s="1" t="s">
        <v>128</v>
      </c>
      <c r="K357" s="1" t="s">
        <v>805</v>
      </c>
    </row>
    <row r="358" spans="1:11" x14ac:dyDescent="0.15">
      <c r="A358" s="1" t="s">
        <v>806</v>
      </c>
      <c r="B358" s="1">
        <v>1508.3456000000001</v>
      </c>
      <c r="C358" s="1">
        <v>43.442999999999998</v>
      </c>
      <c r="D358" s="1">
        <v>44.430799999999998</v>
      </c>
      <c r="E358" s="1">
        <v>44.2378</v>
      </c>
      <c r="F358" s="1">
        <v>35088</v>
      </c>
      <c r="G358" s="1">
        <v>15.817</v>
      </c>
      <c r="H358" s="1">
        <v>5773752</v>
      </c>
      <c r="I358" s="1">
        <v>888452</v>
      </c>
      <c r="J358" s="1" t="s">
        <v>128</v>
      </c>
      <c r="K358" s="1" t="s">
        <v>807</v>
      </c>
    </row>
    <row r="359" spans="1:11" x14ac:dyDescent="0.15">
      <c r="A359" s="1" t="s">
        <v>808</v>
      </c>
      <c r="B359" s="1">
        <v>1067.3632</v>
      </c>
      <c r="C359" s="1">
        <v>38.718699999999998</v>
      </c>
      <c r="D359" s="1">
        <v>41.699800000000003</v>
      </c>
      <c r="E359" s="1">
        <v>41.470799999999997</v>
      </c>
      <c r="F359" s="1">
        <v>32750</v>
      </c>
      <c r="G359" s="1">
        <v>15.558</v>
      </c>
      <c r="H359" s="1">
        <v>5793436</v>
      </c>
      <c r="I359" s="1">
        <v>891264</v>
      </c>
      <c r="J359" s="1" t="s">
        <v>128</v>
      </c>
      <c r="K359" s="1" t="s">
        <v>809</v>
      </c>
    </row>
    <row r="360" spans="1:11" x14ac:dyDescent="0.15">
      <c r="A360" s="1" t="s">
        <v>810</v>
      </c>
      <c r="B360" s="1">
        <v>754.73760000000004</v>
      </c>
      <c r="C360" s="1">
        <v>33.979799999999997</v>
      </c>
      <c r="D360" s="1">
        <v>38.8367</v>
      </c>
      <c r="E360" s="1">
        <v>38.318600000000004</v>
      </c>
      <c r="F360" s="1">
        <v>21394</v>
      </c>
      <c r="G360" s="1">
        <v>12.093999999999999</v>
      </c>
      <c r="H360" s="1">
        <v>5793244</v>
      </c>
      <c r="I360" s="1">
        <v>864512</v>
      </c>
      <c r="J360" s="1" t="s">
        <v>128</v>
      </c>
      <c r="K360" s="1" t="s">
        <v>811</v>
      </c>
    </row>
    <row r="361" spans="1:11" x14ac:dyDescent="0.15">
      <c r="A361" s="1" t="s">
        <v>812</v>
      </c>
    </row>
    <row r="362" spans="1:11" x14ac:dyDescent="0.15">
      <c r="A362" s="1" t="s">
        <v>813</v>
      </c>
    </row>
    <row r="363" spans="1:11" x14ac:dyDescent="0.15">
      <c r="A363" s="1" t="s">
        <v>814</v>
      </c>
    </row>
    <row r="364" spans="1:11" x14ac:dyDescent="0.15">
      <c r="A364" s="1" t="s">
        <v>815</v>
      </c>
    </row>
    <row r="365" spans="1:11" x14ac:dyDescent="0.15">
      <c r="A365" s="1" t="s">
        <v>816</v>
      </c>
    </row>
    <row r="366" spans="1:11" x14ac:dyDescent="0.15">
      <c r="A366" s="1" t="s">
        <v>817</v>
      </c>
    </row>
    <row r="367" spans="1:11" x14ac:dyDescent="0.15">
      <c r="A367" s="1" t="s">
        <v>818</v>
      </c>
    </row>
    <row r="368" spans="1:11" x14ac:dyDescent="0.15">
      <c r="A368" s="1" t="s">
        <v>819</v>
      </c>
    </row>
    <row r="369" spans="1:1" x14ac:dyDescent="0.15">
      <c r="A369" s="1" t="s">
        <v>820</v>
      </c>
    </row>
    <row r="370" spans="1:1" x14ac:dyDescent="0.15">
      <c r="A370" s="1" t="s">
        <v>821</v>
      </c>
    </row>
    <row r="371" spans="1:1" x14ac:dyDescent="0.15">
      <c r="A371" s="1" t="s">
        <v>822</v>
      </c>
    </row>
    <row r="372" spans="1:1" x14ac:dyDescent="0.15">
      <c r="A372" s="1" t="s">
        <v>823</v>
      </c>
    </row>
    <row r="373" spans="1:1" x14ac:dyDescent="0.15">
      <c r="A373" s="1" t="s">
        <v>824</v>
      </c>
    </row>
    <row r="374" spans="1:1" x14ac:dyDescent="0.15">
      <c r="A374" s="1" t="s">
        <v>825</v>
      </c>
    </row>
    <row r="375" spans="1:1" x14ac:dyDescent="0.15">
      <c r="A375" s="1" t="s">
        <v>826</v>
      </c>
    </row>
    <row r="376" spans="1:1" x14ac:dyDescent="0.15">
      <c r="A376" s="1" t="s">
        <v>827</v>
      </c>
    </row>
    <row r="377" spans="1:1" x14ac:dyDescent="0.15">
      <c r="A377" s="1" t="s">
        <v>828</v>
      </c>
    </row>
    <row r="378" spans="1:1" x14ac:dyDescent="0.15">
      <c r="A378" s="1" t="s">
        <v>829</v>
      </c>
    </row>
    <row r="379" spans="1:1" x14ac:dyDescent="0.15">
      <c r="A379" s="1" t="s">
        <v>830</v>
      </c>
    </row>
    <row r="380" spans="1:1" x14ac:dyDescent="0.15">
      <c r="A380" s="1" t="s">
        <v>831</v>
      </c>
    </row>
    <row r="381" spans="1:1" x14ac:dyDescent="0.15">
      <c r="A381" s="1" t="s">
        <v>832</v>
      </c>
    </row>
    <row r="382" spans="1:1" x14ac:dyDescent="0.15">
      <c r="A382" s="1" t="s">
        <v>833</v>
      </c>
    </row>
    <row r="383" spans="1:1" x14ac:dyDescent="0.15">
      <c r="A383" s="1" t="s">
        <v>834</v>
      </c>
    </row>
    <row r="384" spans="1:1" x14ac:dyDescent="0.15">
      <c r="A384" s="1" t="s">
        <v>835</v>
      </c>
    </row>
    <row r="385" spans="1:11" x14ac:dyDescent="0.15">
      <c r="A385" s="1" t="s">
        <v>836</v>
      </c>
      <c r="B385" s="1">
        <v>11212.4496</v>
      </c>
      <c r="C385" s="1">
        <v>40.722099999999998</v>
      </c>
      <c r="D385" s="1">
        <v>44.453200000000002</v>
      </c>
      <c r="E385" s="1">
        <v>45.0657</v>
      </c>
      <c r="F385" s="1">
        <v>86338</v>
      </c>
      <c r="G385" s="1">
        <v>72.706999999999994</v>
      </c>
      <c r="H385" s="1">
        <v>3865508</v>
      </c>
      <c r="I385" s="1">
        <v>703304</v>
      </c>
      <c r="J385" s="1" t="s">
        <v>128</v>
      </c>
      <c r="K385" s="1" t="s">
        <v>837</v>
      </c>
    </row>
    <row r="386" spans="1:11" x14ac:dyDescent="0.15">
      <c r="A386" s="1" t="s">
        <v>838</v>
      </c>
      <c r="B386" s="1">
        <v>3206.8847999999998</v>
      </c>
      <c r="C386" s="1">
        <v>38.919899999999998</v>
      </c>
      <c r="D386" s="1">
        <v>43.130200000000002</v>
      </c>
      <c r="E386" s="1">
        <v>43.506900000000002</v>
      </c>
      <c r="F386" s="1">
        <v>40205</v>
      </c>
      <c r="G386" s="1">
        <v>60.902999999999999</v>
      </c>
      <c r="H386" s="1">
        <v>3849372</v>
      </c>
      <c r="I386" s="1">
        <v>736568</v>
      </c>
      <c r="J386" s="1" t="s">
        <v>128</v>
      </c>
      <c r="K386" s="1" t="s">
        <v>839</v>
      </c>
    </row>
    <row r="387" spans="1:11" x14ac:dyDescent="0.15">
      <c r="A387" s="1" t="s">
        <v>840</v>
      </c>
      <c r="B387" s="1">
        <v>1414.4176</v>
      </c>
      <c r="C387" s="1">
        <v>36.9758</v>
      </c>
      <c r="D387" s="1">
        <v>42.031300000000002</v>
      </c>
      <c r="E387" s="1">
        <v>42.099299999999999</v>
      </c>
      <c r="F387" s="1">
        <v>27017</v>
      </c>
      <c r="G387" s="1">
        <v>52.027999999999999</v>
      </c>
      <c r="H387" s="1">
        <v>4074788</v>
      </c>
      <c r="I387" s="1">
        <v>715828</v>
      </c>
      <c r="J387" s="1" t="s">
        <v>128</v>
      </c>
      <c r="K387" s="1" t="s">
        <v>841</v>
      </c>
    </row>
    <row r="388" spans="1:11" x14ac:dyDescent="0.15">
      <c r="A388" s="1" t="s">
        <v>842</v>
      </c>
      <c r="B388" s="1">
        <v>678.25120000000004</v>
      </c>
      <c r="C388" s="1">
        <v>34.865400000000001</v>
      </c>
      <c r="D388" s="1">
        <v>40.904800000000002</v>
      </c>
      <c r="E388" s="1">
        <v>41.043100000000003</v>
      </c>
      <c r="F388" s="1">
        <v>14902</v>
      </c>
      <c r="G388" s="1">
        <v>28.727</v>
      </c>
      <c r="H388" s="1">
        <v>3012804</v>
      </c>
      <c r="I388" s="1">
        <v>567868</v>
      </c>
      <c r="J388" s="1" t="s">
        <v>128</v>
      </c>
      <c r="K388" s="1" t="s">
        <v>843</v>
      </c>
    </row>
    <row r="389" spans="1:11" x14ac:dyDescent="0.15">
      <c r="A389" s="1" t="s">
        <v>844</v>
      </c>
      <c r="B389" s="1">
        <v>7979.1840000000002</v>
      </c>
      <c r="C389" s="1">
        <v>44.949300000000001</v>
      </c>
      <c r="D389" s="1">
        <v>48.161999999999999</v>
      </c>
      <c r="E389" s="1">
        <v>48.693899999999999</v>
      </c>
      <c r="F389" s="1">
        <v>50302</v>
      </c>
      <c r="G389" s="1">
        <v>65.921999999999997</v>
      </c>
      <c r="H389" s="1">
        <v>3789320</v>
      </c>
      <c r="I389" s="1">
        <v>684976</v>
      </c>
      <c r="J389" s="1" t="s">
        <v>128</v>
      </c>
      <c r="K389" s="1" t="s">
        <v>845</v>
      </c>
    </row>
    <row r="390" spans="1:11" x14ac:dyDescent="0.15">
      <c r="A390" s="1" t="s">
        <v>846</v>
      </c>
      <c r="B390" s="1">
        <v>3822.3407999999999</v>
      </c>
      <c r="C390" s="1">
        <v>41.624899999999997</v>
      </c>
      <c r="D390" s="1">
        <v>45.458100000000002</v>
      </c>
      <c r="E390" s="1">
        <v>45.4741</v>
      </c>
      <c r="F390" s="1">
        <v>36800</v>
      </c>
      <c r="G390" s="1">
        <v>53.811</v>
      </c>
      <c r="H390" s="1">
        <v>3792632</v>
      </c>
      <c r="I390" s="1">
        <v>710168</v>
      </c>
      <c r="J390" s="1" t="s">
        <v>128</v>
      </c>
      <c r="K390" s="1" t="s">
        <v>847</v>
      </c>
    </row>
    <row r="391" spans="1:11" x14ac:dyDescent="0.15">
      <c r="A391" s="1" t="s">
        <v>848</v>
      </c>
      <c r="B391" s="1">
        <v>1971.1664000000001</v>
      </c>
      <c r="C391" s="1">
        <v>38.382100000000001</v>
      </c>
      <c r="D391" s="1">
        <v>43.747300000000003</v>
      </c>
      <c r="E391" s="1">
        <v>43.535800000000002</v>
      </c>
      <c r="F391" s="1">
        <v>25740</v>
      </c>
      <c r="G391" s="1">
        <v>38.475999999999999</v>
      </c>
      <c r="H391" s="1">
        <v>3717276</v>
      </c>
      <c r="I391" s="1">
        <v>694504</v>
      </c>
      <c r="J391" s="1" t="s">
        <v>128</v>
      </c>
      <c r="K391" s="1" t="s">
        <v>849</v>
      </c>
    </row>
    <row r="392" spans="1:11" x14ac:dyDescent="0.15">
      <c r="A392" s="1" t="s">
        <v>850</v>
      </c>
      <c r="B392" s="1">
        <v>1071.568</v>
      </c>
      <c r="C392" s="1">
        <v>35.648600000000002</v>
      </c>
      <c r="D392" s="1">
        <v>42.323900000000002</v>
      </c>
      <c r="E392" s="1">
        <v>42.050600000000003</v>
      </c>
      <c r="F392" s="1">
        <v>16841</v>
      </c>
      <c r="G392" s="1">
        <v>22.835999999999999</v>
      </c>
      <c r="H392" s="1">
        <v>3561148</v>
      </c>
      <c r="I392" s="1">
        <v>677140</v>
      </c>
      <c r="J392" s="1" t="s">
        <v>128</v>
      </c>
      <c r="K392" s="1" t="s">
        <v>851</v>
      </c>
    </row>
    <row r="393" spans="1:11" x14ac:dyDescent="0.15">
      <c r="A393" s="1" t="s">
        <v>852</v>
      </c>
      <c r="B393" s="1">
        <v>12524.910400000001</v>
      </c>
      <c r="C393" s="1">
        <v>38.719099999999997</v>
      </c>
      <c r="D393" s="1">
        <v>40.174999999999997</v>
      </c>
      <c r="E393" s="1">
        <v>43.826900000000002</v>
      </c>
      <c r="F393" s="1">
        <v>60205</v>
      </c>
      <c r="G393" s="1">
        <v>54.628</v>
      </c>
      <c r="H393" s="1">
        <v>3785552</v>
      </c>
      <c r="I393" s="1">
        <v>732008</v>
      </c>
      <c r="J393" s="1" t="s">
        <v>128</v>
      </c>
      <c r="K393" s="1" t="s">
        <v>853</v>
      </c>
    </row>
    <row r="394" spans="1:11" x14ac:dyDescent="0.15">
      <c r="A394" s="1" t="s">
        <v>854</v>
      </c>
      <c r="B394" s="1">
        <v>3318.5295999999998</v>
      </c>
      <c r="C394" s="1">
        <v>36.855200000000004</v>
      </c>
      <c r="D394" s="1">
        <v>39.250799999999998</v>
      </c>
      <c r="E394" s="1">
        <v>41.819000000000003</v>
      </c>
      <c r="F394" s="1">
        <v>33407</v>
      </c>
      <c r="G394" s="1">
        <v>36.853000000000002</v>
      </c>
      <c r="H394" s="1">
        <v>3765008</v>
      </c>
      <c r="I394" s="1">
        <v>706720</v>
      </c>
      <c r="J394" s="1" t="s">
        <v>128</v>
      </c>
      <c r="K394" s="1" t="s">
        <v>855</v>
      </c>
    </row>
    <row r="395" spans="1:11" x14ac:dyDescent="0.15">
      <c r="A395" s="1" t="s">
        <v>856</v>
      </c>
      <c r="B395" s="1">
        <v>1495.576</v>
      </c>
      <c r="C395" s="1">
        <v>34.866900000000001</v>
      </c>
      <c r="D395" s="1">
        <v>38.414999999999999</v>
      </c>
      <c r="E395" s="1">
        <v>40.100700000000003</v>
      </c>
      <c r="F395" s="1">
        <v>23603</v>
      </c>
      <c r="G395" s="1">
        <v>31.248999999999999</v>
      </c>
      <c r="H395" s="1">
        <v>3752128</v>
      </c>
      <c r="I395" s="1">
        <v>686924</v>
      </c>
      <c r="J395" s="1" t="s">
        <v>128</v>
      </c>
      <c r="K395" s="1" t="s">
        <v>857</v>
      </c>
    </row>
    <row r="396" spans="1:11" x14ac:dyDescent="0.15">
      <c r="A396" s="1" t="s">
        <v>858</v>
      </c>
      <c r="B396" s="1">
        <v>732.38080000000002</v>
      </c>
      <c r="C396" s="1">
        <v>32.702800000000003</v>
      </c>
      <c r="D396" s="1">
        <v>37.386000000000003</v>
      </c>
      <c r="E396" s="1">
        <v>38.4773</v>
      </c>
      <c r="F396" s="1">
        <v>17431</v>
      </c>
      <c r="G396" s="1">
        <v>24.593</v>
      </c>
      <c r="H396" s="1">
        <v>3744192</v>
      </c>
      <c r="I396" s="1">
        <v>646760</v>
      </c>
      <c r="J396" s="1" t="s">
        <v>128</v>
      </c>
      <c r="K396" s="1" t="s">
        <v>859</v>
      </c>
    </row>
    <row r="397" spans="1:11" x14ac:dyDescent="0.15">
      <c r="A397" s="1" t="s">
        <v>860</v>
      </c>
      <c r="B397" s="1">
        <v>15164.4144</v>
      </c>
      <c r="C397" s="1">
        <v>39.676600000000001</v>
      </c>
      <c r="D397" s="1">
        <v>44.317599999999999</v>
      </c>
      <c r="E397" s="1">
        <v>45.719099999999997</v>
      </c>
      <c r="F397" s="1">
        <v>131733</v>
      </c>
      <c r="G397" s="1">
        <v>92.171999999999997</v>
      </c>
      <c r="H397" s="1">
        <v>4085692</v>
      </c>
      <c r="I397" s="1">
        <v>684752</v>
      </c>
      <c r="J397" s="1" t="s">
        <v>128</v>
      </c>
      <c r="K397" s="1" t="s">
        <v>861</v>
      </c>
    </row>
    <row r="398" spans="1:11" x14ac:dyDescent="0.15">
      <c r="A398" s="1" t="s">
        <v>862</v>
      </c>
      <c r="B398" s="1">
        <v>4439.0047999999997</v>
      </c>
      <c r="C398" s="1">
        <v>37.834899999999998</v>
      </c>
      <c r="D398" s="1">
        <v>42.661200000000001</v>
      </c>
      <c r="E398" s="1">
        <v>43.028599999999997</v>
      </c>
      <c r="F398" s="1">
        <v>71816</v>
      </c>
      <c r="G398" s="1">
        <v>77.052000000000007</v>
      </c>
      <c r="H398" s="1">
        <v>3966492</v>
      </c>
      <c r="I398" s="1">
        <v>720864</v>
      </c>
      <c r="J398" s="1" t="s">
        <v>128</v>
      </c>
      <c r="K398" s="1" t="s">
        <v>863</v>
      </c>
    </row>
    <row r="399" spans="1:11" x14ac:dyDescent="0.15">
      <c r="A399" s="1" t="s">
        <v>864</v>
      </c>
      <c r="B399" s="1">
        <v>2088.1120000000001</v>
      </c>
      <c r="C399" s="1">
        <v>36.032400000000003</v>
      </c>
      <c r="D399" s="1">
        <v>41.471800000000002</v>
      </c>
      <c r="E399" s="1">
        <v>41.326500000000003</v>
      </c>
      <c r="F399" s="1">
        <v>49106</v>
      </c>
      <c r="G399" s="1">
        <v>69.316000000000003</v>
      </c>
      <c r="H399" s="1">
        <v>3891284</v>
      </c>
      <c r="I399" s="1">
        <v>670024</v>
      </c>
      <c r="J399" s="1" t="s">
        <v>128</v>
      </c>
      <c r="K399" s="1" t="s">
        <v>865</v>
      </c>
    </row>
    <row r="400" spans="1:11" x14ac:dyDescent="0.15">
      <c r="A400" s="1" t="s">
        <v>866</v>
      </c>
      <c r="B400" s="1">
        <v>1074.3119999999999</v>
      </c>
      <c r="C400" s="1">
        <v>34.079000000000001</v>
      </c>
      <c r="D400" s="1">
        <v>40.190399999999997</v>
      </c>
      <c r="E400" s="1">
        <v>39.461399999999998</v>
      </c>
      <c r="F400" s="1">
        <v>35367</v>
      </c>
      <c r="G400" s="1">
        <v>58.713000000000001</v>
      </c>
      <c r="H400" s="1">
        <v>3977764</v>
      </c>
      <c r="I400" s="1">
        <v>668524</v>
      </c>
      <c r="J400" s="1" t="s">
        <v>128</v>
      </c>
      <c r="K400" s="1" t="s">
        <v>867</v>
      </c>
    </row>
    <row r="401" spans="1:11" x14ac:dyDescent="0.15">
      <c r="A401" s="1" t="s">
        <v>868</v>
      </c>
      <c r="B401" s="1">
        <v>38549.491199999997</v>
      </c>
      <c r="C401" s="1">
        <v>38.566099999999999</v>
      </c>
      <c r="D401" s="1">
        <v>42.884399999999999</v>
      </c>
      <c r="E401" s="1">
        <v>45.314399999999999</v>
      </c>
      <c r="F401" s="1">
        <v>157808</v>
      </c>
      <c r="G401" s="1">
        <v>118.80200000000001</v>
      </c>
      <c r="H401" s="1">
        <v>3950740</v>
      </c>
      <c r="I401" s="1">
        <v>763992</v>
      </c>
      <c r="J401" s="1" t="s">
        <v>128</v>
      </c>
      <c r="K401" s="1" t="s">
        <v>869</v>
      </c>
    </row>
    <row r="402" spans="1:11" x14ac:dyDescent="0.15">
      <c r="A402" s="1" t="s">
        <v>870</v>
      </c>
      <c r="B402" s="1">
        <v>4208.0128000000004</v>
      </c>
      <c r="C402" s="1">
        <v>35.861800000000002</v>
      </c>
      <c r="D402" s="1">
        <v>41.806800000000003</v>
      </c>
      <c r="E402" s="1">
        <v>44.291899999999998</v>
      </c>
      <c r="F402" s="1">
        <v>63070</v>
      </c>
      <c r="G402" s="1">
        <v>68.248999999999995</v>
      </c>
      <c r="H402" s="1">
        <v>3904900</v>
      </c>
      <c r="I402" s="1">
        <v>747624</v>
      </c>
      <c r="J402" s="1" t="s">
        <v>128</v>
      </c>
      <c r="K402" s="1" t="s">
        <v>871</v>
      </c>
    </row>
    <row r="403" spans="1:11" x14ac:dyDescent="0.15">
      <c r="A403" s="1" t="s">
        <v>872</v>
      </c>
      <c r="B403" s="1">
        <v>1337.4159999999999</v>
      </c>
      <c r="C403" s="1">
        <v>34.343899999999998</v>
      </c>
      <c r="D403" s="1">
        <v>40.652500000000003</v>
      </c>
      <c r="E403" s="1">
        <v>43.132100000000001</v>
      </c>
      <c r="F403" s="1">
        <v>37714</v>
      </c>
      <c r="G403" s="1">
        <v>58.356999999999999</v>
      </c>
      <c r="H403" s="1">
        <v>3977272</v>
      </c>
      <c r="I403" s="1">
        <v>697676</v>
      </c>
      <c r="J403" s="1" t="s">
        <v>128</v>
      </c>
      <c r="K403" s="1" t="s">
        <v>873</v>
      </c>
    </row>
    <row r="404" spans="1:11" x14ac:dyDescent="0.15">
      <c r="A404" s="1" t="s">
        <v>874</v>
      </c>
      <c r="B404" s="1">
        <v>534.39679999999998</v>
      </c>
      <c r="C404" s="1">
        <v>32.634799999999998</v>
      </c>
      <c r="D404" s="1">
        <v>39.632199999999997</v>
      </c>
      <c r="E404" s="1">
        <v>42.1081</v>
      </c>
      <c r="F404" s="1">
        <v>26647</v>
      </c>
      <c r="G404" s="1">
        <v>48.737000000000002</v>
      </c>
      <c r="H404" s="1">
        <v>3904100</v>
      </c>
      <c r="I404" s="1">
        <v>696184</v>
      </c>
      <c r="J404" s="1" t="s">
        <v>128</v>
      </c>
      <c r="K404" s="1" t="s">
        <v>875</v>
      </c>
    </row>
    <row r="405" spans="1:11" x14ac:dyDescent="0.15">
      <c r="A405" s="1" t="s">
        <v>876</v>
      </c>
      <c r="B405" s="1">
        <v>2530.2896000000001</v>
      </c>
      <c r="C405" s="1">
        <v>41.512500000000003</v>
      </c>
      <c r="D405" s="1">
        <v>43.857399999999998</v>
      </c>
      <c r="E405" s="1">
        <v>44.912500000000001</v>
      </c>
      <c r="F405" s="1">
        <v>17026</v>
      </c>
      <c r="G405" s="1">
        <v>16.305</v>
      </c>
      <c r="H405" s="1">
        <v>1540712</v>
      </c>
      <c r="I405" s="1">
        <v>437168</v>
      </c>
      <c r="J405" s="1" t="s">
        <v>128</v>
      </c>
      <c r="K405" s="1" t="s">
        <v>877</v>
      </c>
    </row>
    <row r="406" spans="1:11" x14ac:dyDescent="0.15">
      <c r="A406" s="1" t="s">
        <v>878</v>
      </c>
      <c r="B406" s="1">
        <v>1095.6016</v>
      </c>
      <c r="C406" s="1">
        <v>38.391300000000001</v>
      </c>
      <c r="D406" s="1">
        <v>41.204000000000001</v>
      </c>
      <c r="E406" s="1">
        <v>41.704700000000003</v>
      </c>
      <c r="F406" s="1">
        <v>12474</v>
      </c>
      <c r="G406" s="1">
        <v>13.573</v>
      </c>
      <c r="H406" s="1">
        <v>1534016</v>
      </c>
      <c r="I406" s="1">
        <v>430748</v>
      </c>
      <c r="J406" s="1" t="s">
        <v>128</v>
      </c>
      <c r="K406" s="1" t="s">
        <v>879</v>
      </c>
    </row>
    <row r="407" spans="1:11" x14ac:dyDescent="0.15">
      <c r="A407" s="1" t="s">
        <v>880</v>
      </c>
      <c r="B407" s="1">
        <v>533.40160000000003</v>
      </c>
      <c r="C407" s="1">
        <v>35.422899999999998</v>
      </c>
      <c r="D407" s="1">
        <v>39.404000000000003</v>
      </c>
      <c r="E407" s="1">
        <v>39.6479</v>
      </c>
      <c r="F407" s="1">
        <v>9661</v>
      </c>
      <c r="G407" s="1">
        <v>10.731999999999999</v>
      </c>
      <c r="H407" s="1">
        <v>1531696</v>
      </c>
      <c r="I407" s="1">
        <v>425076</v>
      </c>
      <c r="J407" s="1" t="s">
        <v>128</v>
      </c>
      <c r="K407" s="1" t="s">
        <v>881</v>
      </c>
    </row>
    <row r="408" spans="1:11" x14ac:dyDescent="0.15">
      <c r="A408" s="1" t="s">
        <v>882</v>
      </c>
      <c r="B408" s="1">
        <v>274.75040000000001</v>
      </c>
      <c r="C408" s="1">
        <v>32.865099999999998</v>
      </c>
      <c r="D408" s="1">
        <v>37.623399999999997</v>
      </c>
      <c r="E408" s="1">
        <v>37.504399999999997</v>
      </c>
      <c r="F408" s="1">
        <v>7540</v>
      </c>
      <c r="G408" s="1">
        <v>9.2260000000000009</v>
      </c>
      <c r="H408" s="1">
        <v>1526608</v>
      </c>
      <c r="I408" s="1">
        <v>420612</v>
      </c>
      <c r="J408" s="1" t="s">
        <v>128</v>
      </c>
      <c r="K408" s="1" t="s">
        <v>883</v>
      </c>
    </row>
    <row r="409" spans="1:11" x14ac:dyDescent="0.15">
      <c r="A409" s="1" t="s">
        <v>884</v>
      </c>
      <c r="B409" s="1">
        <v>3209.4528</v>
      </c>
      <c r="C409" s="1">
        <v>40.142200000000003</v>
      </c>
      <c r="D409" s="1">
        <v>43.426299999999998</v>
      </c>
      <c r="E409" s="1">
        <v>44.503399999999999</v>
      </c>
      <c r="F409" s="1">
        <v>20871</v>
      </c>
      <c r="G409" s="1">
        <v>18.623000000000001</v>
      </c>
      <c r="H409" s="1">
        <v>1539380</v>
      </c>
      <c r="I409" s="1">
        <v>451956</v>
      </c>
      <c r="J409" s="1" t="s">
        <v>128</v>
      </c>
      <c r="K409" s="1" t="s">
        <v>885</v>
      </c>
    </row>
    <row r="410" spans="1:11" x14ac:dyDescent="0.15">
      <c r="A410" s="1" t="s">
        <v>886</v>
      </c>
      <c r="B410" s="1">
        <v>1279.4975999999999</v>
      </c>
      <c r="C410" s="1">
        <v>37.209699999999998</v>
      </c>
      <c r="D410" s="1">
        <v>41.217700000000001</v>
      </c>
      <c r="E410" s="1">
        <v>41.618899999999996</v>
      </c>
      <c r="F410" s="1">
        <v>14229</v>
      </c>
      <c r="G410" s="1">
        <v>14.353999999999999</v>
      </c>
      <c r="H410" s="1">
        <v>1535868</v>
      </c>
      <c r="I410" s="1">
        <v>440708</v>
      </c>
      <c r="J410" s="1" t="s">
        <v>128</v>
      </c>
      <c r="K410" s="1" t="s">
        <v>887</v>
      </c>
    </row>
    <row r="411" spans="1:11" x14ac:dyDescent="0.15">
      <c r="A411" s="1" t="s">
        <v>888</v>
      </c>
      <c r="B411" s="1">
        <v>605.11519999999996</v>
      </c>
      <c r="C411" s="1">
        <v>34.353299999999997</v>
      </c>
      <c r="D411" s="1">
        <v>39.4011</v>
      </c>
      <c r="E411" s="1">
        <v>39.631799999999998</v>
      </c>
      <c r="F411" s="1">
        <v>10629</v>
      </c>
      <c r="G411" s="1">
        <v>11.289</v>
      </c>
      <c r="H411" s="1">
        <v>1545432</v>
      </c>
      <c r="I411" s="1">
        <v>436860</v>
      </c>
      <c r="J411" s="1" t="s">
        <v>128</v>
      </c>
      <c r="K411" s="1" t="s">
        <v>889</v>
      </c>
    </row>
    <row r="412" spans="1:11" x14ac:dyDescent="0.15">
      <c r="A412" s="1" t="s">
        <v>890</v>
      </c>
      <c r="B412" s="1">
        <v>308.50560000000002</v>
      </c>
      <c r="C412" s="1">
        <v>31.6266</v>
      </c>
      <c r="D412" s="1">
        <v>37.968000000000004</v>
      </c>
      <c r="E412" s="1">
        <v>37.889099999999999</v>
      </c>
      <c r="F412" s="1">
        <v>8298</v>
      </c>
      <c r="G412" s="1">
        <v>9.11</v>
      </c>
      <c r="H412" s="1">
        <v>1529360</v>
      </c>
      <c r="I412" s="1">
        <v>433616</v>
      </c>
      <c r="J412" s="1" t="s">
        <v>128</v>
      </c>
      <c r="K412" s="1" t="s">
        <v>891</v>
      </c>
    </row>
    <row r="413" spans="1:11" x14ac:dyDescent="0.15">
      <c r="A413" s="1" t="s">
        <v>892</v>
      </c>
      <c r="B413" s="1">
        <v>7216.9344000000001</v>
      </c>
      <c r="C413" s="1">
        <v>38.549799999999998</v>
      </c>
      <c r="D413" s="1">
        <v>41.078400000000002</v>
      </c>
      <c r="E413" s="1">
        <v>41.781799999999997</v>
      </c>
      <c r="F413" s="1">
        <v>24847</v>
      </c>
      <c r="G413" s="1">
        <v>23.276</v>
      </c>
      <c r="H413" s="1">
        <v>1547340</v>
      </c>
      <c r="I413" s="1">
        <v>438760</v>
      </c>
      <c r="J413" s="1" t="s">
        <v>128</v>
      </c>
      <c r="K413" s="1" t="s">
        <v>893</v>
      </c>
    </row>
    <row r="414" spans="1:11" x14ac:dyDescent="0.15">
      <c r="A414" s="1" t="s">
        <v>894</v>
      </c>
      <c r="B414" s="1">
        <v>2788.8847999999998</v>
      </c>
      <c r="C414" s="1">
        <v>34.557200000000002</v>
      </c>
      <c r="D414" s="1">
        <v>38.084499999999998</v>
      </c>
      <c r="E414" s="1">
        <v>38.552999999999997</v>
      </c>
      <c r="F414" s="1">
        <v>17260</v>
      </c>
      <c r="G414" s="1">
        <v>18.614000000000001</v>
      </c>
      <c r="H414" s="1">
        <v>1544704</v>
      </c>
      <c r="I414" s="1">
        <v>437588</v>
      </c>
      <c r="J414" s="1" t="s">
        <v>128</v>
      </c>
      <c r="K414" s="1" t="s">
        <v>895</v>
      </c>
    </row>
    <row r="415" spans="1:11" x14ac:dyDescent="0.15">
      <c r="A415" s="1" t="s">
        <v>896</v>
      </c>
      <c r="B415" s="1">
        <v>1230.7136</v>
      </c>
      <c r="C415" s="1">
        <v>31.162299999999998</v>
      </c>
      <c r="D415" s="1">
        <v>36.224899999999998</v>
      </c>
      <c r="E415" s="1">
        <v>36.558399999999999</v>
      </c>
      <c r="F415" s="1">
        <v>13290</v>
      </c>
      <c r="G415" s="1">
        <v>15.192</v>
      </c>
      <c r="H415" s="1">
        <v>1540420</v>
      </c>
      <c r="I415" s="1">
        <v>431072</v>
      </c>
      <c r="J415" s="1" t="s">
        <v>128</v>
      </c>
      <c r="K415" s="1" t="s">
        <v>897</v>
      </c>
    </row>
    <row r="416" spans="1:11" x14ac:dyDescent="0.15">
      <c r="A416" s="1" t="s">
        <v>898</v>
      </c>
      <c r="B416" s="1">
        <v>559.82079999999996</v>
      </c>
      <c r="C416" s="1">
        <v>28.183199999999999</v>
      </c>
      <c r="D416" s="1">
        <v>34.768099999999997</v>
      </c>
      <c r="E416" s="1">
        <v>34.964500000000001</v>
      </c>
      <c r="F416" s="1">
        <v>10063</v>
      </c>
      <c r="G416" s="1">
        <v>12.634</v>
      </c>
      <c r="H416" s="1">
        <v>1535492</v>
      </c>
      <c r="I416" s="1">
        <v>423380</v>
      </c>
      <c r="J416" s="1" t="s">
        <v>128</v>
      </c>
      <c r="K416" s="1" t="s">
        <v>899</v>
      </c>
    </row>
    <row r="417" spans="1:11" x14ac:dyDescent="0.15">
      <c r="A417" s="1" t="s">
        <v>900</v>
      </c>
      <c r="B417" s="1">
        <v>6233.4639999999999</v>
      </c>
      <c r="C417" s="1">
        <v>39.689100000000003</v>
      </c>
      <c r="D417" s="1">
        <v>40.426299999999998</v>
      </c>
      <c r="E417" s="1">
        <v>42.116300000000003</v>
      </c>
      <c r="F417" s="1">
        <v>19659</v>
      </c>
      <c r="G417" s="1">
        <v>15.804</v>
      </c>
      <c r="H417" s="1">
        <v>1537684</v>
      </c>
      <c r="I417" s="1">
        <v>397108</v>
      </c>
      <c r="J417" s="1" t="s">
        <v>128</v>
      </c>
      <c r="K417" s="1" t="s">
        <v>901</v>
      </c>
    </row>
    <row r="418" spans="1:11" x14ac:dyDescent="0.15">
      <c r="A418" s="1" t="s">
        <v>902</v>
      </c>
      <c r="B418" s="1">
        <v>1912.6672000000001</v>
      </c>
      <c r="C418" s="1">
        <v>34.933500000000002</v>
      </c>
      <c r="D418" s="1">
        <v>37.3902</v>
      </c>
      <c r="E418" s="1">
        <v>39.409700000000001</v>
      </c>
      <c r="F418" s="1">
        <v>13028</v>
      </c>
      <c r="G418" s="1">
        <v>12.452999999999999</v>
      </c>
      <c r="H418" s="1">
        <v>1536388</v>
      </c>
      <c r="I418" s="1">
        <v>395948</v>
      </c>
      <c r="J418" s="1" t="s">
        <v>128</v>
      </c>
      <c r="K418" s="1" t="s">
        <v>903</v>
      </c>
    </row>
    <row r="419" spans="1:11" x14ac:dyDescent="0.15">
      <c r="A419" s="1" t="s">
        <v>904</v>
      </c>
      <c r="B419" s="1">
        <v>763.06399999999996</v>
      </c>
      <c r="C419" s="1">
        <v>31.5822</v>
      </c>
      <c r="D419" s="1">
        <v>36.0259</v>
      </c>
      <c r="E419" s="1">
        <v>38.020899999999997</v>
      </c>
      <c r="F419" s="1">
        <v>9587</v>
      </c>
      <c r="G419" s="1">
        <v>9.859</v>
      </c>
      <c r="H419" s="1">
        <v>1531572</v>
      </c>
      <c r="I419" s="1">
        <v>392248</v>
      </c>
      <c r="J419" s="1" t="s">
        <v>128</v>
      </c>
      <c r="K419" s="1" t="s">
        <v>905</v>
      </c>
    </row>
    <row r="420" spans="1:11" x14ac:dyDescent="0.15">
      <c r="A420" s="1" t="s">
        <v>906</v>
      </c>
      <c r="B420" s="1">
        <v>327.00799999999998</v>
      </c>
      <c r="C420" s="1">
        <v>28.744599999999998</v>
      </c>
      <c r="D420" s="1">
        <v>34.972200000000001</v>
      </c>
      <c r="E420" s="1">
        <v>36.525700000000001</v>
      </c>
      <c r="F420" s="1">
        <v>6983</v>
      </c>
      <c r="G420" s="1">
        <v>8.0850000000000009</v>
      </c>
      <c r="H420" s="1">
        <v>1528940</v>
      </c>
      <c r="I420" s="1">
        <v>393192</v>
      </c>
      <c r="J420" s="1" t="s">
        <v>128</v>
      </c>
      <c r="K420" s="1" t="s">
        <v>907</v>
      </c>
    </row>
    <row r="421" spans="1:11" x14ac:dyDescent="0.15">
      <c r="A421" s="1" t="s">
        <v>908</v>
      </c>
      <c r="B421" s="1">
        <v>1133.4048</v>
      </c>
      <c r="C421" s="1">
        <v>41.3474</v>
      </c>
      <c r="D421" s="1">
        <v>43.917200000000001</v>
      </c>
      <c r="E421" s="1">
        <v>43.496099999999998</v>
      </c>
      <c r="F421" s="1">
        <v>4273</v>
      </c>
      <c r="G421" s="1">
        <v>4.4560000000000004</v>
      </c>
      <c r="H421" s="1">
        <v>1105396</v>
      </c>
      <c r="I421" s="1">
        <v>361432</v>
      </c>
      <c r="J421" s="1" t="s">
        <v>128</v>
      </c>
      <c r="K421" s="1" t="s">
        <v>909</v>
      </c>
    </row>
    <row r="422" spans="1:11" x14ac:dyDescent="0.15">
      <c r="A422" s="1" t="s">
        <v>910</v>
      </c>
      <c r="B422" s="1">
        <v>500.63040000000001</v>
      </c>
      <c r="C422" s="1">
        <v>37.217599999999997</v>
      </c>
      <c r="D422" s="1">
        <v>40.704599999999999</v>
      </c>
      <c r="E422" s="1">
        <v>39.585099999999997</v>
      </c>
      <c r="F422" s="1">
        <v>3517</v>
      </c>
      <c r="G422" s="1">
        <v>3.766</v>
      </c>
      <c r="H422" s="1">
        <v>1104268</v>
      </c>
      <c r="I422" s="1">
        <v>359596</v>
      </c>
      <c r="J422" s="1" t="s">
        <v>128</v>
      </c>
      <c r="K422" s="1" t="s">
        <v>911</v>
      </c>
    </row>
    <row r="423" spans="1:11" x14ac:dyDescent="0.15">
      <c r="A423" s="1" t="s">
        <v>912</v>
      </c>
      <c r="B423" s="1">
        <v>237.32159999999999</v>
      </c>
      <c r="C423" s="1">
        <v>33.741599999999998</v>
      </c>
      <c r="D423" s="1">
        <v>38.555900000000001</v>
      </c>
      <c r="E423" s="1">
        <v>37.362000000000002</v>
      </c>
      <c r="F423" s="1">
        <v>2814</v>
      </c>
      <c r="G423" s="1">
        <v>3.0659999999999998</v>
      </c>
      <c r="H423" s="1">
        <v>1103432</v>
      </c>
      <c r="I423" s="1">
        <v>358732</v>
      </c>
      <c r="J423" s="1" t="s">
        <v>128</v>
      </c>
      <c r="K423" s="1" t="s">
        <v>913</v>
      </c>
    </row>
    <row r="424" spans="1:11" x14ac:dyDescent="0.15">
      <c r="A424" s="1" t="s">
        <v>914</v>
      </c>
      <c r="B424" s="1">
        <v>119.49120000000001</v>
      </c>
      <c r="C424" s="1">
        <v>30.853999999999999</v>
      </c>
      <c r="D424" s="1">
        <v>36.997700000000002</v>
      </c>
      <c r="E424" s="1">
        <v>35.495800000000003</v>
      </c>
      <c r="F424" s="1">
        <v>2193</v>
      </c>
      <c r="G424" s="1">
        <v>2.5630000000000002</v>
      </c>
      <c r="H424" s="1">
        <v>1102796</v>
      </c>
      <c r="I424" s="1">
        <v>357696</v>
      </c>
      <c r="J424" s="1" t="s">
        <v>128</v>
      </c>
      <c r="K424" s="1" t="s">
        <v>915</v>
      </c>
    </row>
    <row r="425" spans="1:11" x14ac:dyDescent="0.15">
      <c r="A425" s="1" t="s">
        <v>916</v>
      </c>
      <c r="B425" s="1">
        <v>1667.296</v>
      </c>
      <c r="C425" s="1">
        <v>39.071800000000003</v>
      </c>
      <c r="D425" s="1">
        <v>43.421900000000001</v>
      </c>
      <c r="E425" s="1">
        <v>44.4358</v>
      </c>
      <c r="F425" s="1">
        <v>5212</v>
      </c>
      <c r="G425" s="1">
        <v>6.5979999999999999</v>
      </c>
      <c r="H425" s="1">
        <v>1112240</v>
      </c>
      <c r="I425" s="1">
        <v>373916</v>
      </c>
      <c r="J425" s="1" t="s">
        <v>128</v>
      </c>
      <c r="K425" s="1" t="s">
        <v>917</v>
      </c>
    </row>
    <row r="426" spans="1:11" x14ac:dyDescent="0.15">
      <c r="A426" s="1" t="s">
        <v>918</v>
      </c>
      <c r="B426" s="1">
        <v>512.46879999999999</v>
      </c>
      <c r="C426" s="1">
        <v>35.1419</v>
      </c>
      <c r="D426" s="1">
        <v>41.310299999999998</v>
      </c>
      <c r="E426" s="1">
        <v>42.183100000000003</v>
      </c>
      <c r="F426" s="1">
        <v>3471</v>
      </c>
      <c r="G426" s="1">
        <v>5.298</v>
      </c>
      <c r="H426" s="1">
        <v>1112300</v>
      </c>
      <c r="I426" s="1">
        <v>373056</v>
      </c>
      <c r="J426" s="1" t="s">
        <v>128</v>
      </c>
      <c r="K426" s="1" t="s">
        <v>919</v>
      </c>
    </row>
    <row r="427" spans="1:11" x14ac:dyDescent="0.15">
      <c r="A427" s="1" t="s">
        <v>920</v>
      </c>
      <c r="B427" s="1">
        <v>208.16319999999999</v>
      </c>
      <c r="C427" s="1">
        <v>31.932700000000001</v>
      </c>
      <c r="D427" s="1">
        <v>39.313200000000002</v>
      </c>
      <c r="E427" s="1">
        <v>40.090800000000002</v>
      </c>
      <c r="F427" s="1">
        <v>2463</v>
      </c>
      <c r="G427" s="1">
        <v>4.5069999999999997</v>
      </c>
      <c r="H427" s="1">
        <v>1112076</v>
      </c>
      <c r="I427" s="1">
        <v>372352</v>
      </c>
      <c r="J427" s="1" t="s">
        <v>128</v>
      </c>
      <c r="K427" s="1" t="s">
        <v>921</v>
      </c>
    </row>
    <row r="428" spans="1:11" x14ac:dyDescent="0.15">
      <c r="A428" s="1" t="s">
        <v>922</v>
      </c>
      <c r="B428" s="1">
        <v>97.92</v>
      </c>
      <c r="C428" s="1">
        <v>29.039899999999999</v>
      </c>
      <c r="D428" s="1">
        <v>37.92</v>
      </c>
      <c r="E428" s="1">
        <v>38.342500000000001</v>
      </c>
      <c r="F428" s="1">
        <v>1808</v>
      </c>
      <c r="G428" s="1">
        <v>3.8820000000000001</v>
      </c>
      <c r="H428" s="1">
        <v>1110424</v>
      </c>
      <c r="I428" s="1">
        <v>371284</v>
      </c>
      <c r="J428" s="1" t="s">
        <v>128</v>
      </c>
      <c r="K428" s="1" t="s">
        <v>923</v>
      </c>
    </row>
    <row r="429" spans="1:11" x14ac:dyDescent="0.15">
      <c r="A429" s="1" t="s">
        <v>924</v>
      </c>
      <c r="B429" s="1">
        <v>1390.3088</v>
      </c>
      <c r="C429" s="1">
        <v>38.501100000000001</v>
      </c>
      <c r="D429" s="1">
        <v>40.990900000000003</v>
      </c>
      <c r="E429" s="1">
        <v>41.906999999999996</v>
      </c>
      <c r="F429" s="1">
        <v>5472</v>
      </c>
      <c r="G429" s="1">
        <v>5.33</v>
      </c>
      <c r="H429" s="1">
        <v>1110064</v>
      </c>
      <c r="I429" s="1">
        <v>361124</v>
      </c>
      <c r="J429" s="1" t="s">
        <v>128</v>
      </c>
      <c r="K429" s="1" t="s">
        <v>925</v>
      </c>
    </row>
    <row r="430" spans="1:11" x14ac:dyDescent="0.15">
      <c r="A430" s="1" t="s">
        <v>926</v>
      </c>
      <c r="B430" s="1">
        <v>531.26080000000002</v>
      </c>
      <c r="C430" s="1">
        <v>34.745199999999997</v>
      </c>
      <c r="D430" s="1">
        <v>38.017800000000001</v>
      </c>
      <c r="E430" s="1">
        <v>38.819899999999997</v>
      </c>
      <c r="F430" s="1">
        <v>3778</v>
      </c>
      <c r="G430" s="1">
        <v>4.0860000000000003</v>
      </c>
      <c r="H430" s="1">
        <v>1106836</v>
      </c>
      <c r="I430" s="1">
        <v>360472</v>
      </c>
      <c r="J430" s="1" t="s">
        <v>128</v>
      </c>
      <c r="K430" s="1" t="s">
        <v>927</v>
      </c>
    </row>
    <row r="431" spans="1:11" x14ac:dyDescent="0.15">
      <c r="A431" s="1" t="s">
        <v>928</v>
      </c>
      <c r="B431" s="1">
        <v>238.74879999999999</v>
      </c>
      <c r="C431" s="1">
        <v>31.5931</v>
      </c>
      <c r="D431" s="1">
        <v>35.979999999999997</v>
      </c>
      <c r="E431" s="1">
        <v>36.624099999999999</v>
      </c>
      <c r="F431" s="1">
        <v>2733</v>
      </c>
      <c r="G431" s="1">
        <v>2.7850000000000001</v>
      </c>
      <c r="H431" s="1">
        <v>1105268</v>
      </c>
      <c r="I431" s="1">
        <v>359076</v>
      </c>
      <c r="J431" s="1" t="s">
        <v>128</v>
      </c>
      <c r="K431" s="1" t="s">
        <v>929</v>
      </c>
    </row>
    <row r="432" spans="1:11" x14ac:dyDescent="0.15">
      <c r="A432" s="1" t="s">
        <v>930</v>
      </c>
      <c r="B432" s="1">
        <v>110.7376</v>
      </c>
      <c r="C432" s="1">
        <v>28.811399999999999</v>
      </c>
      <c r="D432" s="1">
        <v>34.560499999999998</v>
      </c>
      <c r="E432" s="1">
        <v>35.162300000000002</v>
      </c>
      <c r="F432" s="1">
        <v>2106</v>
      </c>
      <c r="G432" s="1">
        <v>1.9450000000000001</v>
      </c>
      <c r="H432" s="1">
        <v>1103776</v>
      </c>
      <c r="I432" s="1">
        <v>358956</v>
      </c>
      <c r="J432" s="1" t="s">
        <v>128</v>
      </c>
      <c r="K432" s="1" t="s">
        <v>931</v>
      </c>
    </row>
    <row r="433" spans="1:11" x14ac:dyDescent="0.15">
      <c r="A433" s="1" t="s">
        <v>932</v>
      </c>
      <c r="B433" s="1">
        <v>1025.5424</v>
      </c>
      <c r="C433" s="1">
        <v>39.298099999999998</v>
      </c>
      <c r="D433" s="1">
        <v>40.481000000000002</v>
      </c>
      <c r="E433" s="1">
        <v>41.849400000000003</v>
      </c>
      <c r="F433" s="1">
        <v>4089</v>
      </c>
      <c r="G433" s="1">
        <v>3.4609999999999999</v>
      </c>
      <c r="H433" s="1">
        <v>1105716</v>
      </c>
      <c r="I433" s="1">
        <v>333672</v>
      </c>
      <c r="J433" s="1" t="s">
        <v>128</v>
      </c>
      <c r="K433" s="1" t="s">
        <v>933</v>
      </c>
    </row>
    <row r="434" spans="1:11" x14ac:dyDescent="0.15">
      <c r="A434" s="1" t="s">
        <v>934</v>
      </c>
      <c r="B434" s="1">
        <v>434.57440000000003</v>
      </c>
      <c r="C434" s="1">
        <v>34.775199999999998</v>
      </c>
      <c r="D434" s="1">
        <v>37.528599999999997</v>
      </c>
      <c r="E434" s="1">
        <v>38.563600000000001</v>
      </c>
      <c r="F434" s="1">
        <v>3151</v>
      </c>
      <c r="G434" s="1">
        <v>2.9209999999999998</v>
      </c>
      <c r="H434" s="1">
        <v>1104292</v>
      </c>
      <c r="I434" s="1">
        <v>333444</v>
      </c>
      <c r="J434" s="1" t="s">
        <v>128</v>
      </c>
      <c r="K434" s="1" t="s">
        <v>935</v>
      </c>
    </row>
    <row r="435" spans="1:11" x14ac:dyDescent="0.15">
      <c r="A435" s="1" t="s">
        <v>936</v>
      </c>
      <c r="B435" s="1">
        <v>192.90880000000001</v>
      </c>
      <c r="C435" s="1">
        <v>31.110900000000001</v>
      </c>
      <c r="D435" s="1">
        <v>35.941200000000002</v>
      </c>
      <c r="E435" s="1">
        <v>36.691000000000003</v>
      </c>
      <c r="F435" s="1">
        <v>2348</v>
      </c>
      <c r="G435" s="1">
        <v>2.4849999999999999</v>
      </c>
      <c r="H435" s="1">
        <v>1104004</v>
      </c>
      <c r="I435" s="1">
        <v>332532</v>
      </c>
      <c r="J435" s="1" t="s">
        <v>128</v>
      </c>
      <c r="K435" s="1" t="s">
        <v>937</v>
      </c>
    </row>
    <row r="436" spans="1:11" x14ac:dyDescent="0.15">
      <c r="A436" s="1" t="s">
        <v>938</v>
      </c>
      <c r="B436" s="1">
        <v>91.334400000000002</v>
      </c>
      <c r="C436" s="1">
        <v>28.5474</v>
      </c>
      <c r="D436" s="1">
        <v>34.4499</v>
      </c>
      <c r="E436" s="1">
        <v>34.877200000000002</v>
      </c>
      <c r="F436" s="1">
        <v>1686</v>
      </c>
      <c r="G436" s="1">
        <v>2.0680000000000001</v>
      </c>
      <c r="H436" s="1">
        <v>1103312</v>
      </c>
      <c r="I436" s="1">
        <v>331704</v>
      </c>
      <c r="J436" s="1" t="s">
        <v>128</v>
      </c>
      <c r="K436" s="1" t="s">
        <v>939</v>
      </c>
    </row>
    <row r="437" spans="1:11" x14ac:dyDescent="0.15">
      <c r="A437" s="1" t="s">
        <v>940</v>
      </c>
      <c r="B437" s="1">
        <v>1924.52</v>
      </c>
      <c r="C437" s="1">
        <v>42.984699999999997</v>
      </c>
      <c r="D437" s="1">
        <v>47.216200000000001</v>
      </c>
      <c r="E437" s="1">
        <v>48.468499999999999</v>
      </c>
      <c r="F437" s="1">
        <v>22406</v>
      </c>
      <c r="G437" s="1">
        <v>26.443000000000001</v>
      </c>
      <c r="H437" s="1">
        <v>2210332</v>
      </c>
      <c r="I437" s="1">
        <v>508460</v>
      </c>
      <c r="J437" s="1" t="s">
        <v>128</v>
      </c>
      <c r="K437" s="1" t="s">
        <v>941</v>
      </c>
    </row>
    <row r="438" spans="1:11" x14ac:dyDescent="0.15">
      <c r="A438" s="1" t="s">
        <v>942</v>
      </c>
      <c r="B438" s="1">
        <v>704.39679999999998</v>
      </c>
      <c r="C438" s="1">
        <v>40.872</v>
      </c>
      <c r="D438" s="1">
        <v>45.461500000000001</v>
      </c>
      <c r="E438" s="1">
        <v>46.481299999999997</v>
      </c>
      <c r="F438" s="1">
        <v>15207</v>
      </c>
      <c r="G438" s="1">
        <v>16.417999999999999</v>
      </c>
      <c r="H438" s="1">
        <v>2209768</v>
      </c>
      <c r="I438" s="1">
        <v>504756</v>
      </c>
      <c r="J438" s="1" t="s">
        <v>128</v>
      </c>
      <c r="K438" s="1" t="s">
        <v>943</v>
      </c>
    </row>
    <row r="439" spans="1:11" x14ac:dyDescent="0.15">
      <c r="A439" s="1" t="s">
        <v>944</v>
      </c>
      <c r="B439" s="1">
        <v>353.35039999999998</v>
      </c>
      <c r="C439" s="1">
        <v>38.456400000000002</v>
      </c>
      <c r="D439" s="1">
        <v>43.566099999999999</v>
      </c>
      <c r="E439" s="1">
        <v>44.338700000000003</v>
      </c>
      <c r="F439" s="1">
        <v>11691</v>
      </c>
      <c r="G439" s="1">
        <v>12.164</v>
      </c>
      <c r="H439" s="1">
        <v>2203488</v>
      </c>
      <c r="I439" s="1">
        <v>498668</v>
      </c>
      <c r="J439" s="1" t="s">
        <v>128</v>
      </c>
      <c r="K439" s="1" t="s">
        <v>945</v>
      </c>
    </row>
    <row r="440" spans="1:11" x14ac:dyDescent="0.15">
      <c r="A440" s="1" t="s">
        <v>946</v>
      </c>
      <c r="B440" s="1">
        <v>191.864</v>
      </c>
      <c r="C440" s="1">
        <v>35.762</v>
      </c>
      <c r="D440" s="1">
        <v>41.936</v>
      </c>
      <c r="E440" s="1">
        <v>42.6676</v>
      </c>
      <c r="F440" s="1">
        <v>9898</v>
      </c>
      <c r="G440" s="1">
        <v>8.4</v>
      </c>
      <c r="H440" s="1">
        <v>2196408</v>
      </c>
      <c r="I440" s="1">
        <v>496828</v>
      </c>
      <c r="J440" s="1" t="s">
        <v>128</v>
      </c>
      <c r="K440" s="1" t="s">
        <v>947</v>
      </c>
    </row>
    <row r="441" spans="1:11" x14ac:dyDescent="0.15">
      <c r="A441" s="1" t="s">
        <v>948</v>
      </c>
      <c r="B441" s="1">
        <v>1406.2288000000001</v>
      </c>
      <c r="C441" s="1">
        <v>43.225099999999998</v>
      </c>
      <c r="D441" s="1">
        <v>48.6875</v>
      </c>
      <c r="E441" s="1">
        <v>49.303899999999999</v>
      </c>
      <c r="F441" s="1">
        <v>21593</v>
      </c>
      <c r="G441" s="1">
        <v>21.341999999999999</v>
      </c>
      <c r="H441" s="1">
        <v>2200956</v>
      </c>
      <c r="I441" s="1">
        <v>499064</v>
      </c>
      <c r="J441" s="1" t="s">
        <v>128</v>
      </c>
      <c r="K441" s="1" t="s">
        <v>949</v>
      </c>
    </row>
    <row r="442" spans="1:11" x14ac:dyDescent="0.15">
      <c r="A442" s="1" t="s">
        <v>950</v>
      </c>
      <c r="B442" s="1">
        <v>369.74079999999998</v>
      </c>
      <c r="C442" s="1">
        <v>41.704999999999998</v>
      </c>
      <c r="D442" s="1">
        <v>47.443899999999999</v>
      </c>
      <c r="E442" s="1">
        <v>47.9041</v>
      </c>
      <c r="F442" s="1">
        <v>12989</v>
      </c>
      <c r="G442" s="1">
        <v>13.925000000000001</v>
      </c>
      <c r="H442" s="1">
        <v>2197052</v>
      </c>
      <c r="I442" s="1">
        <v>494488</v>
      </c>
      <c r="J442" s="1" t="s">
        <v>128</v>
      </c>
      <c r="K442" s="1" t="s">
        <v>951</v>
      </c>
    </row>
    <row r="443" spans="1:11" x14ac:dyDescent="0.15">
      <c r="A443" s="1" t="s">
        <v>952</v>
      </c>
      <c r="B443" s="1">
        <v>167.95679999999999</v>
      </c>
      <c r="C443" s="1">
        <v>39.916499999999999</v>
      </c>
      <c r="D443" s="1">
        <v>45.724299999999999</v>
      </c>
      <c r="E443" s="1">
        <v>46.095599999999997</v>
      </c>
      <c r="F443" s="1">
        <v>9916</v>
      </c>
      <c r="G443" s="1">
        <v>9.6419999999999995</v>
      </c>
      <c r="H443" s="1">
        <v>2194016</v>
      </c>
      <c r="I443" s="1">
        <v>491800</v>
      </c>
      <c r="J443" s="1" t="s">
        <v>128</v>
      </c>
      <c r="K443" s="1" t="s">
        <v>953</v>
      </c>
    </row>
    <row r="444" spans="1:11" x14ac:dyDescent="0.15">
      <c r="A444" s="1" t="s">
        <v>954</v>
      </c>
      <c r="B444" s="1">
        <v>92.105599999999995</v>
      </c>
      <c r="C444" s="1">
        <v>37.769500000000001</v>
      </c>
      <c r="D444" s="1">
        <v>44.190100000000001</v>
      </c>
      <c r="E444" s="1">
        <v>44.470199999999998</v>
      </c>
      <c r="F444" s="1">
        <v>8232</v>
      </c>
      <c r="G444" s="1">
        <v>7.86</v>
      </c>
      <c r="H444" s="1">
        <v>2191784</v>
      </c>
      <c r="I444" s="1">
        <v>490460</v>
      </c>
      <c r="J444" s="1" t="s">
        <v>128</v>
      </c>
      <c r="K444" s="1" t="s">
        <v>955</v>
      </c>
    </row>
    <row r="445" spans="1:11" x14ac:dyDescent="0.15">
      <c r="A445" s="1" t="s">
        <v>956</v>
      </c>
      <c r="B445" s="1">
        <v>1552.7456</v>
      </c>
      <c r="C445" s="1">
        <v>43.723700000000001</v>
      </c>
      <c r="D445" s="1">
        <v>47.972900000000003</v>
      </c>
      <c r="E445" s="1">
        <v>48.942900000000002</v>
      </c>
      <c r="F445" s="1">
        <v>23768</v>
      </c>
      <c r="G445" s="1">
        <v>27.248000000000001</v>
      </c>
      <c r="H445" s="1">
        <v>2206952</v>
      </c>
      <c r="I445" s="1">
        <v>504528</v>
      </c>
      <c r="J445" s="1" t="s">
        <v>128</v>
      </c>
      <c r="K445" s="1" t="s">
        <v>957</v>
      </c>
    </row>
    <row r="446" spans="1:11" x14ac:dyDescent="0.15">
      <c r="A446" s="1" t="s">
        <v>958</v>
      </c>
      <c r="B446" s="1">
        <v>522.54719999999998</v>
      </c>
      <c r="C446" s="1">
        <v>41.816699999999997</v>
      </c>
      <c r="D446" s="1">
        <v>46.415399999999998</v>
      </c>
      <c r="E446" s="1">
        <v>47.190600000000003</v>
      </c>
      <c r="F446" s="1">
        <v>14986</v>
      </c>
      <c r="G446" s="1">
        <v>17.957000000000001</v>
      </c>
      <c r="H446" s="1">
        <v>2200048</v>
      </c>
      <c r="I446" s="1">
        <v>497616</v>
      </c>
      <c r="J446" s="1" t="s">
        <v>128</v>
      </c>
      <c r="K446" s="1" t="s">
        <v>959</v>
      </c>
    </row>
    <row r="447" spans="1:11" x14ac:dyDescent="0.15">
      <c r="A447" s="1" t="s">
        <v>960</v>
      </c>
      <c r="B447" s="1">
        <v>241.27359999999999</v>
      </c>
      <c r="C447" s="1">
        <v>39.617400000000004</v>
      </c>
      <c r="D447" s="1">
        <v>44.674100000000003</v>
      </c>
      <c r="E447" s="1">
        <v>45.2622</v>
      </c>
      <c r="F447" s="1">
        <v>11258</v>
      </c>
      <c r="G447" s="1">
        <v>13.159000000000001</v>
      </c>
      <c r="H447" s="1">
        <v>2195768</v>
      </c>
      <c r="I447" s="1">
        <v>495360</v>
      </c>
      <c r="J447" s="1" t="s">
        <v>128</v>
      </c>
      <c r="K447" s="1" t="s">
        <v>961</v>
      </c>
    </row>
    <row r="448" spans="1:11" x14ac:dyDescent="0.15">
      <c r="A448" s="1" t="s">
        <v>962</v>
      </c>
      <c r="B448" s="1">
        <v>127.336</v>
      </c>
      <c r="C448" s="1">
        <v>37.211199999999998</v>
      </c>
      <c r="D448" s="1">
        <v>42.969200000000001</v>
      </c>
      <c r="E448" s="1">
        <v>43.592300000000002</v>
      </c>
      <c r="F448" s="1">
        <v>9046</v>
      </c>
      <c r="G448" s="1">
        <v>9.4879999999999995</v>
      </c>
      <c r="H448" s="1">
        <v>2194888</v>
      </c>
      <c r="I448" s="1">
        <v>493632</v>
      </c>
      <c r="J448" s="1" t="s">
        <v>128</v>
      </c>
      <c r="K448" s="1" t="s">
        <v>963</v>
      </c>
    </row>
    <row r="449" spans="1:11" x14ac:dyDescent="0.15">
      <c r="A449" s="1" t="s">
        <v>964</v>
      </c>
      <c r="B449" s="1">
        <v>2498.6864</v>
      </c>
      <c r="C449" s="1">
        <v>41.561500000000002</v>
      </c>
      <c r="D449" s="1">
        <v>43.862299999999998</v>
      </c>
      <c r="E449" s="1">
        <v>44.833399999999997</v>
      </c>
      <c r="F449" s="1">
        <v>23979</v>
      </c>
      <c r="G449" s="1">
        <v>17.079999999999998</v>
      </c>
      <c r="H449" s="1">
        <v>1652068</v>
      </c>
      <c r="I449" s="1">
        <v>435212</v>
      </c>
      <c r="J449" s="1" t="s">
        <v>128</v>
      </c>
      <c r="K449" s="1" t="s">
        <v>965</v>
      </c>
    </row>
    <row r="450" spans="1:11" x14ac:dyDescent="0.15">
      <c r="A450" s="1" t="s">
        <v>966</v>
      </c>
      <c r="B450" s="1">
        <v>1080.3184000000001</v>
      </c>
      <c r="C450" s="1">
        <v>38.309600000000003</v>
      </c>
      <c r="D450" s="1">
        <v>41.048200000000001</v>
      </c>
      <c r="E450" s="1">
        <v>41.4818</v>
      </c>
      <c r="F450" s="1">
        <v>16624</v>
      </c>
      <c r="G450" s="1">
        <v>12.375</v>
      </c>
      <c r="H450" s="1">
        <v>1648112</v>
      </c>
      <c r="I450" s="1">
        <v>427740</v>
      </c>
      <c r="J450" s="1" t="s">
        <v>128</v>
      </c>
      <c r="K450" s="1" t="s">
        <v>967</v>
      </c>
    </row>
    <row r="451" spans="1:11" x14ac:dyDescent="0.15">
      <c r="A451" s="1" t="s">
        <v>968</v>
      </c>
      <c r="B451" s="1">
        <v>532.16319999999996</v>
      </c>
      <c r="C451" s="1">
        <v>35.2879</v>
      </c>
      <c r="D451" s="1">
        <v>39.082999999999998</v>
      </c>
      <c r="E451" s="1">
        <v>39.299100000000003</v>
      </c>
      <c r="F451" s="1">
        <v>11852</v>
      </c>
      <c r="G451" s="1">
        <v>10.577999999999999</v>
      </c>
      <c r="H451" s="1">
        <v>1643224</v>
      </c>
      <c r="I451" s="1">
        <v>425604</v>
      </c>
      <c r="J451" s="1" t="s">
        <v>128</v>
      </c>
      <c r="K451" s="1" t="s">
        <v>969</v>
      </c>
    </row>
    <row r="452" spans="1:11" x14ac:dyDescent="0.15">
      <c r="A452" s="1" t="s">
        <v>970</v>
      </c>
      <c r="B452" s="1">
        <v>277.9024</v>
      </c>
      <c r="C452" s="1">
        <v>32.639800000000001</v>
      </c>
      <c r="D452" s="1">
        <v>37.182099999999998</v>
      </c>
      <c r="E452" s="1">
        <v>37.215499999999999</v>
      </c>
      <c r="F452" s="1">
        <v>8620</v>
      </c>
      <c r="G452" s="1">
        <v>9.0709999999999997</v>
      </c>
      <c r="H452" s="1">
        <v>1640676</v>
      </c>
      <c r="I452" s="1">
        <v>420960</v>
      </c>
      <c r="J452" s="1" t="s">
        <v>128</v>
      </c>
      <c r="K452" s="1" t="s">
        <v>971</v>
      </c>
    </row>
    <row r="453" spans="1:11" x14ac:dyDescent="0.15">
      <c r="A453" s="1" t="s">
        <v>972</v>
      </c>
      <c r="B453" s="1">
        <v>13777.9712</v>
      </c>
      <c r="C453" s="1">
        <v>43.204500000000003</v>
      </c>
      <c r="D453" s="1">
        <v>44.361400000000003</v>
      </c>
      <c r="E453" s="1">
        <v>44.838799999999999</v>
      </c>
      <c r="F453" s="1">
        <v>120916</v>
      </c>
      <c r="G453" s="1">
        <v>98.781000000000006</v>
      </c>
      <c r="H453" s="1">
        <v>3911292</v>
      </c>
      <c r="I453" s="1">
        <v>775264</v>
      </c>
      <c r="J453" s="1" t="s">
        <v>128</v>
      </c>
      <c r="K453" s="1" t="s">
        <v>973</v>
      </c>
    </row>
    <row r="454" spans="1:11" x14ac:dyDescent="0.15">
      <c r="A454" s="1" t="s">
        <v>974</v>
      </c>
      <c r="B454" s="1">
        <v>5124.9664000000002</v>
      </c>
      <c r="C454" s="1">
        <v>39.529899999999998</v>
      </c>
      <c r="D454" s="1">
        <v>41.164299999999997</v>
      </c>
      <c r="E454" s="1">
        <v>41.397300000000001</v>
      </c>
      <c r="F454" s="1">
        <v>76988</v>
      </c>
      <c r="G454" s="1">
        <v>77.796999999999997</v>
      </c>
      <c r="H454" s="1">
        <v>3877092</v>
      </c>
      <c r="I454" s="1">
        <v>735200</v>
      </c>
      <c r="J454" s="1" t="s">
        <v>128</v>
      </c>
      <c r="K454" s="1" t="s">
        <v>975</v>
      </c>
    </row>
    <row r="455" spans="1:11" x14ac:dyDescent="0.15">
      <c r="A455" s="1" t="s">
        <v>976</v>
      </c>
      <c r="B455" s="1">
        <v>2192.5408000000002</v>
      </c>
      <c r="C455" s="1">
        <v>36.412500000000001</v>
      </c>
      <c r="D455" s="1">
        <v>39.066899999999997</v>
      </c>
      <c r="E455" s="1">
        <v>39.136099999999999</v>
      </c>
      <c r="F455" s="1">
        <v>53103</v>
      </c>
      <c r="G455" s="1">
        <v>52.777999999999999</v>
      </c>
      <c r="H455" s="1">
        <v>3868408</v>
      </c>
      <c r="I455" s="1">
        <v>717016</v>
      </c>
      <c r="J455" s="1" t="s">
        <v>128</v>
      </c>
      <c r="K455" s="1" t="s">
        <v>977</v>
      </c>
    </row>
    <row r="456" spans="1:11" x14ac:dyDescent="0.15">
      <c r="A456" s="1" t="s">
        <v>978</v>
      </c>
      <c r="B456" s="1">
        <v>1053.0096000000001</v>
      </c>
      <c r="C456" s="1">
        <v>33.6997</v>
      </c>
      <c r="D456" s="1">
        <v>37.334699999999998</v>
      </c>
      <c r="E456" s="1">
        <v>37.246899999999997</v>
      </c>
      <c r="F456" s="1">
        <v>37251</v>
      </c>
      <c r="G456" s="1">
        <v>39.880000000000003</v>
      </c>
      <c r="H456" s="1">
        <v>3837152</v>
      </c>
      <c r="I456" s="1">
        <v>671080</v>
      </c>
      <c r="J456" s="1" t="s">
        <v>128</v>
      </c>
      <c r="K456" s="1" t="s">
        <v>979</v>
      </c>
    </row>
    <row r="457" spans="1:11" x14ac:dyDescent="0.15">
      <c r="A457" s="1" t="s">
        <v>980</v>
      </c>
      <c r="B457" s="1">
        <v>185.2944</v>
      </c>
      <c r="C457" s="1">
        <v>49.111899999999999</v>
      </c>
      <c r="D457" s="1">
        <v>48.181699999999999</v>
      </c>
      <c r="E457" s="1">
        <v>48.241100000000003</v>
      </c>
      <c r="F457" s="1">
        <v>5300</v>
      </c>
      <c r="G457" s="1">
        <v>2.4660000000000002</v>
      </c>
      <c r="H457" s="1">
        <v>3090388</v>
      </c>
      <c r="I457" s="1">
        <v>468284</v>
      </c>
      <c r="J457" s="1" t="s">
        <v>128</v>
      </c>
      <c r="K457" s="1" t="s">
        <v>981</v>
      </c>
    </row>
    <row r="458" spans="1:11" x14ac:dyDescent="0.15">
      <c r="A458" s="1" t="s">
        <v>982</v>
      </c>
      <c r="B458" s="1">
        <v>140.32</v>
      </c>
      <c r="C458" s="1">
        <v>45.1342</v>
      </c>
      <c r="D458" s="1">
        <v>45.6706</v>
      </c>
      <c r="E458" s="1">
        <v>45.3675</v>
      </c>
      <c r="F458" s="1">
        <v>4980</v>
      </c>
      <c r="G458" s="1">
        <v>2.335</v>
      </c>
      <c r="H458" s="1">
        <v>3081320</v>
      </c>
      <c r="I458" s="1">
        <v>464856</v>
      </c>
      <c r="J458" s="1" t="s">
        <v>128</v>
      </c>
      <c r="K458" s="1" t="s">
        <v>983</v>
      </c>
    </row>
    <row r="459" spans="1:11" x14ac:dyDescent="0.15">
      <c r="A459" s="1" t="s">
        <v>984</v>
      </c>
      <c r="B459" s="1">
        <v>110.6576</v>
      </c>
      <c r="C459" s="1">
        <v>40.789000000000001</v>
      </c>
      <c r="D459" s="1">
        <v>43.331200000000003</v>
      </c>
      <c r="E459" s="1">
        <v>42.942399999999999</v>
      </c>
      <c r="F459" s="1">
        <v>4849</v>
      </c>
      <c r="G459" s="1">
        <v>2.1179999999999999</v>
      </c>
      <c r="H459" s="1">
        <v>3083936</v>
      </c>
      <c r="I459" s="1">
        <v>466432</v>
      </c>
      <c r="J459" s="1" t="s">
        <v>128</v>
      </c>
      <c r="K459" s="1" t="s">
        <v>985</v>
      </c>
    </row>
    <row r="460" spans="1:11" x14ac:dyDescent="0.15">
      <c r="A460" s="1" t="s">
        <v>986</v>
      </c>
      <c r="B460" s="1">
        <v>85.144000000000005</v>
      </c>
      <c r="C460" s="1">
        <v>35.986600000000003</v>
      </c>
      <c r="D460" s="1">
        <v>40.716900000000003</v>
      </c>
      <c r="E460" s="1">
        <v>40.474499999999999</v>
      </c>
      <c r="F460" s="1">
        <v>4655</v>
      </c>
      <c r="G460" s="1">
        <v>2.2850000000000001</v>
      </c>
      <c r="H460" s="1">
        <v>3080672</v>
      </c>
      <c r="I460" s="1">
        <v>463172</v>
      </c>
      <c r="J460" s="1" t="s">
        <v>128</v>
      </c>
      <c r="K460" s="1" t="s">
        <v>987</v>
      </c>
    </row>
    <row r="461" spans="1:11" x14ac:dyDescent="0.15">
      <c r="A461" s="1" t="s">
        <v>988</v>
      </c>
      <c r="B461" s="1">
        <v>440.87520000000001</v>
      </c>
      <c r="C461" s="1">
        <v>50.444200000000002</v>
      </c>
      <c r="D461" s="1">
        <v>52.532800000000002</v>
      </c>
      <c r="E461" s="1">
        <v>54.479900000000001</v>
      </c>
      <c r="F461" s="1">
        <v>6292</v>
      </c>
      <c r="G461" s="1">
        <v>6.39</v>
      </c>
      <c r="H461" s="1">
        <v>3005272</v>
      </c>
      <c r="I461" s="1">
        <v>468080</v>
      </c>
      <c r="J461" s="1" t="s">
        <v>128</v>
      </c>
      <c r="K461" s="1" t="s">
        <v>989</v>
      </c>
    </row>
    <row r="462" spans="1:11" x14ac:dyDescent="0.15">
      <c r="A462" s="1" t="s">
        <v>990</v>
      </c>
      <c r="B462" s="1">
        <v>201.024</v>
      </c>
      <c r="C462" s="1">
        <v>46.437399999999997</v>
      </c>
      <c r="D462" s="1">
        <v>49.348399999999998</v>
      </c>
      <c r="E462" s="1">
        <v>51.4178</v>
      </c>
      <c r="F462" s="1">
        <v>5204</v>
      </c>
      <c r="G462" s="1">
        <v>6.335</v>
      </c>
      <c r="H462" s="1">
        <v>3002724</v>
      </c>
      <c r="I462" s="1">
        <v>457344</v>
      </c>
      <c r="J462" s="1" t="s">
        <v>128</v>
      </c>
      <c r="K462" s="1" t="s">
        <v>991</v>
      </c>
    </row>
    <row r="463" spans="1:11" x14ac:dyDescent="0.15">
      <c r="A463" s="1" t="s">
        <v>992</v>
      </c>
      <c r="B463" s="1">
        <v>107.85120000000001</v>
      </c>
      <c r="C463" s="1">
        <v>43.052100000000003</v>
      </c>
      <c r="D463" s="1">
        <v>47.217199999999998</v>
      </c>
      <c r="E463" s="1">
        <v>49.380099999999999</v>
      </c>
      <c r="F463" s="1">
        <v>4229</v>
      </c>
      <c r="G463" s="1">
        <v>6.2939999999999996</v>
      </c>
      <c r="H463" s="1">
        <v>3001152</v>
      </c>
      <c r="I463" s="1">
        <v>449324</v>
      </c>
      <c r="J463" s="1" t="s">
        <v>128</v>
      </c>
      <c r="K463" s="1" t="s">
        <v>993</v>
      </c>
    </row>
    <row r="464" spans="1:11" x14ac:dyDescent="0.15">
      <c r="A464" s="1" t="s">
        <v>994</v>
      </c>
      <c r="B464" s="1">
        <v>70.038399999999996</v>
      </c>
      <c r="C464" s="1">
        <v>39.841999999999999</v>
      </c>
      <c r="D464" s="1">
        <v>45.026499999999999</v>
      </c>
      <c r="E464" s="1">
        <v>46.8581</v>
      </c>
      <c r="F464" s="1">
        <v>3567</v>
      </c>
      <c r="G464" s="1">
        <v>6.0860000000000003</v>
      </c>
      <c r="H464" s="1">
        <v>2999144</v>
      </c>
      <c r="I464" s="1">
        <v>455272</v>
      </c>
      <c r="J464" s="1" t="s">
        <v>128</v>
      </c>
      <c r="K464" s="1" t="s">
        <v>995</v>
      </c>
    </row>
    <row r="465" spans="1:11" x14ac:dyDescent="0.15">
      <c r="A465" s="1" t="s">
        <v>996</v>
      </c>
      <c r="B465" s="1">
        <v>22161.900799999999</v>
      </c>
      <c r="C465" s="1">
        <v>45.916699999999999</v>
      </c>
      <c r="D465" s="1">
        <v>45.206800000000001</v>
      </c>
      <c r="E465" s="1">
        <v>45.373600000000003</v>
      </c>
      <c r="F465" s="1">
        <v>144511</v>
      </c>
      <c r="G465" s="1">
        <v>109.61</v>
      </c>
      <c r="H465" s="1">
        <v>5069156</v>
      </c>
      <c r="I465" s="1">
        <v>726612</v>
      </c>
      <c r="J465" s="1" t="s">
        <v>128</v>
      </c>
      <c r="K465" s="1" t="s">
        <v>997</v>
      </c>
    </row>
    <row r="466" spans="1:11" x14ac:dyDescent="0.15">
      <c r="A466" s="1" t="s">
        <v>998</v>
      </c>
      <c r="B466" s="1">
        <v>11167.6432</v>
      </c>
      <c r="C466" s="1">
        <v>40.3703</v>
      </c>
      <c r="D466" s="1">
        <v>40.597999999999999</v>
      </c>
      <c r="E466" s="1">
        <v>40.9773</v>
      </c>
      <c r="F466" s="1">
        <v>122874</v>
      </c>
      <c r="G466" s="1">
        <v>101.233</v>
      </c>
      <c r="H466" s="1">
        <v>5085684</v>
      </c>
      <c r="I466" s="1">
        <v>749484</v>
      </c>
      <c r="J466" s="1" t="s">
        <v>128</v>
      </c>
      <c r="K466" s="1" t="s">
        <v>999</v>
      </c>
    </row>
    <row r="467" spans="1:11" x14ac:dyDescent="0.15">
      <c r="A467" s="1" t="s">
        <v>1000</v>
      </c>
      <c r="B467" s="1">
        <v>6381.0320000000002</v>
      </c>
      <c r="C467" s="1">
        <v>36.105800000000002</v>
      </c>
      <c r="D467" s="1">
        <v>38.247</v>
      </c>
      <c r="E467" s="1">
        <v>38.782200000000003</v>
      </c>
      <c r="F467" s="1">
        <v>100661</v>
      </c>
      <c r="G467" s="1">
        <v>96.078000000000003</v>
      </c>
      <c r="H467" s="1">
        <v>5073016</v>
      </c>
      <c r="I467" s="1">
        <v>737928</v>
      </c>
      <c r="J467" s="1" t="s">
        <v>128</v>
      </c>
      <c r="K467" s="1" t="s">
        <v>1001</v>
      </c>
    </row>
    <row r="468" spans="1:11" x14ac:dyDescent="0.15">
      <c r="A468" s="1" t="s">
        <v>1002</v>
      </c>
      <c r="B468" s="1">
        <v>3704.4544000000001</v>
      </c>
      <c r="C468" s="1">
        <v>32.222999999999999</v>
      </c>
      <c r="D468" s="1">
        <v>35.266500000000001</v>
      </c>
      <c r="E468" s="1">
        <v>35.936500000000002</v>
      </c>
      <c r="F468" s="1">
        <v>75805</v>
      </c>
      <c r="G468" s="1">
        <v>84.48</v>
      </c>
      <c r="H468" s="1">
        <v>5065888</v>
      </c>
      <c r="I468" s="1">
        <v>739348</v>
      </c>
      <c r="J468" s="1" t="s">
        <v>128</v>
      </c>
      <c r="K468" s="1" t="s">
        <v>1003</v>
      </c>
    </row>
    <row r="469" spans="1:11" x14ac:dyDescent="0.15">
      <c r="A469" s="1" t="s">
        <v>1004</v>
      </c>
      <c r="B469" s="1">
        <v>1071.8368</v>
      </c>
      <c r="C469" s="1">
        <v>54.441000000000003</v>
      </c>
      <c r="D469" s="1">
        <v>49.305300000000003</v>
      </c>
      <c r="E469" s="1">
        <v>49.520600000000002</v>
      </c>
      <c r="F469" s="1">
        <v>24051</v>
      </c>
      <c r="G469" s="1">
        <v>32.468000000000004</v>
      </c>
      <c r="H469" s="1">
        <v>5028620</v>
      </c>
      <c r="I469" s="1">
        <v>726324</v>
      </c>
      <c r="J469" s="1" t="s">
        <v>128</v>
      </c>
      <c r="K469" s="1" t="s">
        <v>1005</v>
      </c>
    </row>
    <row r="470" spans="1:11" x14ac:dyDescent="0.15">
      <c r="A470" s="1" t="s">
        <v>1006</v>
      </c>
      <c r="B470" s="1">
        <v>777.37120000000004</v>
      </c>
      <c r="C470" s="1">
        <v>49.360900000000001</v>
      </c>
      <c r="D470" s="1">
        <v>46.305399999999999</v>
      </c>
      <c r="E470" s="1">
        <v>46.252699999999997</v>
      </c>
      <c r="F470" s="1">
        <v>22195</v>
      </c>
      <c r="G470" s="1">
        <v>24.297000000000001</v>
      </c>
      <c r="H470" s="1">
        <v>5031540</v>
      </c>
      <c r="I470" s="1">
        <v>714932</v>
      </c>
      <c r="J470" s="1" t="s">
        <v>128</v>
      </c>
      <c r="K470" s="1" t="s">
        <v>1007</v>
      </c>
    </row>
    <row r="471" spans="1:11" x14ac:dyDescent="0.15">
      <c r="A471" s="1" t="s">
        <v>1008</v>
      </c>
      <c r="B471" s="1">
        <v>698.56960000000004</v>
      </c>
      <c r="C471" s="1">
        <v>44.2913</v>
      </c>
      <c r="D471" s="1">
        <v>43.741900000000001</v>
      </c>
      <c r="E471" s="1">
        <v>43.385800000000003</v>
      </c>
      <c r="F471" s="1">
        <v>21068</v>
      </c>
      <c r="G471" s="1">
        <v>14.561</v>
      </c>
      <c r="H471" s="1">
        <v>5027892</v>
      </c>
      <c r="I471" s="1">
        <v>721464</v>
      </c>
      <c r="J471" s="1" t="s">
        <v>128</v>
      </c>
      <c r="K471" s="1" t="s">
        <v>1009</v>
      </c>
    </row>
    <row r="472" spans="1:11" x14ac:dyDescent="0.15">
      <c r="A472" s="1" t="s">
        <v>1010</v>
      </c>
      <c r="B472" s="1">
        <v>623.17439999999999</v>
      </c>
      <c r="C472" s="1">
        <v>38.503399999999999</v>
      </c>
      <c r="D472" s="1">
        <v>40.862099999999998</v>
      </c>
      <c r="E472" s="1">
        <v>40.692999999999998</v>
      </c>
      <c r="F472" s="1">
        <v>20472</v>
      </c>
      <c r="G472" s="1">
        <v>19.001000000000001</v>
      </c>
      <c r="H472" s="1">
        <v>5042780</v>
      </c>
      <c r="I472" s="1">
        <v>729276</v>
      </c>
      <c r="J472" s="1" t="s">
        <v>128</v>
      </c>
      <c r="K472" s="1" t="s">
        <v>1011</v>
      </c>
    </row>
    <row r="473" spans="1:11" x14ac:dyDescent="0.15">
      <c r="A473" s="1" t="s">
        <v>1012</v>
      </c>
      <c r="B473" s="1">
        <v>3161.3888000000002</v>
      </c>
      <c r="C473" s="1">
        <v>53.1982</v>
      </c>
      <c r="D473" s="1">
        <v>51.081699999999998</v>
      </c>
      <c r="E473" s="1">
        <v>49.745100000000001</v>
      </c>
      <c r="F473" s="1">
        <v>43822</v>
      </c>
      <c r="G473" s="1">
        <v>41.37</v>
      </c>
      <c r="H473" s="1">
        <v>4959844</v>
      </c>
      <c r="I473" s="1">
        <v>714436</v>
      </c>
      <c r="J473" s="1" t="s">
        <v>128</v>
      </c>
      <c r="K473" s="1" t="s">
        <v>1013</v>
      </c>
    </row>
    <row r="474" spans="1:11" x14ac:dyDescent="0.15">
      <c r="A474" s="1" t="s">
        <v>1014</v>
      </c>
      <c r="B474" s="1">
        <v>2244.3968</v>
      </c>
      <c r="C474" s="1">
        <v>47.959000000000003</v>
      </c>
      <c r="D474" s="1">
        <v>46.039499999999997</v>
      </c>
      <c r="E474" s="1">
        <v>43.920200000000001</v>
      </c>
      <c r="F474" s="1">
        <v>40238</v>
      </c>
      <c r="G474" s="1">
        <v>44.395000000000003</v>
      </c>
      <c r="H474" s="1">
        <v>4965732</v>
      </c>
      <c r="I474" s="1">
        <v>741740</v>
      </c>
      <c r="J474" s="1" t="s">
        <v>128</v>
      </c>
      <c r="K474" s="1" t="s">
        <v>1015</v>
      </c>
    </row>
    <row r="475" spans="1:11" x14ac:dyDescent="0.15">
      <c r="A475" s="1" t="s">
        <v>1016</v>
      </c>
      <c r="B475" s="1">
        <v>1718.6512</v>
      </c>
      <c r="C475" s="1">
        <v>42.600900000000003</v>
      </c>
      <c r="D475" s="1">
        <v>42.823900000000002</v>
      </c>
      <c r="E475" s="1">
        <v>40.197099999999999</v>
      </c>
      <c r="F475" s="1">
        <v>37198</v>
      </c>
      <c r="G475" s="1">
        <v>44.133000000000003</v>
      </c>
      <c r="H475" s="1">
        <v>4937948</v>
      </c>
      <c r="I475" s="1">
        <v>735508</v>
      </c>
      <c r="J475" s="1" t="s">
        <v>128</v>
      </c>
      <c r="K475" s="1" t="s">
        <v>1017</v>
      </c>
    </row>
    <row r="476" spans="1:11" x14ac:dyDescent="0.15">
      <c r="A476" s="1" t="s">
        <v>1018</v>
      </c>
      <c r="B476" s="1">
        <v>1331.6656</v>
      </c>
      <c r="C476" s="1">
        <v>37.824100000000001</v>
      </c>
      <c r="D476" s="1">
        <v>39.531399999999998</v>
      </c>
      <c r="E476" s="1">
        <v>37.011400000000002</v>
      </c>
      <c r="F476" s="1">
        <v>33924</v>
      </c>
      <c r="G476" s="1">
        <v>44.002000000000002</v>
      </c>
      <c r="H476" s="1">
        <v>4954964</v>
      </c>
      <c r="I476" s="1">
        <v>719944</v>
      </c>
      <c r="J476" s="1" t="s">
        <v>128</v>
      </c>
      <c r="K476" s="1" t="s">
        <v>1019</v>
      </c>
    </row>
    <row r="477" spans="1:11" x14ac:dyDescent="0.15">
      <c r="A477" s="1" t="s">
        <v>1020</v>
      </c>
      <c r="B477" s="1">
        <v>2243.6624000000002</v>
      </c>
      <c r="C477" s="1">
        <v>48.094000000000001</v>
      </c>
      <c r="D477" s="1">
        <v>47.6325</v>
      </c>
      <c r="E477" s="1">
        <v>47.653700000000001</v>
      </c>
      <c r="F477" s="1">
        <v>32977</v>
      </c>
      <c r="G477" s="1">
        <v>18.548999999999999</v>
      </c>
      <c r="H477" s="1">
        <v>5206788</v>
      </c>
      <c r="I477" s="1">
        <v>776108</v>
      </c>
      <c r="J477" s="1" t="s">
        <v>128</v>
      </c>
      <c r="K477" s="1" t="s">
        <v>1021</v>
      </c>
    </row>
    <row r="478" spans="1:11" x14ac:dyDescent="0.15">
      <c r="A478" s="1" t="s">
        <v>1022</v>
      </c>
      <c r="B478" s="1">
        <v>1554.5247999999999</v>
      </c>
      <c r="C478" s="1">
        <v>43.433700000000002</v>
      </c>
      <c r="D478" s="1">
        <v>44.394799999999996</v>
      </c>
      <c r="E478" s="1">
        <v>44.154699999999998</v>
      </c>
      <c r="F478" s="1">
        <v>30650</v>
      </c>
      <c r="G478" s="1">
        <v>17.274000000000001</v>
      </c>
      <c r="H478" s="1">
        <v>5225400</v>
      </c>
      <c r="I478" s="1">
        <v>805956</v>
      </c>
      <c r="J478" s="1" t="s">
        <v>128</v>
      </c>
      <c r="K478" s="1" t="s">
        <v>1023</v>
      </c>
    </row>
    <row r="479" spans="1:11" x14ac:dyDescent="0.15">
      <c r="A479" s="1" t="s">
        <v>1024</v>
      </c>
      <c r="B479" s="1">
        <v>1099.1248000000001</v>
      </c>
      <c r="C479" s="1">
        <v>38.657499999999999</v>
      </c>
      <c r="D479" s="1">
        <v>41.700400000000002</v>
      </c>
      <c r="E479" s="1">
        <v>41.411099999999998</v>
      </c>
      <c r="F479" s="1">
        <v>28247</v>
      </c>
      <c r="G479" s="1">
        <v>16.701000000000001</v>
      </c>
      <c r="H479" s="1">
        <v>5206100</v>
      </c>
      <c r="I479" s="1">
        <v>773772</v>
      </c>
      <c r="J479" s="1" t="s">
        <v>128</v>
      </c>
      <c r="K479" s="1" t="s">
        <v>1025</v>
      </c>
    </row>
    <row r="480" spans="1:11" x14ac:dyDescent="0.15">
      <c r="A480" s="1" t="s">
        <v>1026</v>
      </c>
      <c r="B480" s="1">
        <v>768.14400000000001</v>
      </c>
      <c r="C480" s="1">
        <v>33.972200000000001</v>
      </c>
      <c r="D480" s="1">
        <v>38.810299999999998</v>
      </c>
      <c r="E480" s="1">
        <v>38.392800000000001</v>
      </c>
      <c r="F480" s="1">
        <v>26766</v>
      </c>
      <c r="G480" s="1">
        <v>16.824000000000002</v>
      </c>
      <c r="H480" s="1">
        <v>5185416</v>
      </c>
      <c r="I480" s="1">
        <v>741428</v>
      </c>
      <c r="J480" s="1" t="s">
        <v>128</v>
      </c>
      <c r="K480" s="1" t="s">
        <v>1027</v>
      </c>
    </row>
    <row r="481" spans="1:11" x14ac:dyDescent="0.15">
      <c r="A481" s="1" t="s">
        <v>1028</v>
      </c>
      <c r="B481" s="1" t="s">
        <v>59</v>
      </c>
      <c r="C481" s="1" t="s">
        <v>1029</v>
      </c>
      <c r="D481" s="1" t="s">
        <v>1030</v>
      </c>
      <c r="E481" s="1" t="s">
        <v>1031</v>
      </c>
      <c r="F481" s="1" t="s">
        <v>1032</v>
      </c>
      <c r="G481" s="1" t="s">
        <v>1033</v>
      </c>
      <c r="H481" s="1" t="s">
        <v>1034</v>
      </c>
      <c r="I481" s="1" t="s">
        <v>1035</v>
      </c>
      <c r="J481" s="1" t="s">
        <v>1036</v>
      </c>
      <c r="K481" s="1" t="s">
        <v>1037</v>
      </c>
    </row>
  </sheetData>
  <phoneticPr fontId="7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K481"/>
  <sheetViews>
    <sheetView topLeftCell="A280" zoomScale="85" zoomScaleNormal="85" workbookViewId="0">
      <selection activeCell="O322" sqref="B300:O322"/>
    </sheetView>
  </sheetViews>
  <sheetFormatPr defaultColWidth="9" defaultRowHeight="13.5" x14ac:dyDescent="0.15"/>
  <cols>
    <col min="1" max="16384" width="9" style="1"/>
  </cols>
  <sheetData>
    <row r="1" spans="1:1" x14ac:dyDescent="0.15">
      <c r="A1" s="1" t="s">
        <v>127</v>
      </c>
    </row>
    <row r="2" spans="1:1" x14ac:dyDescent="0.15">
      <c r="A2" s="1" t="s">
        <v>130</v>
      </c>
    </row>
    <row r="3" spans="1:1" x14ac:dyDescent="0.15">
      <c r="A3" s="1" t="s">
        <v>132</v>
      </c>
    </row>
    <row r="4" spans="1:1" x14ac:dyDescent="0.15">
      <c r="A4" s="1" t="s">
        <v>134</v>
      </c>
    </row>
    <row r="5" spans="1:1" x14ac:dyDescent="0.15">
      <c r="A5" s="1" t="s">
        <v>136</v>
      </c>
    </row>
    <row r="6" spans="1:1" x14ac:dyDescent="0.15">
      <c r="A6" s="1" t="s">
        <v>138</v>
      </c>
    </row>
    <row r="7" spans="1:1" x14ac:dyDescent="0.15">
      <c r="A7" s="1" t="s">
        <v>140</v>
      </c>
    </row>
    <row r="8" spans="1:1" x14ac:dyDescent="0.15">
      <c r="A8" s="1" t="s">
        <v>142</v>
      </c>
    </row>
    <row r="9" spans="1:1" x14ac:dyDescent="0.15">
      <c r="A9" s="1" t="s">
        <v>144</v>
      </c>
    </row>
    <row r="10" spans="1:1" x14ac:dyDescent="0.15">
      <c r="A10" s="1" t="s">
        <v>146</v>
      </c>
    </row>
    <row r="11" spans="1:1" x14ac:dyDescent="0.15">
      <c r="A11" s="1" t="s">
        <v>148</v>
      </c>
    </row>
    <row r="12" spans="1:1" x14ac:dyDescent="0.15">
      <c r="A12" s="1" t="s">
        <v>150</v>
      </c>
    </row>
    <row r="13" spans="1:1" x14ac:dyDescent="0.15">
      <c r="A13" s="1" t="s">
        <v>152</v>
      </c>
    </row>
    <row r="14" spans="1:1" x14ac:dyDescent="0.15">
      <c r="A14" s="1" t="s">
        <v>154</v>
      </c>
    </row>
    <row r="15" spans="1:1" x14ac:dyDescent="0.15">
      <c r="A15" s="1" t="s">
        <v>156</v>
      </c>
    </row>
    <row r="16" spans="1:1" x14ac:dyDescent="0.15">
      <c r="A16" s="1" t="s">
        <v>158</v>
      </c>
    </row>
    <row r="17" spans="1:1" x14ac:dyDescent="0.15">
      <c r="A17" s="1" t="s">
        <v>160</v>
      </c>
    </row>
    <row r="18" spans="1:1" x14ac:dyDescent="0.15">
      <c r="A18" s="1" t="s">
        <v>162</v>
      </c>
    </row>
    <row r="19" spans="1:1" x14ac:dyDescent="0.15">
      <c r="A19" s="1" t="s">
        <v>164</v>
      </c>
    </row>
    <row r="20" spans="1:1" x14ac:dyDescent="0.15">
      <c r="A20" s="1" t="s">
        <v>166</v>
      </c>
    </row>
    <row r="21" spans="1:1" x14ac:dyDescent="0.15">
      <c r="A21" s="1" t="s">
        <v>168</v>
      </c>
    </row>
    <row r="22" spans="1:1" x14ac:dyDescent="0.15">
      <c r="A22" s="1" t="s">
        <v>170</v>
      </c>
    </row>
    <row r="23" spans="1:1" x14ac:dyDescent="0.15">
      <c r="A23" s="1" t="s">
        <v>172</v>
      </c>
    </row>
    <row r="24" spans="1:1" x14ac:dyDescent="0.15">
      <c r="A24" s="1" t="s">
        <v>174</v>
      </c>
    </row>
    <row r="25" spans="1:1" x14ac:dyDescent="0.15">
      <c r="A25" s="1" t="s">
        <v>176</v>
      </c>
    </row>
    <row r="26" spans="1:1" x14ac:dyDescent="0.15">
      <c r="A26" s="1" t="s">
        <v>178</v>
      </c>
    </row>
    <row r="27" spans="1:1" x14ac:dyDescent="0.15">
      <c r="A27" s="1" t="s">
        <v>180</v>
      </c>
    </row>
    <row r="28" spans="1:1" x14ac:dyDescent="0.15">
      <c r="A28" s="1" t="s">
        <v>182</v>
      </c>
    </row>
    <row r="29" spans="1:1" x14ac:dyDescent="0.15">
      <c r="A29" s="1" t="s">
        <v>184</v>
      </c>
    </row>
    <row r="30" spans="1:1" x14ac:dyDescent="0.15">
      <c r="A30" s="1" t="s">
        <v>186</v>
      </c>
    </row>
    <row r="31" spans="1:1" x14ac:dyDescent="0.15">
      <c r="A31" s="1" t="s">
        <v>188</v>
      </c>
    </row>
    <row r="32" spans="1:1" x14ac:dyDescent="0.15">
      <c r="A32" s="1" t="s">
        <v>190</v>
      </c>
    </row>
    <row r="33" spans="1:1" x14ac:dyDescent="0.15">
      <c r="A33" s="1" t="s">
        <v>192</v>
      </c>
    </row>
    <row r="34" spans="1:1" x14ac:dyDescent="0.15">
      <c r="A34" s="1" t="s">
        <v>194</v>
      </c>
    </row>
    <row r="35" spans="1:1" x14ac:dyDescent="0.15">
      <c r="A35" s="1" t="s">
        <v>196</v>
      </c>
    </row>
    <row r="36" spans="1:1" x14ac:dyDescent="0.15">
      <c r="A36" s="1" t="s">
        <v>198</v>
      </c>
    </row>
    <row r="37" spans="1:1" x14ac:dyDescent="0.15">
      <c r="A37" s="1" t="s">
        <v>200</v>
      </c>
    </row>
    <row r="38" spans="1:1" x14ac:dyDescent="0.15">
      <c r="A38" s="1" t="s">
        <v>202</v>
      </c>
    </row>
    <row r="39" spans="1:1" x14ac:dyDescent="0.15">
      <c r="A39" s="1" t="s">
        <v>204</v>
      </c>
    </row>
    <row r="40" spans="1:1" x14ac:dyDescent="0.15">
      <c r="A40" s="1" t="s">
        <v>206</v>
      </c>
    </row>
    <row r="41" spans="1:1" x14ac:dyDescent="0.15">
      <c r="A41" s="1" t="s">
        <v>208</v>
      </c>
    </row>
    <row r="42" spans="1:1" x14ac:dyDescent="0.15">
      <c r="A42" s="1" t="s">
        <v>210</v>
      </c>
    </row>
    <row r="43" spans="1:1" x14ac:dyDescent="0.15">
      <c r="A43" s="1" t="s">
        <v>212</v>
      </c>
    </row>
    <row r="44" spans="1:1" x14ac:dyDescent="0.15">
      <c r="A44" s="1" t="s">
        <v>214</v>
      </c>
    </row>
    <row r="45" spans="1:1" x14ac:dyDescent="0.15">
      <c r="A45" s="1" t="s">
        <v>216</v>
      </c>
    </row>
    <row r="46" spans="1:1" x14ac:dyDescent="0.15">
      <c r="A46" s="1" t="s">
        <v>218</v>
      </c>
    </row>
    <row r="47" spans="1:1" x14ac:dyDescent="0.15">
      <c r="A47" s="1" t="s">
        <v>220</v>
      </c>
    </row>
    <row r="48" spans="1:1" x14ac:dyDescent="0.15">
      <c r="A48" s="1" t="s">
        <v>222</v>
      </c>
    </row>
    <row r="49" spans="1:1" x14ac:dyDescent="0.15">
      <c r="A49" s="1" t="s">
        <v>224</v>
      </c>
    </row>
    <row r="50" spans="1:1" x14ac:dyDescent="0.15">
      <c r="A50" s="1" t="s">
        <v>226</v>
      </c>
    </row>
    <row r="51" spans="1:1" x14ac:dyDescent="0.15">
      <c r="A51" s="1" t="s">
        <v>228</v>
      </c>
    </row>
    <row r="52" spans="1:1" x14ac:dyDescent="0.15">
      <c r="A52" s="1" t="s">
        <v>230</v>
      </c>
    </row>
    <row r="53" spans="1:1" x14ac:dyDescent="0.15">
      <c r="A53" s="1" t="s">
        <v>232</v>
      </c>
    </row>
    <row r="54" spans="1:1" x14ac:dyDescent="0.15">
      <c r="A54" s="1" t="s">
        <v>234</v>
      </c>
    </row>
    <row r="55" spans="1:1" x14ac:dyDescent="0.15">
      <c r="A55" s="1" t="s">
        <v>236</v>
      </c>
    </row>
    <row r="56" spans="1:1" x14ac:dyDescent="0.15">
      <c r="A56" s="1" t="s">
        <v>238</v>
      </c>
    </row>
    <row r="57" spans="1:1" x14ac:dyDescent="0.15">
      <c r="A57" s="1" t="s">
        <v>240</v>
      </c>
    </row>
    <row r="58" spans="1:1" x14ac:dyDescent="0.15">
      <c r="A58" s="1" t="s">
        <v>242</v>
      </c>
    </row>
    <row r="59" spans="1:1" x14ac:dyDescent="0.15">
      <c r="A59" s="1" t="s">
        <v>244</v>
      </c>
    </row>
    <row r="60" spans="1:1" x14ac:dyDescent="0.15">
      <c r="A60" s="1" t="s">
        <v>246</v>
      </c>
    </row>
    <row r="61" spans="1:1" x14ac:dyDescent="0.15">
      <c r="A61" s="1" t="s">
        <v>248</v>
      </c>
    </row>
    <row r="62" spans="1:1" x14ac:dyDescent="0.15">
      <c r="A62" s="1" t="s">
        <v>250</v>
      </c>
    </row>
    <row r="63" spans="1:1" x14ac:dyDescent="0.15">
      <c r="A63" s="1" t="s">
        <v>252</v>
      </c>
    </row>
    <row r="64" spans="1:1" x14ac:dyDescent="0.15">
      <c r="A64" s="1" t="s">
        <v>254</v>
      </c>
    </row>
    <row r="65" spans="1:1" x14ac:dyDescent="0.15">
      <c r="A65" s="1" t="s">
        <v>256</v>
      </c>
    </row>
    <row r="66" spans="1:1" x14ac:dyDescent="0.15">
      <c r="A66" s="1" t="s">
        <v>258</v>
      </c>
    </row>
    <row r="67" spans="1:1" x14ac:dyDescent="0.15">
      <c r="A67" s="1" t="s">
        <v>260</v>
      </c>
    </row>
    <row r="68" spans="1:1" x14ac:dyDescent="0.15">
      <c r="A68" s="1" t="s">
        <v>262</v>
      </c>
    </row>
    <row r="69" spans="1:1" x14ac:dyDescent="0.15">
      <c r="A69" s="1" t="s">
        <v>264</v>
      </c>
    </row>
    <row r="70" spans="1:1" x14ac:dyDescent="0.15">
      <c r="A70" s="1" t="s">
        <v>266</v>
      </c>
    </row>
    <row r="71" spans="1:1" x14ac:dyDescent="0.15">
      <c r="A71" s="1" t="s">
        <v>268</v>
      </c>
    </row>
    <row r="72" spans="1:1" x14ac:dyDescent="0.15">
      <c r="A72" s="1" t="s">
        <v>270</v>
      </c>
    </row>
    <row r="73" spans="1:1" x14ac:dyDescent="0.15">
      <c r="A73" s="1" t="s">
        <v>272</v>
      </c>
    </row>
    <row r="74" spans="1:1" x14ac:dyDescent="0.15">
      <c r="A74" s="1" t="s">
        <v>274</v>
      </c>
    </row>
    <row r="75" spans="1:1" x14ac:dyDescent="0.15">
      <c r="A75" s="1" t="s">
        <v>276</v>
      </c>
    </row>
    <row r="76" spans="1:1" x14ac:dyDescent="0.15">
      <c r="A76" s="1" t="s">
        <v>278</v>
      </c>
    </row>
    <row r="77" spans="1:1" x14ac:dyDescent="0.15">
      <c r="A77" s="1" t="s">
        <v>280</v>
      </c>
    </row>
    <row r="78" spans="1:1" x14ac:dyDescent="0.15">
      <c r="A78" s="1" t="s">
        <v>282</v>
      </c>
    </row>
    <row r="79" spans="1:1" x14ac:dyDescent="0.15">
      <c r="A79" s="1" t="s">
        <v>284</v>
      </c>
    </row>
    <row r="80" spans="1:1" x14ac:dyDescent="0.15">
      <c r="A80" s="1" t="s">
        <v>286</v>
      </c>
    </row>
    <row r="81" spans="1:1" x14ac:dyDescent="0.15">
      <c r="A81" s="1" t="s">
        <v>288</v>
      </c>
    </row>
    <row r="82" spans="1:1" x14ac:dyDescent="0.15">
      <c r="A82" s="1" t="s">
        <v>290</v>
      </c>
    </row>
    <row r="83" spans="1:1" x14ac:dyDescent="0.15">
      <c r="A83" s="1" t="s">
        <v>292</v>
      </c>
    </row>
    <row r="84" spans="1:1" x14ac:dyDescent="0.15">
      <c r="A84" s="1" t="s">
        <v>294</v>
      </c>
    </row>
    <row r="85" spans="1:1" x14ac:dyDescent="0.15">
      <c r="A85" s="1" t="s">
        <v>296</v>
      </c>
    </row>
    <row r="86" spans="1:1" x14ac:dyDescent="0.15">
      <c r="A86" s="1" t="s">
        <v>298</v>
      </c>
    </row>
    <row r="87" spans="1:1" x14ac:dyDescent="0.15">
      <c r="A87" s="1" t="s">
        <v>300</v>
      </c>
    </row>
    <row r="88" spans="1:1" x14ac:dyDescent="0.15">
      <c r="A88" s="1" t="s">
        <v>302</v>
      </c>
    </row>
    <row r="89" spans="1:1" x14ac:dyDescent="0.15">
      <c r="A89" s="1" t="s">
        <v>304</v>
      </c>
    </row>
    <row r="90" spans="1:1" x14ac:dyDescent="0.15">
      <c r="A90" s="1" t="s">
        <v>306</v>
      </c>
    </row>
    <row r="91" spans="1:1" x14ac:dyDescent="0.15">
      <c r="A91" s="1" t="s">
        <v>308</v>
      </c>
    </row>
    <row r="92" spans="1:1" x14ac:dyDescent="0.15">
      <c r="A92" s="1" t="s">
        <v>310</v>
      </c>
    </row>
    <row r="93" spans="1:1" x14ac:dyDescent="0.15">
      <c r="A93" s="1" t="s">
        <v>312</v>
      </c>
    </row>
    <row r="94" spans="1:1" x14ac:dyDescent="0.15">
      <c r="A94" s="1" t="s">
        <v>314</v>
      </c>
    </row>
    <row r="95" spans="1:1" x14ac:dyDescent="0.15">
      <c r="A95" s="1" t="s">
        <v>316</v>
      </c>
    </row>
    <row r="96" spans="1:1" x14ac:dyDescent="0.15">
      <c r="A96" s="1" t="s">
        <v>318</v>
      </c>
    </row>
    <row r="97" spans="1:1" x14ac:dyDescent="0.15">
      <c r="A97" s="1" t="s">
        <v>320</v>
      </c>
    </row>
    <row r="98" spans="1:1" x14ac:dyDescent="0.15">
      <c r="A98" s="1" t="s">
        <v>322</v>
      </c>
    </row>
    <row r="99" spans="1:1" x14ac:dyDescent="0.15">
      <c r="A99" s="1" t="s">
        <v>324</v>
      </c>
    </row>
    <row r="100" spans="1:1" x14ac:dyDescent="0.15">
      <c r="A100" s="1" t="s">
        <v>326</v>
      </c>
    </row>
    <row r="101" spans="1:1" x14ac:dyDescent="0.15">
      <c r="A101" s="1" t="s">
        <v>328</v>
      </c>
    </row>
    <row r="102" spans="1:1" x14ac:dyDescent="0.15">
      <c r="A102" s="1" t="s">
        <v>330</v>
      </c>
    </row>
    <row r="103" spans="1:1" x14ac:dyDescent="0.15">
      <c r="A103" s="1" t="s">
        <v>332</v>
      </c>
    </row>
    <row r="104" spans="1:1" x14ac:dyDescent="0.15">
      <c r="A104" s="1" t="s">
        <v>334</v>
      </c>
    </row>
    <row r="105" spans="1:1" x14ac:dyDescent="0.15">
      <c r="A105" s="1" t="s">
        <v>336</v>
      </c>
    </row>
    <row r="106" spans="1:1" x14ac:dyDescent="0.15">
      <c r="A106" s="1" t="s">
        <v>338</v>
      </c>
    </row>
    <row r="107" spans="1:1" x14ac:dyDescent="0.15">
      <c r="A107" s="1" t="s">
        <v>340</v>
      </c>
    </row>
    <row r="108" spans="1:1" x14ac:dyDescent="0.15">
      <c r="A108" s="1" t="s">
        <v>342</v>
      </c>
    </row>
    <row r="109" spans="1:1" x14ac:dyDescent="0.15">
      <c r="A109" s="1" t="s">
        <v>344</v>
      </c>
    </row>
    <row r="110" spans="1:1" x14ac:dyDescent="0.15">
      <c r="A110" s="1" t="s">
        <v>346</v>
      </c>
    </row>
    <row r="111" spans="1:1" x14ac:dyDescent="0.15">
      <c r="A111" s="1" t="s">
        <v>348</v>
      </c>
    </row>
    <row r="112" spans="1:1" x14ac:dyDescent="0.15">
      <c r="A112" s="1" t="s">
        <v>350</v>
      </c>
    </row>
    <row r="113" spans="1:1" x14ac:dyDescent="0.15">
      <c r="A113" s="1" t="s">
        <v>352</v>
      </c>
    </row>
    <row r="114" spans="1:1" x14ac:dyDescent="0.15">
      <c r="A114" s="1" t="s">
        <v>354</v>
      </c>
    </row>
    <row r="115" spans="1:1" x14ac:dyDescent="0.15">
      <c r="A115" s="1" t="s">
        <v>356</v>
      </c>
    </row>
    <row r="116" spans="1:1" x14ac:dyDescent="0.15">
      <c r="A116" s="1" t="s">
        <v>358</v>
      </c>
    </row>
    <row r="117" spans="1:1" x14ac:dyDescent="0.15">
      <c r="A117" s="1" t="s">
        <v>360</v>
      </c>
    </row>
    <row r="118" spans="1:1" x14ac:dyDescent="0.15">
      <c r="A118" s="1" t="s">
        <v>362</v>
      </c>
    </row>
    <row r="119" spans="1:1" x14ac:dyDescent="0.15">
      <c r="A119" s="1" t="s">
        <v>364</v>
      </c>
    </row>
    <row r="120" spans="1:1" x14ac:dyDescent="0.15">
      <c r="A120" s="1" t="s">
        <v>366</v>
      </c>
    </row>
    <row r="121" spans="1:1" x14ac:dyDescent="0.15">
      <c r="A121" s="1" t="s">
        <v>368</v>
      </c>
    </row>
    <row r="122" spans="1:1" x14ac:dyDescent="0.15">
      <c r="A122" s="1" t="s">
        <v>370</v>
      </c>
    </row>
    <row r="123" spans="1:1" x14ac:dyDescent="0.15">
      <c r="A123" s="1" t="s">
        <v>372</v>
      </c>
    </row>
    <row r="124" spans="1:1" x14ac:dyDescent="0.15">
      <c r="A124" s="1" t="s">
        <v>374</v>
      </c>
    </row>
    <row r="125" spans="1:1" x14ac:dyDescent="0.15">
      <c r="A125" s="1" t="s">
        <v>376</v>
      </c>
    </row>
    <row r="126" spans="1:1" x14ac:dyDescent="0.15">
      <c r="A126" s="1" t="s">
        <v>378</v>
      </c>
    </row>
    <row r="127" spans="1:1" x14ac:dyDescent="0.15">
      <c r="A127" s="1" t="s">
        <v>380</v>
      </c>
    </row>
    <row r="128" spans="1:1" x14ac:dyDescent="0.15">
      <c r="A128" s="1" t="s">
        <v>382</v>
      </c>
    </row>
    <row r="129" spans="1:1" x14ac:dyDescent="0.15">
      <c r="A129" s="1" t="s">
        <v>384</v>
      </c>
    </row>
    <row r="130" spans="1:1" x14ac:dyDescent="0.15">
      <c r="A130" s="1" t="s">
        <v>386</v>
      </c>
    </row>
    <row r="131" spans="1:1" x14ac:dyDescent="0.15">
      <c r="A131" s="1" t="s">
        <v>388</v>
      </c>
    </row>
    <row r="132" spans="1:1" x14ac:dyDescent="0.15">
      <c r="A132" s="1" t="s">
        <v>390</v>
      </c>
    </row>
    <row r="133" spans="1:1" x14ac:dyDescent="0.15">
      <c r="A133" s="1" t="s">
        <v>392</v>
      </c>
    </row>
    <row r="134" spans="1:1" x14ac:dyDescent="0.15">
      <c r="A134" s="1" t="s">
        <v>394</v>
      </c>
    </row>
    <row r="135" spans="1:1" x14ac:dyDescent="0.15">
      <c r="A135" s="1" t="s">
        <v>396</v>
      </c>
    </row>
    <row r="136" spans="1:1" x14ac:dyDescent="0.15">
      <c r="A136" s="1" t="s">
        <v>398</v>
      </c>
    </row>
    <row r="137" spans="1:1" x14ac:dyDescent="0.15">
      <c r="A137" s="1" t="s">
        <v>400</v>
      </c>
    </row>
    <row r="138" spans="1:1" x14ac:dyDescent="0.15">
      <c r="A138" s="1" t="s">
        <v>402</v>
      </c>
    </row>
    <row r="139" spans="1:1" x14ac:dyDescent="0.15">
      <c r="A139" s="1" t="s">
        <v>404</v>
      </c>
    </row>
    <row r="140" spans="1:1" x14ac:dyDescent="0.15">
      <c r="A140" s="1" t="s">
        <v>406</v>
      </c>
    </row>
    <row r="141" spans="1:1" x14ac:dyDescent="0.15">
      <c r="A141" s="1" t="s">
        <v>408</v>
      </c>
    </row>
    <row r="142" spans="1:1" x14ac:dyDescent="0.15">
      <c r="A142" s="1" t="s">
        <v>410</v>
      </c>
    </row>
    <row r="143" spans="1:1" x14ac:dyDescent="0.15">
      <c r="A143" s="1" t="s">
        <v>412</v>
      </c>
    </row>
    <row r="144" spans="1:1" x14ac:dyDescent="0.15">
      <c r="A144" s="1" t="s">
        <v>414</v>
      </c>
    </row>
    <row r="145" spans="1:1" x14ac:dyDescent="0.15">
      <c r="A145" s="1" t="s">
        <v>416</v>
      </c>
    </row>
    <row r="146" spans="1:1" x14ac:dyDescent="0.15">
      <c r="A146" s="1" t="s">
        <v>418</v>
      </c>
    </row>
    <row r="147" spans="1:1" x14ac:dyDescent="0.15">
      <c r="A147" s="1" t="s">
        <v>420</v>
      </c>
    </row>
    <row r="148" spans="1:1" x14ac:dyDescent="0.15">
      <c r="A148" s="1" t="s">
        <v>422</v>
      </c>
    </row>
    <row r="149" spans="1:1" x14ac:dyDescent="0.15">
      <c r="A149" s="1" t="s">
        <v>424</v>
      </c>
    </row>
    <row r="150" spans="1:1" x14ac:dyDescent="0.15">
      <c r="A150" s="1" t="s">
        <v>426</v>
      </c>
    </row>
    <row r="151" spans="1:1" x14ac:dyDescent="0.15">
      <c r="A151" s="1" t="s">
        <v>428</v>
      </c>
    </row>
    <row r="152" spans="1:1" x14ac:dyDescent="0.15">
      <c r="A152" s="1" t="s">
        <v>430</v>
      </c>
    </row>
    <row r="153" spans="1:1" x14ac:dyDescent="0.15">
      <c r="A153" s="1" t="s">
        <v>432</v>
      </c>
    </row>
    <row r="154" spans="1:1" x14ac:dyDescent="0.15">
      <c r="A154" s="1" t="s">
        <v>434</v>
      </c>
    </row>
    <row r="155" spans="1:1" x14ac:dyDescent="0.15">
      <c r="A155" s="1" t="s">
        <v>436</v>
      </c>
    </row>
    <row r="156" spans="1:1" x14ac:dyDescent="0.15">
      <c r="A156" s="1" t="s">
        <v>438</v>
      </c>
    </row>
    <row r="157" spans="1:1" x14ac:dyDescent="0.15">
      <c r="A157" s="1" t="s">
        <v>440</v>
      </c>
    </row>
    <row r="158" spans="1:1" x14ac:dyDescent="0.15">
      <c r="A158" s="1" t="s">
        <v>442</v>
      </c>
    </row>
    <row r="159" spans="1:1" x14ac:dyDescent="0.15">
      <c r="A159" s="1" t="s">
        <v>444</v>
      </c>
    </row>
    <row r="160" spans="1:1" x14ac:dyDescent="0.15">
      <c r="A160" s="1" t="s">
        <v>446</v>
      </c>
    </row>
    <row r="161" spans="1:1" x14ac:dyDescent="0.15">
      <c r="A161" s="1" t="s">
        <v>449</v>
      </c>
    </row>
    <row r="162" spans="1:1" x14ac:dyDescent="0.15">
      <c r="A162" s="1" t="s">
        <v>451</v>
      </c>
    </row>
    <row r="163" spans="1:1" x14ac:dyDescent="0.15">
      <c r="A163" s="1" t="s">
        <v>453</v>
      </c>
    </row>
    <row r="164" spans="1:1" x14ac:dyDescent="0.15">
      <c r="A164" s="1" t="s">
        <v>455</v>
      </c>
    </row>
    <row r="165" spans="1:1" x14ac:dyDescent="0.15">
      <c r="A165" s="1" t="s">
        <v>457</v>
      </c>
    </row>
    <row r="166" spans="1:1" x14ac:dyDescent="0.15">
      <c r="A166" s="1" t="s">
        <v>459</v>
      </c>
    </row>
    <row r="167" spans="1:1" x14ac:dyDescent="0.15">
      <c r="A167" s="1" t="s">
        <v>461</v>
      </c>
    </row>
    <row r="168" spans="1:1" x14ac:dyDescent="0.15">
      <c r="A168" s="1" t="s">
        <v>463</v>
      </c>
    </row>
    <row r="169" spans="1:1" x14ac:dyDescent="0.15">
      <c r="A169" s="1" t="s">
        <v>465</v>
      </c>
    </row>
    <row r="170" spans="1:1" x14ac:dyDescent="0.15">
      <c r="A170" s="1" t="s">
        <v>467</v>
      </c>
    </row>
    <row r="171" spans="1:1" x14ac:dyDescent="0.15">
      <c r="A171" s="1" t="s">
        <v>469</v>
      </c>
    </row>
    <row r="172" spans="1:1" x14ac:dyDescent="0.15">
      <c r="A172" s="1" t="s">
        <v>471</v>
      </c>
    </row>
    <row r="173" spans="1:1" x14ac:dyDescent="0.15">
      <c r="A173" s="1" t="s">
        <v>473</v>
      </c>
    </row>
    <row r="174" spans="1:1" x14ac:dyDescent="0.15">
      <c r="A174" s="1" t="s">
        <v>475</v>
      </c>
    </row>
    <row r="175" spans="1:1" x14ac:dyDescent="0.15">
      <c r="A175" s="1" t="s">
        <v>477</v>
      </c>
    </row>
    <row r="176" spans="1:1" x14ac:dyDescent="0.15">
      <c r="A176" s="1" t="s">
        <v>479</v>
      </c>
    </row>
    <row r="177" spans="1:1" x14ac:dyDescent="0.15">
      <c r="A177" s="1" t="s">
        <v>481</v>
      </c>
    </row>
    <row r="178" spans="1:1" x14ac:dyDescent="0.15">
      <c r="A178" s="1" t="s">
        <v>483</v>
      </c>
    </row>
    <row r="179" spans="1:1" x14ac:dyDescent="0.15">
      <c r="A179" s="1" t="s">
        <v>485</v>
      </c>
    </row>
    <row r="180" spans="1:1" x14ac:dyDescent="0.15">
      <c r="A180" s="1" t="s">
        <v>487</v>
      </c>
    </row>
    <row r="181" spans="1:1" x14ac:dyDescent="0.15">
      <c r="A181" s="1" t="s">
        <v>489</v>
      </c>
    </row>
    <row r="182" spans="1:1" x14ac:dyDescent="0.15">
      <c r="A182" s="1" t="s">
        <v>491</v>
      </c>
    </row>
    <row r="183" spans="1:1" x14ac:dyDescent="0.15">
      <c r="A183" s="1" t="s">
        <v>493</v>
      </c>
    </row>
    <row r="184" spans="1:1" x14ac:dyDescent="0.15">
      <c r="A184" s="1" t="s">
        <v>495</v>
      </c>
    </row>
    <row r="185" spans="1:1" x14ac:dyDescent="0.15">
      <c r="A185" s="1" t="s">
        <v>497</v>
      </c>
    </row>
    <row r="186" spans="1:1" x14ac:dyDescent="0.15">
      <c r="A186" s="1" t="s">
        <v>499</v>
      </c>
    </row>
    <row r="187" spans="1:1" x14ac:dyDescent="0.15">
      <c r="A187" s="1" t="s">
        <v>501</v>
      </c>
    </row>
    <row r="188" spans="1:1" x14ac:dyDescent="0.15">
      <c r="A188" s="1" t="s">
        <v>503</v>
      </c>
    </row>
    <row r="189" spans="1:1" x14ac:dyDescent="0.15">
      <c r="A189" s="1" t="s">
        <v>505</v>
      </c>
    </row>
    <row r="190" spans="1:1" x14ac:dyDescent="0.15">
      <c r="A190" s="1" t="s">
        <v>507</v>
      </c>
    </row>
    <row r="191" spans="1:1" x14ac:dyDescent="0.15">
      <c r="A191" s="1" t="s">
        <v>509</v>
      </c>
    </row>
    <row r="192" spans="1:1" x14ac:dyDescent="0.15">
      <c r="A192" s="1" t="s">
        <v>511</v>
      </c>
    </row>
    <row r="193" spans="1:1" x14ac:dyDescent="0.15">
      <c r="A193" s="1" t="s">
        <v>513</v>
      </c>
    </row>
    <row r="194" spans="1:1" x14ac:dyDescent="0.15">
      <c r="A194" s="1" t="s">
        <v>515</v>
      </c>
    </row>
    <row r="195" spans="1:1" x14ac:dyDescent="0.15">
      <c r="A195" s="1" t="s">
        <v>517</v>
      </c>
    </row>
    <row r="196" spans="1:1" x14ac:dyDescent="0.15">
      <c r="A196" s="1" t="s">
        <v>519</v>
      </c>
    </row>
    <row r="197" spans="1:1" x14ac:dyDescent="0.15">
      <c r="A197" s="1" t="s">
        <v>521</v>
      </c>
    </row>
    <row r="198" spans="1:1" x14ac:dyDescent="0.15">
      <c r="A198" s="1" t="s">
        <v>522</v>
      </c>
    </row>
    <row r="199" spans="1:1" x14ac:dyDescent="0.15">
      <c r="A199" s="1" t="s">
        <v>523</v>
      </c>
    </row>
    <row r="200" spans="1:1" x14ac:dyDescent="0.15">
      <c r="A200" s="1" t="s">
        <v>524</v>
      </c>
    </row>
    <row r="201" spans="1:1" x14ac:dyDescent="0.15">
      <c r="A201" s="1" t="s">
        <v>525</v>
      </c>
    </row>
    <row r="202" spans="1:1" x14ac:dyDescent="0.15">
      <c r="A202" s="1" t="s">
        <v>526</v>
      </c>
    </row>
    <row r="203" spans="1:1" x14ac:dyDescent="0.15">
      <c r="A203" s="1" t="s">
        <v>527</v>
      </c>
    </row>
    <row r="204" spans="1:1" x14ac:dyDescent="0.15">
      <c r="A204" s="1" t="s">
        <v>528</v>
      </c>
    </row>
    <row r="205" spans="1:1" x14ac:dyDescent="0.15">
      <c r="A205" s="1" t="s">
        <v>529</v>
      </c>
    </row>
    <row r="206" spans="1:1" x14ac:dyDescent="0.15">
      <c r="A206" s="1" t="s">
        <v>530</v>
      </c>
    </row>
    <row r="207" spans="1:1" x14ac:dyDescent="0.15">
      <c r="A207" s="1" t="s">
        <v>531</v>
      </c>
    </row>
    <row r="208" spans="1:1" x14ac:dyDescent="0.15">
      <c r="A208" s="1" t="s">
        <v>532</v>
      </c>
    </row>
    <row r="209" spans="1:1" x14ac:dyDescent="0.15">
      <c r="A209" s="1" t="s">
        <v>533</v>
      </c>
    </row>
    <row r="210" spans="1:1" x14ac:dyDescent="0.15">
      <c r="A210" s="1" t="s">
        <v>535</v>
      </c>
    </row>
    <row r="211" spans="1:1" x14ac:dyDescent="0.15">
      <c r="A211" s="1" t="s">
        <v>537</v>
      </c>
    </row>
    <row r="212" spans="1:1" x14ac:dyDescent="0.15">
      <c r="A212" s="1" t="s">
        <v>539</v>
      </c>
    </row>
    <row r="213" spans="1:1" x14ac:dyDescent="0.15">
      <c r="A213" s="1" t="s">
        <v>541</v>
      </c>
    </row>
    <row r="214" spans="1:1" x14ac:dyDescent="0.15">
      <c r="A214" s="1" t="s">
        <v>543</v>
      </c>
    </row>
    <row r="215" spans="1:1" x14ac:dyDescent="0.15">
      <c r="A215" s="1" t="s">
        <v>545</v>
      </c>
    </row>
    <row r="216" spans="1:1" x14ac:dyDescent="0.15">
      <c r="A216" s="1" t="s">
        <v>547</v>
      </c>
    </row>
    <row r="217" spans="1:1" x14ac:dyDescent="0.15">
      <c r="A217" s="1" t="s">
        <v>549</v>
      </c>
    </row>
    <row r="218" spans="1:1" x14ac:dyDescent="0.15">
      <c r="A218" s="1" t="s">
        <v>551</v>
      </c>
    </row>
    <row r="219" spans="1:1" x14ac:dyDescent="0.15">
      <c r="A219" s="1" t="s">
        <v>553</v>
      </c>
    </row>
    <row r="220" spans="1:1" x14ac:dyDescent="0.15">
      <c r="A220" s="1" t="s">
        <v>555</v>
      </c>
    </row>
    <row r="221" spans="1:1" x14ac:dyDescent="0.15">
      <c r="A221" s="1" t="s">
        <v>557</v>
      </c>
    </row>
    <row r="222" spans="1:1" x14ac:dyDescent="0.15">
      <c r="A222" s="1" t="s">
        <v>559</v>
      </c>
    </row>
    <row r="223" spans="1:1" x14ac:dyDescent="0.15">
      <c r="A223" s="1" t="s">
        <v>561</v>
      </c>
    </row>
    <row r="224" spans="1:1" x14ac:dyDescent="0.15">
      <c r="A224" s="1" t="s">
        <v>563</v>
      </c>
    </row>
    <row r="225" spans="1:1" x14ac:dyDescent="0.15">
      <c r="A225" s="1" t="s">
        <v>565</v>
      </c>
    </row>
    <row r="226" spans="1:1" x14ac:dyDescent="0.15">
      <c r="A226" s="1" t="s">
        <v>567</v>
      </c>
    </row>
    <row r="227" spans="1:1" x14ac:dyDescent="0.15">
      <c r="A227" s="1" t="s">
        <v>569</v>
      </c>
    </row>
    <row r="228" spans="1:1" x14ac:dyDescent="0.15">
      <c r="A228" s="1" t="s">
        <v>571</v>
      </c>
    </row>
    <row r="229" spans="1:1" x14ac:dyDescent="0.15">
      <c r="A229" s="1" t="s">
        <v>573</v>
      </c>
    </row>
    <row r="230" spans="1:1" x14ac:dyDescent="0.15">
      <c r="A230" s="1" t="s">
        <v>575</v>
      </c>
    </row>
    <row r="231" spans="1:1" x14ac:dyDescent="0.15">
      <c r="A231" s="1" t="s">
        <v>577</v>
      </c>
    </row>
    <row r="232" spans="1:1" x14ac:dyDescent="0.15">
      <c r="A232" s="1" t="s">
        <v>579</v>
      </c>
    </row>
    <row r="233" spans="1:1" x14ac:dyDescent="0.15">
      <c r="A233" s="1" t="s">
        <v>581</v>
      </c>
    </row>
    <row r="234" spans="1:1" x14ac:dyDescent="0.15">
      <c r="A234" s="1" t="s">
        <v>583</v>
      </c>
    </row>
    <row r="235" spans="1:1" x14ac:dyDescent="0.15">
      <c r="A235" s="1" t="s">
        <v>585</v>
      </c>
    </row>
    <row r="236" spans="1:1" x14ac:dyDescent="0.15">
      <c r="A236" s="1" t="s">
        <v>587</v>
      </c>
    </row>
    <row r="237" spans="1:1" x14ac:dyDescent="0.15">
      <c r="A237" s="1" t="s">
        <v>589</v>
      </c>
    </row>
    <row r="238" spans="1:1" x14ac:dyDescent="0.15">
      <c r="A238" s="1" t="s">
        <v>591</v>
      </c>
    </row>
    <row r="239" spans="1:1" x14ac:dyDescent="0.15">
      <c r="A239" s="1" t="s">
        <v>593</v>
      </c>
    </row>
    <row r="240" spans="1:1" x14ac:dyDescent="0.15">
      <c r="A240" s="1" t="s">
        <v>595</v>
      </c>
    </row>
    <row r="241" spans="1:1" x14ac:dyDescent="0.15">
      <c r="A241" s="1" t="s">
        <v>597</v>
      </c>
    </row>
    <row r="242" spans="1:1" x14ac:dyDescent="0.15">
      <c r="A242" s="1" t="s">
        <v>598</v>
      </c>
    </row>
    <row r="243" spans="1:1" x14ac:dyDescent="0.15">
      <c r="A243" s="1" t="s">
        <v>599</v>
      </c>
    </row>
    <row r="244" spans="1:1" x14ac:dyDescent="0.15">
      <c r="A244" s="1" t="s">
        <v>600</v>
      </c>
    </row>
    <row r="245" spans="1:1" x14ac:dyDescent="0.15">
      <c r="A245" s="1" t="s">
        <v>601</v>
      </c>
    </row>
    <row r="246" spans="1:1" x14ac:dyDescent="0.15">
      <c r="A246" s="1" t="s">
        <v>602</v>
      </c>
    </row>
    <row r="247" spans="1:1" x14ac:dyDescent="0.15">
      <c r="A247" s="1" t="s">
        <v>603</v>
      </c>
    </row>
    <row r="248" spans="1:1" x14ac:dyDescent="0.15">
      <c r="A248" s="1" t="s">
        <v>604</v>
      </c>
    </row>
    <row r="249" spans="1:1" x14ac:dyDescent="0.15">
      <c r="A249" s="1" t="s">
        <v>605</v>
      </c>
    </row>
    <row r="250" spans="1:1" x14ac:dyDescent="0.15">
      <c r="A250" s="1" t="s">
        <v>606</v>
      </c>
    </row>
    <row r="251" spans="1:1" x14ac:dyDescent="0.15">
      <c r="A251" s="1" t="s">
        <v>607</v>
      </c>
    </row>
    <row r="252" spans="1:1" x14ac:dyDescent="0.15">
      <c r="A252" s="1" t="s">
        <v>608</v>
      </c>
    </row>
    <row r="253" spans="1:1" x14ac:dyDescent="0.15">
      <c r="A253" s="1" t="s">
        <v>609</v>
      </c>
    </row>
    <row r="254" spans="1:1" x14ac:dyDescent="0.15">
      <c r="A254" s="1" t="s">
        <v>610</v>
      </c>
    </row>
    <row r="255" spans="1:1" x14ac:dyDescent="0.15">
      <c r="A255" s="1" t="s">
        <v>611</v>
      </c>
    </row>
    <row r="256" spans="1:1" x14ac:dyDescent="0.15">
      <c r="A256" s="1" t="s">
        <v>612</v>
      </c>
    </row>
    <row r="257" spans="1:1" x14ac:dyDescent="0.15">
      <c r="A257" s="1" t="s">
        <v>613</v>
      </c>
    </row>
    <row r="258" spans="1:1" x14ac:dyDescent="0.15">
      <c r="A258" s="1" t="s">
        <v>614</v>
      </c>
    </row>
    <row r="259" spans="1:1" x14ac:dyDescent="0.15">
      <c r="A259" s="1" t="s">
        <v>615</v>
      </c>
    </row>
    <row r="260" spans="1:1" x14ac:dyDescent="0.15">
      <c r="A260" s="1" t="s">
        <v>616</v>
      </c>
    </row>
    <row r="261" spans="1:1" x14ac:dyDescent="0.15">
      <c r="A261" s="1" t="s">
        <v>617</v>
      </c>
    </row>
    <row r="262" spans="1:1" x14ac:dyDescent="0.15">
      <c r="A262" s="1" t="s">
        <v>618</v>
      </c>
    </row>
    <row r="263" spans="1:1" x14ac:dyDescent="0.15">
      <c r="A263" s="1" t="s">
        <v>619</v>
      </c>
    </row>
    <row r="264" spans="1:1" x14ac:dyDescent="0.15">
      <c r="A264" s="1" t="s">
        <v>620</v>
      </c>
    </row>
    <row r="265" spans="1:1" x14ac:dyDescent="0.15">
      <c r="A265" s="1" t="s">
        <v>621</v>
      </c>
    </row>
    <row r="266" spans="1:1" x14ac:dyDescent="0.15">
      <c r="A266" s="1" t="s">
        <v>623</v>
      </c>
    </row>
    <row r="267" spans="1:1" x14ac:dyDescent="0.15">
      <c r="A267" s="1" t="s">
        <v>625</v>
      </c>
    </row>
    <row r="268" spans="1:1" x14ac:dyDescent="0.15">
      <c r="A268" s="1" t="s">
        <v>627</v>
      </c>
    </row>
    <row r="269" spans="1:1" x14ac:dyDescent="0.15">
      <c r="A269" s="1" t="s">
        <v>629</v>
      </c>
    </row>
    <row r="270" spans="1:1" x14ac:dyDescent="0.15">
      <c r="A270" s="1" t="s">
        <v>631</v>
      </c>
    </row>
    <row r="271" spans="1:1" x14ac:dyDescent="0.15">
      <c r="A271" s="1" t="s">
        <v>633</v>
      </c>
    </row>
    <row r="272" spans="1:1" x14ac:dyDescent="0.15">
      <c r="A272" s="1" t="s">
        <v>635</v>
      </c>
    </row>
    <row r="273" spans="1:1" x14ac:dyDescent="0.15">
      <c r="A273" s="1" t="s">
        <v>637</v>
      </c>
    </row>
    <row r="274" spans="1:1" x14ac:dyDescent="0.15">
      <c r="A274" s="1" t="s">
        <v>639</v>
      </c>
    </row>
    <row r="275" spans="1:1" x14ac:dyDescent="0.15">
      <c r="A275" s="1" t="s">
        <v>641</v>
      </c>
    </row>
    <row r="276" spans="1:1" x14ac:dyDescent="0.15">
      <c r="A276" s="1" t="s">
        <v>643</v>
      </c>
    </row>
    <row r="277" spans="1:1" x14ac:dyDescent="0.15">
      <c r="A277" s="1" t="s">
        <v>645</v>
      </c>
    </row>
    <row r="278" spans="1:1" x14ac:dyDescent="0.15">
      <c r="A278" s="1" t="s">
        <v>647</v>
      </c>
    </row>
    <row r="279" spans="1:1" x14ac:dyDescent="0.15">
      <c r="A279" s="1" t="s">
        <v>649</v>
      </c>
    </row>
    <row r="280" spans="1:1" x14ac:dyDescent="0.15">
      <c r="A280" s="1" t="s">
        <v>651</v>
      </c>
    </row>
    <row r="281" spans="1:1" x14ac:dyDescent="0.15">
      <c r="A281" s="1" t="s">
        <v>653</v>
      </c>
    </row>
    <row r="282" spans="1:1" x14ac:dyDescent="0.15">
      <c r="A282" s="1" t="s">
        <v>655</v>
      </c>
    </row>
    <row r="283" spans="1:1" x14ac:dyDescent="0.15">
      <c r="A283" s="1" t="s">
        <v>657</v>
      </c>
    </row>
    <row r="284" spans="1:1" x14ac:dyDescent="0.15">
      <c r="A284" s="1" t="s">
        <v>659</v>
      </c>
    </row>
    <row r="285" spans="1:1" x14ac:dyDescent="0.15">
      <c r="A285" s="1" t="s">
        <v>661</v>
      </c>
    </row>
    <row r="286" spans="1:1" x14ac:dyDescent="0.15">
      <c r="A286" s="1" t="s">
        <v>663</v>
      </c>
    </row>
    <row r="287" spans="1:1" x14ac:dyDescent="0.15">
      <c r="A287" s="1" t="s">
        <v>665</v>
      </c>
    </row>
    <row r="288" spans="1:1" x14ac:dyDescent="0.15">
      <c r="A288" s="1" t="s">
        <v>666</v>
      </c>
    </row>
    <row r="289" spans="1:1" x14ac:dyDescent="0.15">
      <c r="A289" s="1" t="s">
        <v>668</v>
      </c>
    </row>
    <row r="290" spans="1:1" x14ac:dyDescent="0.15">
      <c r="A290" s="1" t="s">
        <v>670</v>
      </c>
    </row>
    <row r="291" spans="1:1" x14ac:dyDescent="0.15">
      <c r="A291" s="1" t="s">
        <v>672</v>
      </c>
    </row>
    <row r="292" spans="1:1" x14ac:dyDescent="0.15">
      <c r="A292" s="1" t="s">
        <v>674</v>
      </c>
    </row>
    <row r="293" spans="1:1" x14ac:dyDescent="0.15">
      <c r="A293" s="1" t="s">
        <v>676</v>
      </c>
    </row>
    <row r="294" spans="1:1" x14ac:dyDescent="0.15">
      <c r="A294" s="1" t="s">
        <v>678</v>
      </c>
    </row>
    <row r="295" spans="1:1" x14ac:dyDescent="0.15">
      <c r="A295" s="1" t="s">
        <v>680</v>
      </c>
    </row>
    <row r="296" spans="1:1" x14ac:dyDescent="0.15">
      <c r="A296" s="1" t="s">
        <v>682</v>
      </c>
    </row>
    <row r="297" spans="1:1" x14ac:dyDescent="0.15">
      <c r="A297" s="1" t="s">
        <v>684</v>
      </c>
    </row>
    <row r="298" spans="1:1" x14ac:dyDescent="0.15">
      <c r="A298" s="1" t="s">
        <v>686</v>
      </c>
    </row>
    <row r="299" spans="1:1" x14ac:dyDescent="0.15">
      <c r="A299" s="1" t="s">
        <v>688</v>
      </c>
    </row>
    <row r="300" spans="1:1" x14ac:dyDescent="0.15">
      <c r="A300" s="1" t="s">
        <v>690</v>
      </c>
    </row>
    <row r="301" spans="1:1" x14ac:dyDescent="0.15">
      <c r="A301" s="1" t="s">
        <v>692</v>
      </c>
    </row>
    <row r="302" spans="1:1" x14ac:dyDescent="0.15">
      <c r="A302" s="1" t="s">
        <v>694</v>
      </c>
    </row>
    <row r="303" spans="1:1" x14ac:dyDescent="0.15">
      <c r="A303" s="1" t="s">
        <v>696</v>
      </c>
    </row>
    <row r="304" spans="1:1" x14ac:dyDescent="0.15">
      <c r="A304" s="1" t="s">
        <v>698</v>
      </c>
    </row>
    <row r="305" spans="1:1" x14ac:dyDescent="0.15">
      <c r="A305" s="1" t="s">
        <v>700</v>
      </c>
    </row>
    <row r="306" spans="1:1" x14ac:dyDescent="0.15">
      <c r="A306" s="1" t="s">
        <v>702</v>
      </c>
    </row>
    <row r="307" spans="1:1" x14ac:dyDescent="0.15">
      <c r="A307" s="1" t="s">
        <v>704</v>
      </c>
    </row>
    <row r="308" spans="1:1" x14ac:dyDescent="0.15">
      <c r="A308" s="1" t="s">
        <v>706</v>
      </c>
    </row>
    <row r="309" spans="1:1" x14ac:dyDescent="0.15">
      <c r="A309" s="1" t="s">
        <v>708</v>
      </c>
    </row>
    <row r="310" spans="1:1" x14ac:dyDescent="0.15">
      <c r="A310" s="1" t="s">
        <v>710</v>
      </c>
    </row>
    <row r="311" spans="1:1" x14ac:dyDescent="0.15">
      <c r="A311" s="1" t="s">
        <v>712</v>
      </c>
    </row>
    <row r="312" spans="1:1" x14ac:dyDescent="0.15">
      <c r="A312" s="1" t="s">
        <v>714</v>
      </c>
    </row>
    <row r="313" spans="1:1" x14ac:dyDescent="0.15">
      <c r="A313" s="1" t="s">
        <v>716</v>
      </c>
    </row>
    <row r="314" spans="1:1" x14ac:dyDescent="0.15">
      <c r="A314" s="1" t="s">
        <v>718</v>
      </c>
    </row>
    <row r="315" spans="1:1" x14ac:dyDescent="0.15">
      <c r="A315" s="1" t="s">
        <v>720</v>
      </c>
    </row>
    <row r="316" spans="1:1" x14ac:dyDescent="0.15">
      <c r="A316" s="1" t="s">
        <v>722</v>
      </c>
    </row>
    <row r="317" spans="1:1" x14ac:dyDescent="0.15">
      <c r="A317" s="1" t="s">
        <v>724</v>
      </c>
    </row>
    <row r="318" spans="1:1" x14ac:dyDescent="0.15">
      <c r="A318" s="1" t="s">
        <v>726</v>
      </c>
    </row>
    <row r="319" spans="1:1" x14ac:dyDescent="0.15">
      <c r="A319" s="1" t="s">
        <v>728</v>
      </c>
    </row>
    <row r="320" spans="1:1" x14ac:dyDescent="0.15">
      <c r="A320" s="1" t="s">
        <v>730</v>
      </c>
    </row>
    <row r="321" spans="1:1" x14ac:dyDescent="0.15">
      <c r="A321" s="1" t="s">
        <v>732</v>
      </c>
    </row>
    <row r="322" spans="1:1" x14ac:dyDescent="0.15">
      <c r="A322" s="1" t="s">
        <v>734</v>
      </c>
    </row>
    <row r="323" spans="1:1" x14ac:dyDescent="0.15">
      <c r="A323" s="1" t="s">
        <v>736</v>
      </c>
    </row>
    <row r="324" spans="1:1" x14ac:dyDescent="0.15">
      <c r="A324" s="1" t="s">
        <v>738</v>
      </c>
    </row>
    <row r="325" spans="1:1" x14ac:dyDescent="0.15">
      <c r="A325" s="1" t="s">
        <v>740</v>
      </c>
    </row>
    <row r="326" spans="1:1" x14ac:dyDescent="0.15">
      <c r="A326" s="1" t="s">
        <v>742</v>
      </c>
    </row>
    <row r="327" spans="1:1" x14ac:dyDescent="0.15">
      <c r="A327" s="1" t="s">
        <v>744</v>
      </c>
    </row>
    <row r="328" spans="1:1" x14ac:dyDescent="0.15">
      <c r="A328" s="1" t="s">
        <v>746</v>
      </c>
    </row>
    <row r="329" spans="1:1" x14ac:dyDescent="0.15">
      <c r="A329" s="1" t="s">
        <v>748</v>
      </c>
    </row>
    <row r="330" spans="1:1" x14ac:dyDescent="0.15">
      <c r="A330" s="1" t="s">
        <v>750</v>
      </c>
    </row>
    <row r="331" spans="1:1" x14ac:dyDescent="0.15">
      <c r="A331" s="1" t="s">
        <v>752</v>
      </c>
    </row>
    <row r="332" spans="1:1" x14ac:dyDescent="0.15">
      <c r="A332" s="1" t="s">
        <v>754</v>
      </c>
    </row>
    <row r="333" spans="1:1" x14ac:dyDescent="0.15">
      <c r="A333" s="1" t="s">
        <v>756</v>
      </c>
    </row>
    <row r="334" spans="1:1" x14ac:dyDescent="0.15">
      <c r="A334" s="1" t="s">
        <v>758</v>
      </c>
    </row>
    <row r="335" spans="1:1" x14ac:dyDescent="0.15">
      <c r="A335" s="1" t="s">
        <v>760</v>
      </c>
    </row>
    <row r="336" spans="1:1" x14ac:dyDescent="0.15">
      <c r="A336" s="1" t="s">
        <v>762</v>
      </c>
    </row>
    <row r="337" spans="1:1" x14ac:dyDescent="0.15">
      <c r="A337" s="1" t="s">
        <v>764</v>
      </c>
    </row>
    <row r="338" spans="1:1" x14ac:dyDescent="0.15">
      <c r="A338" s="1" t="s">
        <v>766</v>
      </c>
    </row>
    <row r="339" spans="1:1" x14ac:dyDescent="0.15">
      <c r="A339" s="1" t="s">
        <v>768</v>
      </c>
    </row>
    <row r="340" spans="1:1" x14ac:dyDescent="0.15">
      <c r="A340" s="1" t="s">
        <v>770</v>
      </c>
    </row>
    <row r="341" spans="1:1" x14ac:dyDescent="0.15">
      <c r="A341" s="1" t="s">
        <v>772</v>
      </c>
    </row>
    <row r="342" spans="1:1" x14ac:dyDescent="0.15">
      <c r="A342" s="1" t="s">
        <v>774</v>
      </c>
    </row>
    <row r="343" spans="1:1" x14ac:dyDescent="0.15">
      <c r="A343" s="1" t="s">
        <v>776</v>
      </c>
    </row>
    <row r="344" spans="1:1" x14ac:dyDescent="0.15">
      <c r="A344" s="1" t="s">
        <v>778</v>
      </c>
    </row>
    <row r="345" spans="1:1" x14ac:dyDescent="0.15">
      <c r="A345" s="1" t="s">
        <v>780</v>
      </c>
    </row>
    <row r="346" spans="1:1" x14ac:dyDescent="0.15">
      <c r="A346" s="1" t="s">
        <v>782</v>
      </c>
    </row>
    <row r="347" spans="1:1" x14ac:dyDescent="0.15">
      <c r="A347" s="1" t="s">
        <v>784</v>
      </c>
    </row>
    <row r="348" spans="1:1" x14ac:dyDescent="0.15">
      <c r="A348" s="1" t="s">
        <v>786</v>
      </c>
    </row>
    <row r="349" spans="1:1" x14ac:dyDescent="0.15">
      <c r="A349" s="1" t="s">
        <v>788</v>
      </c>
    </row>
    <row r="350" spans="1:1" x14ac:dyDescent="0.15">
      <c r="A350" s="1" t="s">
        <v>790</v>
      </c>
    </row>
    <row r="351" spans="1:1" x14ac:dyDescent="0.15">
      <c r="A351" s="1" t="s">
        <v>792</v>
      </c>
    </row>
    <row r="352" spans="1:1" x14ac:dyDescent="0.15">
      <c r="A352" s="1" t="s">
        <v>794</v>
      </c>
    </row>
    <row r="353" spans="1:1" x14ac:dyDescent="0.15">
      <c r="A353" s="1" t="s">
        <v>796</v>
      </c>
    </row>
    <row r="354" spans="1:1" x14ac:dyDescent="0.15">
      <c r="A354" s="1" t="s">
        <v>798</v>
      </c>
    </row>
    <row r="355" spans="1:1" x14ac:dyDescent="0.15">
      <c r="A355" s="1" t="s">
        <v>800</v>
      </c>
    </row>
    <row r="356" spans="1:1" x14ac:dyDescent="0.15">
      <c r="A356" s="1" t="s">
        <v>802</v>
      </c>
    </row>
    <row r="357" spans="1:1" x14ac:dyDescent="0.15">
      <c r="A357" s="1" t="s">
        <v>804</v>
      </c>
    </row>
    <row r="358" spans="1:1" x14ac:dyDescent="0.15">
      <c r="A358" s="1" t="s">
        <v>806</v>
      </c>
    </row>
    <row r="359" spans="1:1" x14ac:dyDescent="0.15">
      <c r="A359" s="1" t="s">
        <v>808</v>
      </c>
    </row>
    <row r="360" spans="1:1" x14ac:dyDescent="0.15">
      <c r="A360" s="1" t="s">
        <v>810</v>
      </c>
    </row>
    <row r="361" spans="1:1" x14ac:dyDescent="0.15">
      <c r="A361" s="1" t="s">
        <v>812</v>
      </c>
    </row>
    <row r="362" spans="1:1" x14ac:dyDescent="0.15">
      <c r="A362" s="1" t="s">
        <v>813</v>
      </c>
    </row>
    <row r="363" spans="1:1" x14ac:dyDescent="0.15">
      <c r="A363" s="1" t="s">
        <v>814</v>
      </c>
    </row>
    <row r="364" spans="1:1" x14ac:dyDescent="0.15">
      <c r="A364" s="1" t="s">
        <v>815</v>
      </c>
    </row>
    <row r="365" spans="1:1" x14ac:dyDescent="0.15">
      <c r="A365" s="1" t="s">
        <v>816</v>
      </c>
    </row>
    <row r="366" spans="1:1" x14ac:dyDescent="0.15">
      <c r="A366" s="1" t="s">
        <v>817</v>
      </c>
    </row>
    <row r="367" spans="1:1" x14ac:dyDescent="0.15">
      <c r="A367" s="1" t="s">
        <v>818</v>
      </c>
    </row>
    <row r="368" spans="1:1" x14ac:dyDescent="0.15">
      <c r="A368" s="1" t="s">
        <v>819</v>
      </c>
    </row>
    <row r="369" spans="1:1" x14ac:dyDescent="0.15">
      <c r="A369" s="1" t="s">
        <v>820</v>
      </c>
    </row>
    <row r="370" spans="1:1" x14ac:dyDescent="0.15">
      <c r="A370" s="1" t="s">
        <v>821</v>
      </c>
    </row>
    <row r="371" spans="1:1" x14ac:dyDescent="0.15">
      <c r="A371" s="1" t="s">
        <v>822</v>
      </c>
    </row>
    <row r="372" spans="1:1" x14ac:dyDescent="0.15">
      <c r="A372" s="1" t="s">
        <v>823</v>
      </c>
    </row>
    <row r="373" spans="1:1" x14ac:dyDescent="0.15">
      <c r="A373" s="1" t="s">
        <v>824</v>
      </c>
    </row>
    <row r="374" spans="1:1" x14ac:dyDescent="0.15">
      <c r="A374" s="1" t="s">
        <v>825</v>
      </c>
    </row>
    <row r="375" spans="1:1" x14ac:dyDescent="0.15">
      <c r="A375" s="1" t="s">
        <v>826</v>
      </c>
    </row>
    <row r="376" spans="1:1" x14ac:dyDescent="0.15">
      <c r="A376" s="1" t="s">
        <v>827</v>
      </c>
    </row>
    <row r="377" spans="1:1" x14ac:dyDescent="0.15">
      <c r="A377" s="1" t="s">
        <v>828</v>
      </c>
    </row>
    <row r="378" spans="1:1" x14ac:dyDescent="0.15">
      <c r="A378" s="1" t="s">
        <v>829</v>
      </c>
    </row>
    <row r="379" spans="1:1" x14ac:dyDescent="0.15">
      <c r="A379" s="1" t="s">
        <v>830</v>
      </c>
    </row>
    <row r="380" spans="1:1" x14ac:dyDescent="0.15">
      <c r="A380" s="1" t="s">
        <v>831</v>
      </c>
    </row>
    <row r="381" spans="1:1" x14ac:dyDescent="0.15">
      <c r="A381" s="1" t="s">
        <v>832</v>
      </c>
    </row>
    <row r="382" spans="1:1" x14ac:dyDescent="0.15">
      <c r="A382" s="1" t="s">
        <v>833</v>
      </c>
    </row>
    <row r="383" spans="1:1" x14ac:dyDescent="0.15">
      <c r="A383" s="1" t="s">
        <v>834</v>
      </c>
    </row>
    <row r="384" spans="1:1" x14ac:dyDescent="0.15">
      <c r="A384" s="1" t="s">
        <v>835</v>
      </c>
    </row>
    <row r="385" spans="1:1" x14ac:dyDescent="0.15">
      <c r="A385" s="1" t="s">
        <v>836</v>
      </c>
    </row>
    <row r="386" spans="1:1" x14ac:dyDescent="0.15">
      <c r="A386" s="1" t="s">
        <v>838</v>
      </c>
    </row>
    <row r="387" spans="1:1" x14ac:dyDescent="0.15">
      <c r="A387" s="1" t="s">
        <v>840</v>
      </c>
    </row>
    <row r="388" spans="1:1" x14ac:dyDescent="0.15">
      <c r="A388" s="1" t="s">
        <v>842</v>
      </c>
    </row>
    <row r="389" spans="1:1" x14ac:dyDescent="0.15">
      <c r="A389" s="1" t="s">
        <v>844</v>
      </c>
    </row>
    <row r="390" spans="1:1" x14ac:dyDescent="0.15">
      <c r="A390" s="1" t="s">
        <v>846</v>
      </c>
    </row>
    <row r="391" spans="1:1" x14ac:dyDescent="0.15">
      <c r="A391" s="1" t="s">
        <v>848</v>
      </c>
    </row>
    <row r="392" spans="1:1" x14ac:dyDescent="0.15">
      <c r="A392" s="1" t="s">
        <v>850</v>
      </c>
    </row>
    <row r="393" spans="1:1" x14ac:dyDescent="0.15">
      <c r="A393" s="1" t="s">
        <v>852</v>
      </c>
    </row>
    <row r="394" spans="1:1" x14ac:dyDescent="0.15">
      <c r="A394" s="1" t="s">
        <v>854</v>
      </c>
    </row>
    <row r="395" spans="1:1" x14ac:dyDescent="0.15">
      <c r="A395" s="1" t="s">
        <v>856</v>
      </c>
    </row>
    <row r="396" spans="1:1" x14ac:dyDescent="0.15">
      <c r="A396" s="1" t="s">
        <v>858</v>
      </c>
    </row>
    <row r="397" spans="1:1" x14ac:dyDescent="0.15">
      <c r="A397" s="1" t="s">
        <v>860</v>
      </c>
    </row>
    <row r="398" spans="1:1" x14ac:dyDescent="0.15">
      <c r="A398" s="1" t="s">
        <v>862</v>
      </c>
    </row>
    <row r="399" spans="1:1" x14ac:dyDescent="0.15">
      <c r="A399" s="1" t="s">
        <v>864</v>
      </c>
    </row>
    <row r="400" spans="1:1" x14ac:dyDescent="0.15">
      <c r="A400" s="1" t="s">
        <v>866</v>
      </c>
    </row>
    <row r="401" spans="1:1" x14ac:dyDescent="0.15">
      <c r="A401" s="1" t="s">
        <v>868</v>
      </c>
    </row>
    <row r="402" spans="1:1" x14ac:dyDescent="0.15">
      <c r="A402" s="1" t="s">
        <v>870</v>
      </c>
    </row>
    <row r="403" spans="1:1" x14ac:dyDescent="0.15">
      <c r="A403" s="1" t="s">
        <v>872</v>
      </c>
    </row>
    <row r="404" spans="1:1" x14ac:dyDescent="0.15">
      <c r="A404" s="1" t="s">
        <v>874</v>
      </c>
    </row>
    <row r="405" spans="1:1" x14ac:dyDescent="0.15">
      <c r="A405" s="1" t="s">
        <v>876</v>
      </c>
    </row>
    <row r="406" spans="1:1" x14ac:dyDescent="0.15">
      <c r="A406" s="1" t="s">
        <v>878</v>
      </c>
    </row>
    <row r="407" spans="1:1" x14ac:dyDescent="0.15">
      <c r="A407" s="1" t="s">
        <v>880</v>
      </c>
    </row>
    <row r="408" spans="1:1" x14ac:dyDescent="0.15">
      <c r="A408" s="1" t="s">
        <v>882</v>
      </c>
    </row>
    <row r="409" spans="1:1" x14ac:dyDescent="0.15">
      <c r="A409" s="1" t="s">
        <v>884</v>
      </c>
    </row>
    <row r="410" spans="1:1" x14ac:dyDescent="0.15">
      <c r="A410" s="1" t="s">
        <v>886</v>
      </c>
    </row>
    <row r="411" spans="1:1" x14ac:dyDescent="0.15">
      <c r="A411" s="1" t="s">
        <v>888</v>
      </c>
    </row>
    <row r="412" spans="1:1" x14ac:dyDescent="0.15">
      <c r="A412" s="1" t="s">
        <v>890</v>
      </c>
    </row>
    <row r="413" spans="1:1" x14ac:dyDescent="0.15">
      <c r="A413" s="1" t="s">
        <v>892</v>
      </c>
    </row>
    <row r="414" spans="1:1" x14ac:dyDescent="0.15">
      <c r="A414" s="1" t="s">
        <v>894</v>
      </c>
    </row>
    <row r="415" spans="1:1" x14ac:dyDescent="0.15">
      <c r="A415" s="1" t="s">
        <v>896</v>
      </c>
    </row>
    <row r="416" spans="1:1" x14ac:dyDescent="0.15">
      <c r="A416" s="1" t="s">
        <v>898</v>
      </c>
    </row>
    <row r="417" spans="1:1" x14ac:dyDescent="0.15">
      <c r="A417" s="1" t="s">
        <v>900</v>
      </c>
    </row>
    <row r="418" spans="1:1" x14ac:dyDescent="0.15">
      <c r="A418" s="1" t="s">
        <v>902</v>
      </c>
    </row>
    <row r="419" spans="1:1" x14ac:dyDescent="0.15">
      <c r="A419" s="1" t="s">
        <v>904</v>
      </c>
    </row>
    <row r="420" spans="1:1" x14ac:dyDescent="0.15">
      <c r="A420" s="1" t="s">
        <v>906</v>
      </c>
    </row>
    <row r="421" spans="1:1" x14ac:dyDescent="0.15">
      <c r="A421" s="1" t="s">
        <v>908</v>
      </c>
    </row>
    <row r="422" spans="1:1" x14ac:dyDescent="0.15">
      <c r="A422" s="1" t="s">
        <v>910</v>
      </c>
    </row>
    <row r="423" spans="1:1" x14ac:dyDescent="0.15">
      <c r="A423" s="1" t="s">
        <v>912</v>
      </c>
    </row>
    <row r="424" spans="1:1" x14ac:dyDescent="0.15">
      <c r="A424" s="1" t="s">
        <v>914</v>
      </c>
    </row>
    <row r="425" spans="1:1" x14ac:dyDescent="0.15">
      <c r="A425" s="1" t="s">
        <v>916</v>
      </c>
    </row>
    <row r="426" spans="1:1" x14ac:dyDescent="0.15">
      <c r="A426" s="1" t="s">
        <v>918</v>
      </c>
    </row>
    <row r="427" spans="1:1" x14ac:dyDescent="0.15">
      <c r="A427" s="1" t="s">
        <v>920</v>
      </c>
    </row>
    <row r="428" spans="1:1" x14ac:dyDescent="0.15">
      <c r="A428" s="1" t="s">
        <v>922</v>
      </c>
    </row>
    <row r="429" spans="1:1" x14ac:dyDescent="0.15">
      <c r="A429" s="1" t="s">
        <v>924</v>
      </c>
    </row>
    <row r="430" spans="1:1" x14ac:dyDescent="0.15">
      <c r="A430" s="1" t="s">
        <v>926</v>
      </c>
    </row>
    <row r="431" spans="1:1" x14ac:dyDescent="0.15">
      <c r="A431" s="1" t="s">
        <v>928</v>
      </c>
    </row>
    <row r="432" spans="1:1" x14ac:dyDescent="0.15">
      <c r="A432" s="1" t="s">
        <v>930</v>
      </c>
    </row>
    <row r="433" spans="1:1" x14ac:dyDescent="0.15">
      <c r="A433" s="1" t="s">
        <v>932</v>
      </c>
    </row>
    <row r="434" spans="1:1" x14ac:dyDescent="0.15">
      <c r="A434" s="1" t="s">
        <v>934</v>
      </c>
    </row>
    <row r="435" spans="1:1" x14ac:dyDescent="0.15">
      <c r="A435" s="1" t="s">
        <v>936</v>
      </c>
    </row>
    <row r="436" spans="1:1" x14ac:dyDescent="0.15">
      <c r="A436" s="1" t="s">
        <v>938</v>
      </c>
    </row>
    <row r="437" spans="1:1" x14ac:dyDescent="0.15">
      <c r="A437" s="1" t="s">
        <v>940</v>
      </c>
    </row>
    <row r="438" spans="1:1" x14ac:dyDescent="0.15">
      <c r="A438" s="1" t="s">
        <v>942</v>
      </c>
    </row>
    <row r="439" spans="1:1" x14ac:dyDescent="0.15">
      <c r="A439" s="1" t="s">
        <v>944</v>
      </c>
    </row>
    <row r="440" spans="1:1" x14ac:dyDescent="0.15">
      <c r="A440" s="1" t="s">
        <v>946</v>
      </c>
    </row>
    <row r="441" spans="1:1" x14ac:dyDescent="0.15">
      <c r="A441" s="1" t="s">
        <v>948</v>
      </c>
    </row>
    <row r="442" spans="1:1" x14ac:dyDescent="0.15">
      <c r="A442" s="1" t="s">
        <v>950</v>
      </c>
    </row>
    <row r="443" spans="1:1" x14ac:dyDescent="0.15">
      <c r="A443" s="1" t="s">
        <v>952</v>
      </c>
    </row>
    <row r="444" spans="1:1" x14ac:dyDescent="0.15">
      <c r="A444" s="1" t="s">
        <v>954</v>
      </c>
    </row>
    <row r="445" spans="1:1" x14ac:dyDescent="0.15">
      <c r="A445" s="1" t="s">
        <v>956</v>
      </c>
    </row>
    <row r="446" spans="1:1" x14ac:dyDescent="0.15">
      <c r="A446" s="1" t="s">
        <v>958</v>
      </c>
    </row>
    <row r="447" spans="1:1" x14ac:dyDescent="0.15">
      <c r="A447" s="1" t="s">
        <v>960</v>
      </c>
    </row>
    <row r="448" spans="1:1" x14ac:dyDescent="0.15">
      <c r="A448" s="1" t="s">
        <v>962</v>
      </c>
    </row>
    <row r="449" spans="1:1" x14ac:dyDescent="0.15">
      <c r="A449" s="1" t="s">
        <v>964</v>
      </c>
    </row>
    <row r="450" spans="1:1" x14ac:dyDescent="0.15">
      <c r="A450" s="1" t="s">
        <v>966</v>
      </c>
    </row>
    <row r="451" spans="1:1" x14ac:dyDescent="0.15">
      <c r="A451" s="1" t="s">
        <v>968</v>
      </c>
    </row>
    <row r="452" spans="1:1" x14ac:dyDescent="0.15">
      <c r="A452" s="1" t="s">
        <v>970</v>
      </c>
    </row>
    <row r="453" spans="1:1" x14ac:dyDescent="0.15">
      <c r="A453" s="1" t="s">
        <v>972</v>
      </c>
    </row>
    <row r="454" spans="1:1" x14ac:dyDescent="0.15">
      <c r="A454" s="1" t="s">
        <v>974</v>
      </c>
    </row>
    <row r="455" spans="1:1" x14ac:dyDescent="0.15">
      <c r="A455" s="1" t="s">
        <v>976</v>
      </c>
    </row>
    <row r="456" spans="1:1" x14ac:dyDescent="0.15">
      <c r="A456" s="1" t="s">
        <v>978</v>
      </c>
    </row>
    <row r="457" spans="1:1" x14ac:dyDescent="0.15">
      <c r="A457" s="1" t="s">
        <v>980</v>
      </c>
    </row>
    <row r="458" spans="1:1" x14ac:dyDescent="0.15">
      <c r="A458" s="1" t="s">
        <v>982</v>
      </c>
    </row>
    <row r="459" spans="1:1" x14ac:dyDescent="0.15">
      <c r="A459" s="1" t="s">
        <v>984</v>
      </c>
    </row>
    <row r="460" spans="1:1" x14ac:dyDescent="0.15">
      <c r="A460" s="1" t="s">
        <v>986</v>
      </c>
    </row>
    <row r="461" spans="1:1" x14ac:dyDescent="0.15">
      <c r="A461" s="1" t="s">
        <v>988</v>
      </c>
    </row>
    <row r="462" spans="1:1" x14ac:dyDescent="0.15">
      <c r="A462" s="1" t="s">
        <v>990</v>
      </c>
    </row>
    <row r="463" spans="1:1" x14ac:dyDescent="0.15">
      <c r="A463" s="1" t="s">
        <v>992</v>
      </c>
    </row>
    <row r="464" spans="1:1" x14ac:dyDescent="0.15">
      <c r="A464" s="1" t="s">
        <v>994</v>
      </c>
    </row>
    <row r="465" spans="1:1" x14ac:dyDescent="0.15">
      <c r="A465" s="1" t="s">
        <v>996</v>
      </c>
    </row>
    <row r="466" spans="1:1" x14ac:dyDescent="0.15">
      <c r="A466" s="1" t="s">
        <v>998</v>
      </c>
    </row>
    <row r="467" spans="1:1" x14ac:dyDescent="0.15">
      <c r="A467" s="1" t="s">
        <v>1000</v>
      </c>
    </row>
    <row r="468" spans="1:1" x14ac:dyDescent="0.15">
      <c r="A468" s="1" t="s">
        <v>1002</v>
      </c>
    </row>
    <row r="469" spans="1:1" x14ac:dyDescent="0.15">
      <c r="A469" s="1" t="s">
        <v>1004</v>
      </c>
    </row>
    <row r="470" spans="1:1" x14ac:dyDescent="0.15">
      <c r="A470" s="1" t="s">
        <v>1006</v>
      </c>
    </row>
    <row r="471" spans="1:1" x14ac:dyDescent="0.15">
      <c r="A471" s="1" t="s">
        <v>1008</v>
      </c>
    </row>
    <row r="472" spans="1:1" x14ac:dyDescent="0.15">
      <c r="A472" s="1" t="s">
        <v>1010</v>
      </c>
    </row>
    <row r="473" spans="1:1" x14ac:dyDescent="0.15">
      <c r="A473" s="1" t="s">
        <v>1012</v>
      </c>
    </row>
    <row r="474" spans="1:1" x14ac:dyDescent="0.15">
      <c r="A474" s="1" t="s">
        <v>1014</v>
      </c>
    </row>
    <row r="475" spans="1:1" x14ac:dyDescent="0.15">
      <c r="A475" s="1" t="s">
        <v>1016</v>
      </c>
    </row>
    <row r="476" spans="1:1" x14ac:dyDescent="0.15">
      <c r="A476" s="1" t="s">
        <v>1018</v>
      </c>
    </row>
    <row r="477" spans="1:1" x14ac:dyDescent="0.15">
      <c r="A477" s="1" t="s">
        <v>1020</v>
      </c>
    </row>
    <row r="478" spans="1:1" x14ac:dyDescent="0.15">
      <c r="A478" s="1" t="s">
        <v>1022</v>
      </c>
    </row>
    <row r="479" spans="1:1" x14ac:dyDescent="0.15">
      <c r="A479" s="1" t="s">
        <v>1024</v>
      </c>
    </row>
    <row r="480" spans="1:1" x14ac:dyDescent="0.15">
      <c r="A480" s="1" t="s">
        <v>1026</v>
      </c>
    </row>
    <row r="481" spans="1:11" x14ac:dyDescent="0.15">
      <c r="A481" s="1" t="s">
        <v>1028</v>
      </c>
      <c r="B481" s="1" t="s">
        <v>59</v>
      </c>
      <c r="C481" s="1" t="s">
        <v>1029</v>
      </c>
      <c r="D481" s="1" t="s">
        <v>1030</v>
      </c>
      <c r="E481" s="1" t="s">
        <v>1031</v>
      </c>
      <c r="F481" s="1" t="s">
        <v>1032</v>
      </c>
      <c r="G481" s="1" t="s">
        <v>1033</v>
      </c>
      <c r="H481" s="1" t="s">
        <v>1034</v>
      </c>
      <c r="I481" s="1" t="s">
        <v>1035</v>
      </c>
      <c r="J481" s="1" t="s">
        <v>1036</v>
      </c>
      <c r="K481" s="1" t="s">
        <v>1037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LB-10</vt:lpstr>
      <vt:lpstr>LP-10</vt:lpstr>
      <vt:lpstr>Reference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宏宇 郑</cp:lastModifiedBy>
  <dcterms:created xsi:type="dcterms:W3CDTF">2011-06-30T00:09:00Z</dcterms:created>
  <dcterms:modified xsi:type="dcterms:W3CDTF">2026-03-27T01:31:28Z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ICV">
    <vt:lpwstr>5B3AF336B80945F5B4CD1DAB8343266B</vt:lpwstr>
  </property>
  <property fmtid="{D5CDD505-2E9C-101B-9397-08002B2CF9AE}" pid="4" name="KSOProductBuildVer">
    <vt:lpwstr>2052-11.8.2.12307</vt:lpwstr>
  </property>
</Properties>
</file>